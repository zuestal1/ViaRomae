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zues\Downloads\"/>
    </mc:Choice>
  </mc:AlternateContent>
  <xr:revisionPtr revIDLastSave="0" documentId="13_ncr:20001_{65EB95EF-4C5C-4309-9F3F-49794C8696A5}" xr6:coauthVersionLast="47" xr6:coauthVersionMax="47" xr10:uidLastSave="{00000000-0000-0000-0000-000000000000}"/>
  <bookViews>
    <workbookView xWindow="-120" yWindow="-120" windowWidth="51840" windowHeight="21120" firstSheet="8" activeTab="25" xr2:uid="{00000000-000D-0000-FFFF-FFFF00000000}"/>
  </bookViews>
  <sheets>
    <sheet name="Übersicht" sheetId="1" r:id="rId1"/>
    <sheet name="Matrixcheck" sheetId="2" r:id="rId2"/>
    <sheet name="Questgruppen" sheetId="3" r:id="rId3"/>
    <sheet name="Questdesign" sheetId="4" r:id="rId4"/>
    <sheet name="Mechanikbewertung" sheetId="5" r:id="rId5"/>
    <sheet name="Ortszuordnung" sheetId="6" r:id="rId6"/>
    <sheet name="Sonderquests" sheetId="7" r:id="rId7"/>
    <sheet name="Supportpunkte" sheetId="8" r:id="rId8"/>
    <sheet name="Kandidatenstatus" sheetId="9" r:id="rId9"/>
    <sheet name="Kriterien" sheetId="10" r:id="rId10"/>
    <sheet name="Unique Gegner" sheetId="11" r:id="rId11"/>
    <sheet name="Quest Master" sheetId="12" r:id="rId12"/>
    <sheet name="Questablauf" sheetId="13" r:id="rId13"/>
    <sheet name="Dialoge" sheetId="14" r:id="rId14"/>
    <sheet name="Charaktere" sheetId="15" r:id="rId15"/>
    <sheet name="Rätsel" sheetId="16" r:id="rId16"/>
    <sheet name="Kampfprofile" sheetId="17" r:id="rId17"/>
    <sheet name="Navigation" sheetId="18" r:id="rId18"/>
    <sheet name="Timer" sheetId="19" r:id="rId19"/>
    <sheet name="GDD-Abgleich" sheetId="20" r:id="rId20"/>
    <sheet name="Abdeckung" sheetId="21" r:id="rId21"/>
    <sheet name="Implementierung" sheetId="22" r:id="rId22"/>
    <sheet name="Gegnerbalance" sheetId="23" r:id="rId23"/>
    <sheet name="Stores" sheetId="24" r:id="rId24"/>
    <sheet name="Asset-Prompts" sheetId="25" r:id="rId25"/>
    <sheet name="Stances" sheetId="26" r:id="rId2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2" i="21" l="1"/>
  <c r="T22" i="21" s="1"/>
  <c r="S21" i="21"/>
  <c r="T21" i="21" s="1"/>
  <c r="S20" i="21"/>
  <c r="T20" i="21" s="1"/>
  <c r="S19" i="21"/>
  <c r="T19" i="21" s="1"/>
  <c r="T16" i="21"/>
  <c r="U16" i="21" s="1"/>
  <c r="T15" i="21"/>
  <c r="U15" i="21" s="1"/>
  <c r="T14" i="21"/>
  <c r="U14" i="21" s="1"/>
  <c r="T13" i="21"/>
  <c r="U13" i="21" s="1"/>
  <c r="T12" i="21"/>
  <c r="U12" i="21" s="1"/>
  <c r="T11" i="21"/>
  <c r="U11" i="21" s="1"/>
  <c r="T10" i="21"/>
  <c r="U10" i="21" s="1"/>
  <c r="T9" i="21"/>
  <c r="U9" i="21" s="1"/>
  <c r="T8" i="21"/>
  <c r="U8" i="21" s="1"/>
  <c r="T7" i="21"/>
  <c r="U7" i="21" s="1"/>
  <c r="T6" i="21"/>
  <c r="U6" i="21" s="1"/>
  <c r="T5" i="21"/>
  <c r="U5" i="21" s="1"/>
  <c r="Y124" i="14"/>
  <c r="Z124" i="14" s="1"/>
  <c r="Z123" i="14"/>
  <c r="Y123" i="14"/>
  <c r="Z122" i="14"/>
  <c r="Y122" i="14"/>
  <c r="Z121" i="14"/>
  <c r="Y121" i="14"/>
  <c r="Z120" i="14"/>
  <c r="Y120" i="14"/>
  <c r="Z119" i="14"/>
  <c r="Y119" i="14"/>
  <c r="Z118" i="14"/>
  <c r="Y118" i="14"/>
  <c r="Z117" i="14"/>
  <c r="Y117" i="14"/>
  <c r="Y116" i="14"/>
  <c r="Z116" i="14" s="1"/>
  <c r="Z115" i="14"/>
  <c r="Y115" i="14"/>
  <c r="Z114" i="14"/>
  <c r="Y114" i="14"/>
  <c r="Z113" i="14"/>
  <c r="Y113" i="14"/>
  <c r="Z112" i="14"/>
  <c r="Y112" i="14"/>
  <c r="Z111" i="14"/>
  <c r="Y111" i="14"/>
  <c r="Z110" i="14"/>
  <c r="Y110" i="14"/>
  <c r="Z109" i="14"/>
  <c r="Y109" i="14"/>
  <c r="Y108" i="14"/>
  <c r="Z108" i="14" s="1"/>
  <c r="Z107" i="14"/>
  <c r="Y107" i="14"/>
  <c r="Z106" i="14"/>
  <c r="Y106" i="14"/>
  <c r="Z105" i="14"/>
  <c r="Y105" i="14"/>
  <c r="Z104" i="14"/>
  <c r="Y104" i="14"/>
  <c r="Z103" i="14"/>
  <c r="Y103" i="14"/>
  <c r="Z102" i="14"/>
  <c r="Y102" i="14"/>
  <c r="Z101" i="14"/>
  <c r="Y101" i="14"/>
  <c r="Y100" i="14"/>
  <c r="Z100" i="14" s="1"/>
  <c r="Z99" i="14"/>
  <c r="Y99" i="14"/>
  <c r="Z98" i="14"/>
  <c r="Y98" i="14"/>
  <c r="Z97" i="14"/>
  <c r="Y97" i="14"/>
  <c r="Z96" i="14"/>
  <c r="Y96" i="14"/>
  <c r="Z95" i="14"/>
  <c r="Y95" i="14"/>
  <c r="Z94" i="14"/>
  <c r="Y94" i="14"/>
  <c r="Z93" i="14"/>
  <c r="Y93" i="14"/>
  <c r="Y92" i="14"/>
  <c r="Z92" i="14" s="1"/>
  <c r="Z91" i="14"/>
  <c r="Y91" i="14"/>
  <c r="Z90" i="14"/>
  <c r="Y90" i="14"/>
  <c r="Z89" i="14"/>
  <c r="Y89" i="14"/>
  <c r="Z88" i="14"/>
  <c r="Y88" i="14"/>
  <c r="Z87" i="14"/>
  <c r="Y87" i="14"/>
  <c r="Z86" i="14"/>
  <c r="Y86" i="14"/>
  <c r="Z85" i="14"/>
  <c r="Y85" i="14"/>
  <c r="Y84" i="14"/>
  <c r="Z84" i="14" s="1"/>
  <c r="Z83" i="14"/>
  <c r="Y83" i="14"/>
  <c r="Z82" i="14"/>
  <c r="Y82" i="14"/>
  <c r="Z81" i="14"/>
  <c r="Y81" i="14"/>
  <c r="Z80" i="14"/>
  <c r="Y80" i="14"/>
  <c r="Z79" i="14"/>
  <c r="Y79" i="14"/>
  <c r="Z78" i="14"/>
  <c r="Y78" i="14"/>
  <c r="Z77" i="14"/>
  <c r="Y77" i="14"/>
  <c r="Y76" i="14"/>
  <c r="Z76" i="14" s="1"/>
  <c r="Z75" i="14"/>
  <c r="Y75" i="14"/>
  <c r="Z74" i="14"/>
  <c r="Y74" i="14"/>
  <c r="Z73" i="14"/>
  <c r="Y73" i="14"/>
  <c r="Z72" i="14"/>
  <c r="Y72" i="14"/>
  <c r="Z71" i="14"/>
  <c r="Y71" i="14"/>
  <c r="Z70" i="14"/>
  <c r="Y70" i="14"/>
  <c r="Z69" i="14"/>
  <c r="Y69" i="14"/>
  <c r="Y68" i="14"/>
  <c r="Z68" i="14" s="1"/>
  <c r="Z67" i="14"/>
  <c r="Y67" i="14"/>
  <c r="Z66" i="14"/>
  <c r="Y66" i="14"/>
  <c r="Z65" i="14"/>
  <c r="Y65" i="14"/>
  <c r="Z64" i="14"/>
  <c r="Y64" i="14"/>
  <c r="Z63" i="14"/>
  <c r="Y63" i="14"/>
  <c r="Z62" i="14"/>
  <c r="Y62" i="14"/>
  <c r="Z61" i="14"/>
  <c r="Y61" i="14"/>
  <c r="Y60" i="14"/>
  <c r="Z60" i="14" s="1"/>
  <c r="Z59" i="14"/>
  <c r="Y59" i="14"/>
  <c r="Z58" i="14"/>
  <c r="Y58" i="14"/>
  <c r="Z57" i="14"/>
  <c r="Y57" i="14"/>
  <c r="Z56" i="14"/>
  <c r="Y56" i="14"/>
  <c r="Z55" i="14"/>
  <c r="Y55" i="14"/>
  <c r="Z54" i="14"/>
  <c r="Y54" i="14"/>
  <c r="Z53" i="14"/>
  <c r="Y53" i="14"/>
  <c r="Y52" i="14"/>
  <c r="Z52" i="14" s="1"/>
  <c r="Z51" i="14"/>
  <c r="Y51" i="14"/>
  <c r="Z50" i="14"/>
  <c r="Y50" i="14"/>
  <c r="Z49" i="14"/>
  <c r="Y49" i="14"/>
  <c r="Z48" i="14"/>
  <c r="Y48" i="14"/>
  <c r="Z47" i="14"/>
  <c r="Y47" i="14"/>
  <c r="Z46" i="14"/>
  <c r="Y46" i="14"/>
  <c r="Z45" i="14"/>
  <c r="Y45" i="14"/>
  <c r="Y44" i="14"/>
  <c r="Z44" i="14" s="1"/>
  <c r="Z43" i="14"/>
  <c r="Y43" i="14"/>
  <c r="Z42" i="14"/>
  <c r="Y42" i="14"/>
  <c r="Z41" i="14"/>
  <c r="Y41" i="14"/>
  <c r="Z40" i="14"/>
  <c r="Y40" i="14"/>
  <c r="Z39" i="14"/>
  <c r="Y39" i="14"/>
  <c r="Z38" i="14"/>
  <c r="Y38" i="14"/>
  <c r="Z37" i="14"/>
  <c r="Y37" i="14"/>
  <c r="Y36" i="14"/>
  <c r="Z36" i="14" s="1"/>
  <c r="Z35" i="14"/>
  <c r="Y35" i="14"/>
  <c r="Z34" i="14"/>
  <c r="Y34" i="14"/>
  <c r="Z33" i="14"/>
  <c r="Y33" i="14"/>
  <c r="Z32" i="14"/>
  <c r="Y32" i="14"/>
  <c r="Z31" i="14"/>
  <c r="Y31" i="14"/>
  <c r="Z30" i="14"/>
  <c r="Y30" i="14"/>
  <c r="Z29" i="14"/>
  <c r="Y29" i="14"/>
  <c r="Y28" i="14"/>
  <c r="Z28" i="14" s="1"/>
  <c r="Z27" i="14"/>
  <c r="Y27" i="14"/>
  <c r="Z26" i="14"/>
  <c r="Y26" i="14"/>
  <c r="Z25" i="14"/>
  <c r="Y25" i="14"/>
  <c r="Z24" i="14"/>
  <c r="Y24" i="14"/>
  <c r="Z23" i="14"/>
  <c r="Y23" i="14"/>
  <c r="Z22" i="14"/>
  <c r="Y22" i="14"/>
  <c r="Z21" i="14"/>
  <c r="Y21" i="14"/>
  <c r="Y20" i="14"/>
  <c r="Z20" i="14" s="1"/>
  <c r="Z19" i="14"/>
  <c r="Y19" i="14"/>
  <c r="Z18" i="14"/>
  <c r="Y18" i="14"/>
  <c r="Z17" i="14"/>
  <c r="Y17" i="14"/>
  <c r="Z16" i="14"/>
  <c r="Y16" i="14"/>
  <c r="Z15" i="14"/>
  <c r="Y15" i="14"/>
  <c r="Z14" i="14"/>
  <c r="Y14" i="14"/>
  <c r="Z13" i="14"/>
  <c r="Y13" i="14"/>
  <c r="Y12" i="14"/>
  <c r="Z12" i="14" s="1"/>
  <c r="Z11" i="14"/>
  <c r="Y11" i="14"/>
  <c r="Z10" i="14"/>
  <c r="Y10" i="14"/>
  <c r="Z9" i="14"/>
  <c r="Y9" i="14"/>
  <c r="Z8" i="14"/>
  <c r="Y8" i="14"/>
  <c r="Z7" i="14"/>
  <c r="Y7" i="14"/>
  <c r="Z6" i="14"/>
  <c r="Y6" i="14"/>
  <c r="Z5" i="14"/>
  <c r="Y5" i="14"/>
  <c r="J94" i="9"/>
  <c r="M94" i="9" s="1"/>
  <c r="I94" i="9"/>
  <c r="H94" i="9"/>
  <c r="I93" i="9"/>
  <c r="H93" i="9"/>
  <c r="J93" i="9" s="1"/>
  <c r="M93" i="9" s="1"/>
  <c r="I92" i="9"/>
  <c r="J92" i="9" s="1"/>
  <c r="M92" i="9" s="1"/>
  <c r="H92" i="9"/>
  <c r="I91" i="9"/>
  <c r="H91" i="9"/>
  <c r="J91" i="9" s="1"/>
  <c r="M91" i="9" s="1"/>
  <c r="J90" i="9"/>
  <c r="M90" i="9" s="1"/>
  <c r="I90" i="9"/>
  <c r="H90" i="9"/>
  <c r="I89" i="9"/>
  <c r="H89" i="9"/>
  <c r="J89" i="9" s="1"/>
  <c r="M89" i="9" s="1"/>
  <c r="M88" i="9"/>
  <c r="J88" i="9"/>
  <c r="I88" i="9"/>
  <c r="H88" i="9"/>
  <c r="I87" i="9"/>
  <c r="H87" i="9"/>
  <c r="J87" i="9" s="1"/>
  <c r="M87" i="9" s="1"/>
  <c r="I86" i="9"/>
  <c r="J86" i="9" s="1"/>
  <c r="M86" i="9" s="1"/>
  <c r="H86" i="9"/>
  <c r="I85" i="9"/>
  <c r="H85" i="9"/>
  <c r="J85" i="9" s="1"/>
  <c r="M85" i="9" s="1"/>
  <c r="M84" i="9"/>
  <c r="J84" i="9"/>
  <c r="I84" i="9"/>
  <c r="H84" i="9"/>
  <c r="I83" i="9"/>
  <c r="H83" i="9"/>
  <c r="J83" i="9" s="1"/>
  <c r="M83" i="9" s="1"/>
  <c r="J82" i="9"/>
  <c r="M82" i="9" s="1"/>
  <c r="I82" i="9"/>
  <c r="H82" i="9"/>
  <c r="I81" i="9"/>
  <c r="H81" i="9"/>
  <c r="J81" i="9" s="1"/>
  <c r="M81" i="9" s="1"/>
  <c r="M80" i="9"/>
  <c r="J80" i="9"/>
  <c r="I80" i="9"/>
  <c r="H80" i="9"/>
  <c r="I79" i="9"/>
  <c r="H79" i="9"/>
  <c r="J79" i="9" s="1"/>
  <c r="M79" i="9" s="1"/>
  <c r="I78" i="9"/>
  <c r="J78" i="9" s="1"/>
  <c r="M78" i="9" s="1"/>
  <c r="H78" i="9"/>
  <c r="I77" i="9"/>
  <c r="H77" i="9"/>
  <c r="J77" i="9" s="1"/>
  <c r="M77" i="9" s="1"/>
  <c r="I76" i="9"/>
  <c r="H76" i="9"/>
  <c r="J76" i="9" s="1"/>
  <c r="M76" i="9" s="1"/>
  <c r="I75" i="9"/>
  <c r="H75" i="9"/>
  <c r="J75" i="9" s="1"/>
  <c r="M75" i="9" s="1"/>
  <c r="J74" i="9"/>
  <c r="M74" i="9" s="1"/>
  <c r="I74" i="9"/>
  <c r="H74" i="9"/>
  <c r="I73" i="9"/>
  <c r="H73" i="9"/>
  <c r="J73" i="9" s="1"/>
  <c r="M73" i="9" s="1"/>
  <c r="I72" i="9"/>
  <c r="H72" i="9"/>
  <c r="J72" i="9" s="1"/>
  <c r="M72" i="9" s="1"/>
  <c r="I71" i="9"/>
  <c r="H71" i="9"/>
  <c r="J71" i="9" s="1"/>
  <c r="M71" i="9" s="1"/>
  <c r="J70" i="9"/>
  <c r="M70" i="9" s="1"/>
  <c r="I70" i="9"/>
  <c r="H70" i="9"/>
  <c r="I69" i="9"/>
  <c r="H69" i="9"/>
  <c r="J69" i="9" s="1"/>
  <c r="M69" i="9" s="1"/>
  <c r="I68" i="9"/>
  <c r="H68" i="9"/>
  <c r="J68" i="9" s="1"/>
  <c r="M68" i="9" s="1"/>
  <c r="I67" i="9"/>
  <c r="H67" i="9"/>
  <c r="J67" i="9" s="1"/>
  <c r="M67" i="9" s="1"/>
  <c r="J66" i="9"/>
  <c r="M66" i="9" s="1"/>
  <c r="I66" i="9"/>
  <c r="H66" i="9"/>
  <c r="I65" i="9"/>
  <c r="H65" i="9"/>
  <c r="J65" i="9" s="1"/>
  <c r="M65" i="9" s="1"/>
  <c r="I64" i="9"/>
  <c r="H64" i="9"/>
  <c r="J64" i="9" s="1"/>
  <c r="M64" i="9" s="1"/>
  <c r="I63" i="9"/>
  <c r="H63" i="9"/>
  <c r="J63" i="9" s="1"/>
  <c r="M63" i="9" s="1"/>
  <c r="J62" i="9"/>
  <c r="M62" i="9" s="1"/>
  <c r="I62" i="9"/>
  <c r="H62" i="9"/>
  <c r="I61" i="9"/>
  <c r="H61" i="9"/>
  <c r="J61" i="9" s="1"/>
  <c r="M61" i="9" s="1"/>
  <c r="I60" i="9"/>
  <c r="H60" i="9"/>
  <c r="J60" i="9" s="1"/>
  <c r="M60" i="9" s="1"/>
  <c r="I59" i="9"/>
  <c r="H59" i="9"/>
  <c r="J59" i="9" s="1"/>
  <c r="M59" i="9" s="1"/>
  <c r="J58" i="9"/>
  <c r="M58" i="9" s="1"/>
  <c r="I58" i="9"/>
  <c r="H58" i="9"/>
  <c r="M57" i="9"/>
  <c r="J57" i="9"/>
  <c r="I57" i="9"/>
  <c r="H57" i="9"/>
  <c r="I56" i="9"/>
  <c r="H56" i="9"/>
  <c r="J56" i="9" s="1"/>
  <c r="M56" i="9" s="1"/>
  <c r="I55" i="9"/>
  <c r="H55" i="9"/>
  <c r="J55" i="9" s="1"/>
  <c r="M55" i="9" s="1"/>
  <c r="J54" i="9"/>
  <c r="M54" i="9" s="1"/>
  <c r="I54" i="9"/>
  <c r="H54" i="9"/>
  <c r="I53" i="9"/>
  <c r="H53" i="9"/>
  <c r="J53" i="9" s="1"/>
  <c r="M53" i="9" s="1"/>
  <c r="I52" i="9"/>
  <c r="H52" i="9"/>
  <c r="J52" i="9" s="1"/>
  <c r="M52" i="9" s="1"/>
  <c r="I51" i="9"/>
  <c r="H51" i="9"/>
  <c r="J51" i="9" s="1"/>
  <c r="M51" i="9" s="1"/>
  <c r="J50" i="9"/>
  <c r="M50" i="9" s="1"/>
  <c r="I50" i="9"/>
  <c r="H50" i="9"/>
  <c r="I49" i="9"/>
  <c r="H49" i="9"/>
  <c r="J49" i="9" s="1"/>
  <c r="M49" i="9" s="1"/>
  <c r="I48" i="9"/>
  <c r="H48" i="9"/>
  <c r="J48" i="9" s="1"/>
  <c r="M48" i="9" s="1"/>
  <c r="I47" i="9"/>
  <c r="H47" i="9"/>
  <c r="J47" i="9" s="1"/>
  <c r="M47" i="9" s="1"/>
  <c r="J46" i="9"/>
  <c r="M46" i="9" s="1"/>
  <c r="I46" i="9"/>
  <c r="H46" i="9"/>
  <c r="I45" i="9"/>
  <c r="H45" i="9"/>
  <c r="J45" i="9" s="1"/>
  <c r="M45" i="9" s="1"/>
  <c r="I44" i="9"/>
  <c r="H44" i="9"/>
  <c r="J44" i="9" s="1"/>
  <c r="M44" i="9" s="1"/>
  <c r="I43" i="9"/>
  <c r="H43" i="9"/>
  <c r="J43" i="9" s="1"/>
  <c r="M43" i="9" s="1"/>
  <c r="J42" i="9"/>
  <c r="M42" i="9" s="1"/>
  <c r="I42" i="9"/>
  <c r="H42" i="9"/>
  <c r="I41" i="9"/>
  <c r="H41" i="9"/>
  <c r="J41" i="9" s="1"/>
  <c r="M41" i="9" s="1"/>
  <c r="I40" i="9"/>
  <c r="H40" i="9"/>
  <c r="J40" i="9" s="1"/>
  <c r="M40" i="9" s="1"/>
  <c r="I39" i="9"/>
  <c r="H39" i="9"/>
  <c r="J39" i="9" s="1"/>
  <c r="M39" i="9" s="1"/>
  <c r="J38" i="9"/>
  <c r="M38" i="9" s="1"/>
  <c r="I38" i="9"/>
  <c r="H38" i="9"/>
  <c r="I37" i="9"/>
  <c r="H37" i="9"/>
  <c r="J37" i="9" s="1"/>
  <c r="M37" i="9" s="1"/>
  <c r="I36" i="9"/>
  <c r="H36" i="9"/>
  <c r="J36" i="9" s="1"/>
  <c r="M36" i="9" s="1"/>
  <c r="I35" i="9"/>
  <c r="H35" i="9"/>
  <c r="J35" i="9" s="1"/>
  <c r="M35" i="9" s="1"/>
  <c r="I34" i="9"/>
  <c r="J34" i="9" s="1"/>
  <c r="M34" i="9" s="1"/>
  <c r="H34" i="9"/>
  <c r="I33" i="9"/>
  <c r="H33" i="9"/>
  <c r="J33" i="9" s="1"/>
  <c r="M33" i="9" s="1"/>
  <c r="I32" i="9"/>
  <c r="H32" i="9"/>
  <c r="J32" i="9" s="1"/>
  <c r="M32" i="9" s="1"/>
  <c r="I31" i="9"/>
  <c r="H31" i="9"/>
  <c r="J31" i="9" s="1"/>
  <c r="M31" i="9" s="1"/>
  <c r="J30" i="9"/>
  <c r="M30" i="9" s="1"/>
  <c r="I30" i="9"/>
  <c r="H30" i="9"/>
  <c r="I29" i="9"/>
  <c r="H29" i="9"/>
  <c r="J29" i="9" s="1"/>
  <c r="M29" i="9" s="1"/>
  <c r="I28" i="9"/>
  <c r="H28" i="9"/>
  <c r="J28" i="9" s="1"/>
  <c r="M28" i="9" s="1"/>
  <c r="I27" i="9"/>
  <c r="H27" i="9"/>
  <c r="J27" i="9" s="1"/>
  <c r="M27" i="9" s="1"/>
  <c r="J26" i="9"/>
  <c r="M26" i="9" s="1"/>
  <c r="I26" i="9"/>
  <c r="H26" i="9"/>
  <c r="I25" i="9"/>
  <c r="H25" i="9"/>
  <c r="J25" i="9" s="1"/>
  <c r="M25" i="9" s="1"/>
  <c r="I24" i="9"/>
  <c r="H24" i="9"/>
  <c r="J24" i="9" s="1"/>
  <c r="M24" i="9" s="1"/>
  <c r="I23" i="9"/>
  <c r="H23" i="9"/>
  <c r="J23" i="9" s="1"/>
  <c r="M23" i="9" s="1"/>
  <c r="J22" i="9"/>
  <c r="M22" i="9" s="1"/>
  <c r="I22" i="9"/>
  <c r="H22" i="9"/>
  <c r="I21" i="9"/>
  <c r="H21" i="9"/>
  <c r="J21" i="9" s="1"/>
  <c r="M21" i="9" s="1"/>
  <c r="I20" i="9"/>
  <c r="H20" i="9"/>
  <c r="J20" i="9" s="1"/>
  <c r="M20" i="9" s="1"/>
  <c r="I19" i="9"/>
  <c r="H19" i="9"/>
  <c r="J19" i="9" s="1"/>
  <c r="M19" i="9" s="1"/>
  <c r="J18" i="9"/>
  <c r="M18" i="9" s="1"/>
  <c r="I18" i="9"/>
  <c r="H18" i="9"/>
  <c r="I17" i="9"/>
  <c r="H17" i="9"/>
  <c r="J17" i="9" s="1"/>
  <c r="M17" i="9" s="1"/>
  <c r="I16" i="9"/>
  <c r="H16" i="9"/>
  <c r="J16" i="9" s="1"/>
  <c r="M16" i="9" s="1"/>
  <c r="I15" i="9"/>
  <c r="H15" i="9"/>
  <c r="J15" i="9" s="1"/>
  <c r="M15" i="9" s="1"/>
  <c r="I14" i="9"/>
  <c r="H14" i="9"/>
  <c r="J14" i="9" s="1"/>
  <c r="M14" i="9" s="1"/>
  <c r="I13" i="9"/>
  <c r="H13" i="9"/>
  <c r="J13" i="9" s="1"/>
  <c r="M13" i="9" s="1"/>
  <c r="I12" i="9"/>
  <c r="H12" i="9"/>
  <c r="J12" i="9" s="1"/>
  <c r="M12" i="9" s="1"/>
  <c r="I11" i="9"/>
  <c r="H11" i="9"/>
  <c r="J11" i="9" s="1"/>
  <c r="M11" i="9" s="1"/>
  <c r="I10" i="9"/>
  <c r="H10" i="9"/>
  <c r="J10" i="9" s="1"/>
  <c r="M10" i="9" s="1"/>
  <c r="I9" i="9"/>
  <c r="H9" i="9"/>
  <c r="J9" i="9" s="1"/>
  <c r="M9" i="9" s="1"/>
  <c r="I8" i="9"/>
  <c r="H8" i="9"/>
  <c r="J8" i="9" s="1"/>
  <c r="M8" i="9" s="1"/>
  <c r="I7" i="9"/>
  <c r="H7" i="9"/>
  <c r="J7" i="9" s="1"/>
  <c r="M7" i="9" s="1"/>
  <c r="I6" i="9"/>
  <c r="H6" i="9"/>
  <c r="J6" i="9" s="1"/>
  <c r="M6" i="9" s="1"/>
  <c r="I5" i="9"/>
  <c r="H5" i="9"/>
  <c r="J5" i="9" s="1"/>
  <c r="M5" i="9" s="1"/>
  <c r="F16" i="8"/>
  <c r="E16" i="8"/>
  <c r="F15" i="8"/>
  <c r="E15" i="8"/>
  <c r="F14" i="8"/>
  <c r="E14" i="8"/>
  <c r="F13" i="8"/>
  <c r="E13" i="8"/>
  <c r="E12" i="8"/>
  <c r="F12" i="8" s="1"/>
  <c r="F11" i="8"/>
  <c r="E11" i="8"/>
  <c r="F10" i="8"/>
  <c r="E10" i="8"/>
  <c r="F9" i="8"/>
  <c r="E9" i="8"/>
  <c r="F8" i="8"/>
  <c r="E8" i="8"/>
  <c r="E7" i="8"/>
  <c r="F7" i="8" s="1"/>
  <c r="F6" i="8"/>
  <c r="E6" i="8"/>
  <c r="F5" i="8"/>
  <c r="E5" i="8"/>
  <c r="R85" i="6"/>
  <c r="S85" i="6" s="1"/>
  <c r="S84" i="6"/>
  <c r="R84" i="6"/>
  <c r="S83" i="6"/>
  <c r="R83" i="6"/>
  <c r="S82" i="6"/>
  <c r="R82" i="6"/>
  <c r="S81" i="6"/>
  <c r="R81" i="6"/>
  <c r="R80" i="6"/>
  <c r="S80" i="6" s="1"/>
  <c r="S79" i="6"/>
  <c r="R79" i="6"/>
  <c r="S78" i="6"/>
  <c r="R78" i="6"/>
  <c r="R77" i="6"/>
  <c r="S77" i="6" s="1"/>
  <c r="S76" i="6"/>
  <c r="R76" i="6"/>
  <c r="S75" i="6"/>
  <c r="R75" i="6"/>
  <c r="S74" i="6"/>
  <c r="R74" i="6"/>
  <c r="S73" i="6"/>
  <c r="R73" i="6"/>
  <c r="R72" i="6"/>
  <c r="S72" i="6" s="1"/>
  <c r="S71" i="6"/>
  <c r="R71" i="6"/>
  <c r="S70" i="6"/>
  <c r="R70" i="6"/>
  <c r="R69" i="6"/>
  <c r="S69" i="6" s="1"/>
  <c r="O30" i="3" s="1"/>
  <c r="P30" i="3" s="1"/>
  <c r="R30" i="3" s="1"/>
  <c r="S30" i="3" s="1"/>
  <c r="S68" i="6"/>
  <c r="R68" i="6"/>
  <c r="S67" i="6"/>
  <c r="R67" i="6"/>
  <c r="S66" i="6"/>
  <c r="R66" i="6"/>
  <c r="S65" i="6"/>
  <c r="R65" i="6"/>
  <c r="R64" i="6"/>
  <c r="S64" i="6" s="1"/>
  <c r="O28" i="3" s="1"/>
  <c r="P28" i="3" s="1"/>
  <c r="R28" i="3" s="1"/>
  <c r="S28" i="3" s="1"/>
  <c r="S63" i="6"/>
  <c r="R63" i="6"/>
  <c r="S62" i="6"/>
  <c r="R62" i="6"/>
  <c r="R61" i="6"/>
  <c r="S61" i="6" s="1"/>
  <c r="O27" i="3" s="1"/>
  <c r="P27" i="3" s="1"/>
  <c r="R27" i="3" s="1"/>
  <c r="S27" i="3" s="1"/>
  <c r="S60" i="6"/>
  <c r="R60" i="6"/>
  <c r="S59" i="6"/>
  <c r="R59" i="6"/>
  <c r="S58" i="6"/>
  <c r="R58" i="6"/>
  <c r="S57" i="6"/>
  <c r="O25" i="3" s="1"/>
  <c r="P25" i="3" s="1"/>
  <c r="R25" i="3" s="1"/>
  <c r="S25" i="3" s="1"/>
  <c r="R57" i="6"/>
  <c r="R56" i="6"/>
  <c r="S56" i="6" s="1"/>
  <c r="S55" i="6"/>
  <c r="R55" i="6"/>
  <c r="S54" i="6"/>
  <c r="R54" i="6"/>
  <c r="R53" i="6"/>
  <c r="S53" i="6" s="1"/>
  <c r="O24" i="3" s="1"/>
  <c r="P24" i="3" s="1"/>
  <c r="R24" i="3" s="1"/>
  <c r="S24" i="3" s="1"/>
  <c r="S52" i="6"/>
  <c r="R52" i="6"/>
  <c r="S51" i="6"/>
  <c r="R51" i="6"/>
  <c r="S50" i="6"/>
  <c r="O23" i="3" s="1"/>
  <c r="P23" i="3" s="1"/>
  <c r="R23" i="3" s="1"/>
  <c r="S23" i="3" s="1"/>
  <c r="R50" i="6"/>
  <c r="S49" i="6"/>
  <c r="O22" i="3" s="1"/>
  <c r="P22" i="3" s="1"/>
  <c r="R22" i="3" s="1"/>
  <c r="S22" i="3" s="1"/>
  <c r="R49" i="6"/>
  <c r="R48" i="6"/>
  <c r="S48" i="6" s="1"/>
  <c r="O21" i="3" s="1"/>
  <c r="P21" i="3" s="1"/>
  <c r="R21" i="3" s="1"/>
  <c r="S21" i="3" s="1"/>
  <c r="S47" i="6"/>
  <c r="R47" i="6"/>
  <c r="S46" i="6"/>
  <c r="R46" i="6"/>
  <c r="R45" i="6"/>
  <c r="S45" i="6" s="1"/>
  <c r="S44" i="6"/>
  <c r="R44" i="6"/>
  <c r="S43" i="6"/>
  <c r="R43" i="6"/>
  <c r="S42" i="6"/>
  <c r="O20" i="3" s="1"/>
  <c r="P20" i="3" s="1"/>
  <c r="R20" i="3" s="1"/>
  <c r="S20" i="3" s="1"/>
  <c r="R42" i="6"/>
  <c r="S41" i="6"/>
  <c r="R41" i="6"/>
  <c r="R40" i="6"/>
  <c r="S40" i="6" s="1"/>
  <c r="O19" i="3" s="1"/>
  <c r="P19" i="3" s="1"/>
  <c r="R19" i="3" s="1"/>
  <c r="S19" i="3" s="1"/>
  <c r="S39" i="6"/>
  <c r="R39" i="6"/>
  <c r="S38" i="6"/>
  <c r="R38" i="6"/>
  <c r="R37" i="6"/>
  <c r="S37" i="6" s="1"/>
  <c r="S36" i="6"/>
  <c r="O17" i="3" s="1"/>
  <c r="P17" i="3" s="1"/>
  <c r="R17" i="3" s="1"/>
  <c r="S17" i="3" s="1"/>
  <c r="R36" i="6"/>
  <c r="S35" i="6"/>
  <c r="R35" i="6"/>
  <c r="S34" i="6"/>
  <c r="R34" i="6"/>
  <c r="S33" i="6"/>
  <c r="R33" i="6"/>
  <c r="R32" i="6"/>
  <c r="S32" i="6" s="1"/>
  <c r="O16" i="3" s="1"/>
  <c r="P16" i="3" s="1"/>
  <c r="R16" i="3" s="1"/>
  <c r="S16" i="3" s="1"/>
  <c r="S31" i="6"/>
  <c r="O15" i="3" s="1"/>
  <c r="P15" i="3" s="1"/>
  <c r="R15" i="3" s="1"/>
  <c r="S15" i="3" s="1"/>
  <c r="R31" i="6"/>
  <c r="S30" i="6"/>
  <c r="R30" i="6"/>
  <c r="R29" i="6"/>
  <c r="S29" i="6" s="1"/>
  <c r="S28" i="6"/>
  <c r="R28" i="6"/>
  <c r="S27" i="6"/>
  <c r="R27" i="6"/>
  <c r="S26" i="6"/>
  <c r="R26" i="6"/>
  <c r="S25" i="6"/>
  <c r="R25" i="6"/>
  <c r="R24" i="6"/>
  <c r="S24" i="6" s="1"/>
  <c r="O12" i="3" s="1"/>
  <c r="P12" i="3" s="1"/>
  <c r="R12" i="3" s="1"/>
  <c r="S12" i="3" s="1"/>
  <c r="S23" i="6"/>
  <c r="R23" i="6"/>
  <c r="S22" i="6"/>
  <c r="R22" i="6"/>
  <c r="R21" i="6"/>
  <c r="S21" i="6" s="1"/>
  <c r="O11" i="3" s="1"/>
  <c r="P11" i="3" s="1"/>
  <c r="R11" i="3" s="1"/>
  <c r="S11" i="3" s="1"/>
  <c r="S20" i="6"/>
  <c r="R20" i="6"/>
  <c r="S19" i="6"/>
  <c r="R19" i="6"/>
  <c r="S18" i="6"/>
  <c r="R18" i="6"/>
  <c r="S17" i="6"/>
  <c r="O9" i="3" s="1"/>
  <c r="P9" i="3" s="1"/>
  <c r="R9" i="3" s="1"/>
  <c r="S9" i="3" s="1"/>
  <c r="R17" i="6"/>
  <c r="R16" i="6"/>
  <c r="S16" i="6" s="1"/>
  <c r="O8" i="3" s="1"/>
  <c r="P8" i="3" s="1"/>
  <c r="R8" i="3" s="1"/>
  <c r="S8" i="3" s="1"/>
  <c r="S15" i="6"/>
  <c r="R15" i="6"/>
  <c r="S14" i="6"/>
  <c r="R14" i="6"/>
  <c r="R13" i="6"/>
  <c r="S13" i="6" s="1"/>
  <c r="S12" i="6"/>
  <c r="O7" i="3" s="1"/>
  <c r="P7" i="3" s="1"/>
  <c r="R7" i="3" s="1"/>
  <c r="S7" i="3" s="1"/>
  <c r="R12" i="6"/>
  <c r="S11" i="6"/>
  <c r="R11" i="6"/>
  <c r="S10" i="6"/>
  <c r="R10" i="6"/>
  <c r="S9" i="6"/>
  <c r="R9" i="6"/>
  <c r="R8" i="6"/>
  <c r="S8" i="6" s="1"/>
  <c r="O6" i="3" s="1"/>
  <c r="P6" i="3" s="1"/>
  <c r="R6" i="3" s="1"/>
  <c r="S6" i="3" s="1"/>
  <c r="S7" i="6"/>
  <c r="R7" i="6"/>
  <c r="S6" i="6"/>
  <c r="R6" i="6"/>
  <c r="R5" i="6"/>
  <c r="S5" i="6" s="1"/>
  <c r="O5" i="3" s="1"/>
  <c r="P5" i="3" s="1"/>
  <c r="R5" i="3" s="1"/>
  <c r="S5" i="3" s="1"/>
  <c r="P44" i="5"/>
  <c r="O44" i="5"/>
  <c r="P43" i="5"/>
  <c r="O43" i="5"/>
  <c r="P42" i="5"/>
  <c r="O42" i="5"/>
  <c r="P41" i="5"/>
  <c r="O41" i="5"/>
  <c r="O40" i="5"/>
  <c r="P40" i="5" s="1"/>
  <c r="P39" i="5"/>
  <c r="O39" i="5"/>
  <c r="P38" i="5"/>
  <c r="O38" i="5"/>
  <c r="O37" i="5"/>
  <c r="P37" i="5" s="1"/>
  <c r="P36" i="5"/>
  <c r="O36" i="5"/>
  <c r="P35" i="5"/>
  <c r="O35" i="5"/>
  <c r="P34" i="5"/>
  <c r="O34" i="5"/>
  <c r="P33" i="5"/>
  <c r="O33" i="5"/>
  <c r="O32" i="5"/>
  <c r="P32" i="5" s="1"/>
  <c r="P31" i="5"/>
  <c r="O31" i="5"/>
  <c r="P30" i="5"/>
  <c r="O30" i="5"/>
  <c r="O29" i="5"/>
  <c r="P29" i="5" s="1"/>
  <c r="P28" i="5"/>
  <c r="O28" i="5"/>
  <c r="P27" i="5"/>
  <c r="O27" i="5"/>
  <c r="P26" i="5"/>
  <c r="O26" i="5"/>
  <c r="P25" i="5"/>
  <c r="O25" i="5"/>
  <c r="O24" i="5"/>
  <c r="P24" i="5" s="1"/>
  <c r="P23" i="5"/>
  <c r="O23" i="5"/>
  <c r="P22" i="5"/>
  <c r="O22" i="5"/>
  <c r="O21" i="5"/>
  <c r="P21" i="5" s="1"/>
  <c r="P20" i="5"/>
  <c r="O20" i="5"/>
  <c r="P19" i="5"/>
  <c r="O19" i="5"/>
  <c r="P18" i="5"/>
  <c r="O18" i="5"/>
  <c r="P17" i="5"/>
  <c r="O17" i="5"/>
  <c r="O16" i="5"/>
  <c r="P16" i="5" s="1"/>
  <c r="P15" i="5"/>
  <c r="O15" i="5"/>
  <c r="P14" i="5"/>
  <c r="O14" i="5"/>
  <c r="O13" i="5"/>
  <c r="P13" i="5" s="1"/>
  <c r="P12" i="5"/>
  <c r="O12" i="5"/>
  <c r="P11" i="5"/>
  <c r="O11" i="5"/>
  <c r="P10" i="5"/>
  <c r="O10" i="5"/>
  <c r="P9" i="5"/>
  <c r="O9" i="5"/>
  <c r="O8" i="5"/>
  <c r="P8" i="5" s="1"/>
  <c r="P7" i="5"/>
  <c r="O7" i="5"/>
  <c r="P6" i="5"/>
  <c r="O6" i="5"/>
  <c r="O5" i="5"/>
  <c r="P5" i="5" s="1"/>
  <c r="AB30" i="3"/>
  <c r="V30" i="3"/>
  <c r="AC30" i="3" s="1"/>
  <c r="U30" i="3"/>
  <c r="T30" i="3"/>
  <c r="F30" i="3"/>
  <c r="AB29" i="3"/>
  <c r="V29" i="3"/>
  <c r="AC29" i="3" s="1"/>
  <c r="U29" i="3"/>
  <c r="T29" i="3"/>
  <c r="O29" i="3"/>
  <c r="P29" i="3" s="1"/>
  <c r="R29" i="3" s="1"/>
  <c r="S29" i="3" s="1"/>
  <c r="F29" i="3"/>
  <c r="AC28" i="3"/>
  <c r="AB28" i="3"/>
  <c r="V28" i="3"/>
  <c r="U28" i="3"/>
  <c r="T28" i="3"/>
  <c r="F28" i="3"/>
  <c r="AB27" i="3"/>
  <c r="V27" i="3"/>
  <c r="AC27" i="3" s="1"/>
  <c r="U27" i="3"/>
  <c r="T27" i="3"/>
  <c r="F27" i="3"/>
  <c r="AB26" i="3"/>
  <c r="AC26" i="3" s="1"/>
  <c r="V26" i="3"/>
  <c r="U26" i="3"/>
  <c r="T26" i="3"/>
  <c r="O26" i="3"/>
  <c r="P26" i="3" s="1"/>
  <c r="R26" i="3" s="1"/>
  <c r="S26" i="3" s="1"/>
  <c r="F26" i="3"/>
  <c r="AB25" i="3"/>
  <c r="V25" i="3"/>
  <c r="AC25" i="3" s="1"/>
  <c r="U25" i="3"/>
  <c r="T25" i="3"/>
  <c r="F25" i="3"/>
  <c r="AC24" i="3"/>
  <c r="AB24" i="3"/>
  <c r="V24" i="3"/>
  <c r="U24" i="3"/>
  <c r="T24" i="3"/>
  <c r="F24" i="3"/>
  <c r="AC23" i="3"/>
  <c r="AB23" i="3"/>
  <c r="V23" i="3"/>
  <c r="U23" i="3"/>
  <c r="T23" i="3"/>
  <c r="F23" i="3"/>
  <c r="AB22" i="3"/>
  <c r="V22" i="3"/>
  <c r="AC22" i="3" s="1"/>
  <c r="U22" i="3"/>
  <c r="T22" i="3"/>
  <c r="F22" i="3"/>
  <c r="AB21" i="3"/>
  <c r="V21" i="3"/>
  <c r="AC21" i="3" s="1"/>
  <c r="U21" i="3"/>
  <c r="T21" i="3"/>
  <c r="F21" i="3"/>
  <c r="AC20" i="3"/>
  <c r="AB20" i="3"/>
  <c r="V20" i="3"/>
  <c r="U20" i="3"/>
  <c r="T20" i="3"/>
  <c r="F20" i="3"/>
  <c r="AB19" i="3"/>
  <c r="V19" i="3"/>
  <c r="AC19" i="3" s="1"/>
  <c r="U19" i="3"/>
  <c r="T19" i="3"/>
  <c r="F19" i="3"/>
  <c r="AB18" i="3"/>
  <c r="AC18" i="3" s="1"/>
  <c r="V18" i="3"/>
  <c r="U18" i="3"/>
  <c r="T18" i="3"/>
  <c r="O18" i="3"/>
  <c r="P18" i="3" s="1"/>
  <c r="R18" i="3" s="1"/>
  <c r="S18" i="3" s="1"/>
  <c r="F18" i="3"/>
  <c r="AB17" i="3"/>
  <c r="V17" i="3"/>
  <c r="AC17" i="3" s="1"/>
  <c r="U17" i="3"/>
  <c r="T17" i="3"/>
  <c r="F17" i="3"/>
  <c r="AC16" i="3"/>
  <c r="AB16" i="3"/>
  <c r="V16" i="3"/>
  <c r="U16" i="3"/>
  <c r="T16" i="3"/>
  <c r="F16" i="3"/>
  <c r="AC15" i="3"/>
  <c r="AB15" i="3"/>
  <c r="V15" i="3"/>
  <c r="U15" i="3"/>
  <c r="T15" i="3"/>
  <c r="F15" i="3"/>
  <c r="AB14" i="3"/>
  <c r="V14" i="3"/>
  <c r="AC14" i="3" s="1"/>
  <c r="U14" i="3"/>
  <c r="T14" i="3"/>
  <c r="F14" i="3"/>
  <c r="AB13" i="3"/>
  <c r="V13" i="3"/>
  <c r="AC13" i="3" s="1"/>
  <c r="U13" i="3"/>
  <c r="T13" i="3"/>
  <c r="O13" i="3"/>
  <c r="P13" i="3" s="1"/>
  <c r="R13" i="3" s="1"/>
  <c r="S13" i="3" s="1"/>
  <c r="F13" i="3"/>
  <c r="AC12" i="3"/>
  <c r="AB12" i="3"/>
  <c r="V12" i="3"/>
  <c r="U12" i="3"/>
  <c r="T12" i="3"/>
  <c r="F12" i="3"/>
  <c r="AB11" i="3"/>
  <c r="V11" i="3"/>
  <c r="AC11" i="3" s="1"/>
  <c r="U11" i="3"/>
  <c r="T11" i="3"/>
  <c r="F11" i="3"/>
  <c r="AB10" i="3"/>
  <c r="AC10" i="3" s="1"/>
  <c r="V10" i="3"/>
  <c r="U10" i="3"/>
  <c r="T10" i="3"/>
  <c r="O10" i="3"/>
  <c r="P10" i="3" s="1"/>
  <c r="R10" i="3" s="1"/>
  <c r="S10" i="3" s="1"/>
  <c r="F10" i="3"/>
  <c r="AB9" i="3"/>
  <c r="V9" i="3"/>
  <c r="AC9" i="3" s="1"/>
  <c r="U9" i="3"/>
  <c r="T9" i="3"/>
  <c r="F9" i="3"/>
  <c r="AC8" i="3"/>
  <c r="AB8" i="3"/>
  <c r="V8" i="3"/>
  <c r="U8" i="3"/>
  <c r="T8" i="3"/>
  <c r="F8" i="3"/>
  <c r="AC7" i="3"/>
  <c r="AB7" i="3"/>
  <c r="V7" i="3"/>
  <c r="U7" i="3"/>
  <c r="T7" i="3"/>
  <c r="F7" i="3"/>
  <c r="AB6" i="3"/>
  <c r="V6" i="3"/>
  <c r="AC6" i="3" s="1"/>
  <c r="U6" i="3"/>
  <c r="T6" i="3"/>
  <c r="F6" i="3"/>
  <c r="G5" i="1" s="1"/>
  <c r="AB5" i="3"/>
  <c r="V5" i="3"/>
  <c r="D19" i="2" s="1"/>
  <c r="U5" i="3"/>
  <c r="T5" i="3"/>
  <c r="F5" i="3"/>
  <c r="D22" i="2"/>
  <c r="E22" i="2" s="1"/>
  <c r="D21" i="2"/>
  <c r="G21" i="2" s="1"/>
  <c r="D18" i="2"/>
  <c r="E18" i="2" s="1"/>
  <c r="E17" i="2"/>
  <c r="D17" i="2"/>
  <c r="G17" i="2" s="1"/>
  <c r="G16" i="2"/>
  <c r="D16" i="2"/>
  <c r="E16" i="2" s="1"/>
  <c r="G15" i="2"/>
  <c r="E15" i="2"/>
  <c r="D15" i="2"/>
  <c r="G14" i="2"/>
  <c r="E14" i="2"/>
  <c r="D14" i="2"/>
  <c r="E13" i="2"/>
  <c r="D13" i="2"/>
  <c r="G13" i="2" s="1"/>
  <c r="D12" i="2"/>
  <c r="G12" i="2" s="1"/>
  <c r="G10" i="2"/>
  <c r="E10" i="2"/>
  <c r="D10" i="2"/>
  <c r="D9" i="2"/>
  <c r="E9" i="2" s="1"/>
  <c r="D8" i="2"/>
  <c r="G8" i="2" s="1"/>
  <c r="G7" i="2"/>
  <c r="E7" i="2"/>
  <c r="D7" i="2"/>
  <c r="D6" i="2"/>
  <c r="G6" i="2" s="1"/>
  <c r="D5" i="2"/>
  <c r="G5" i="2" s="1"/>
  <c r="D13" i="1"/>
  <c r="B13" i="1"/>
  <c r="B12" i="1"/>
  <c r="D12" i="1" s="1"/>
  <c r="B11" i="1"/>
  <c r="D11" i="1" s="1"/>
  <c r="D10" i="1"/>
  <c r="B10" i="1"/>
  <c r="D9" i="1"/>
  <c r="B9" i="1"/>
  <c r="U5" i="1"/>
  <c r="T5" i="1"/>
  <c r="S5" i="1"/>
  <c r="R5" i="1"/>
  <c r="Q5" i="1"/>
  <c r="P5" i="1"/>
  <c r="O5" i="1"/>
  <c r="N5" i="1"/>
  <c r="M5" i="1"/>
  <c r="L5" i="1"/>
  <c r="K5" i="1"/>
  <c r="I5" i="1"/>
  <c r="H5" i="1"/>
  <c r="F5" i="1"/>
  <c r="E5" i="1"/>
  <c r="D5" i="1"/>
  <c r="C5" i="1"/>
  <c r="B5" i="1"/>
  <c r="A5" i="1"/>
  <c r="V5" i="1" l="1"/>
  <c r="O14" i="3"/>
  <c r="P14" i="3" s="1"/>
  <c r="R14" i="3" s="1"/>
  <c r="S14" i="3" s="1"/>
  <c r="D20" i="2" s="1"/>
  <c r="E19" i="2"/>
  <c r="G19" i="2"/>
  <c r="J5" i="1"/>
  <c r="G22" i="2"/>
  <c r="G9" i="2"/>
  <c r="AC5" i="3"/>
  <c r="G18" i="2"/>
  <c r="E5" i="2"/>
  <c r="E21" i="2"/>
  <c r="D11" i="2"/>
  <c r="E6" i="2"/>
  <c r="E12" i="2"/>
  <c r="E8" i="2"/>
  <c r="G20" i="2" l="1"/>
  <c r="E20" i="2"/>
  <c r="G11" i="2"/>
  <c r="E11" i="2"/>
</calcChain>
</file>

<file path=xl/sharedStrings.xml><?xml version="1.0" encoding="utf-8"?>
<sst xmlns="http://schemas.openxmlformats.org/spreadsheetml/2006/main" count="21235" uniqueCount="6057">
  <si>
    <t>Via Romae – Questgruppierung und Implementierung v0.9</t>
  </si>
  <si>
    <t>40 Questdefinitionen mit 396 Ablauf-Schritten; EnemyBalance und Stores sind verbindliche Balancing-/Datenverträge für GDD v0.16 und GeoJSON v0.9.</t>
  </si>
  <si>
    <t>Regulär</t>
  </si>
  <si>
    <t>Tag 1</t>
  </si>
  <si>
    <t>Tag 2</t>
  </si>
  <si>
    <t>Medien</t>
  </si>
  <si>
    <t>Hidden</t>
  </si>
  <si>
    <t>Bosse</t>
  </si>
  <si>
    <t>Ein-Ort</t>
  </si>
  <si>
    <t>Mehrort</t>
  </si>
  <si>
    <t>Ø Eignung</t>
  </si>
  <si>
    <t>Rote Pflichtorte</t>
  </si>
  <si>
    <t>Unique Gegner</t>
  </si>
  <si>
    <t>Unique Tag 1</t>
  </si>
  <si>
    <t>Unique Tag 2</t>
  </si>
  <si>
    <t>Questdefs</t>
  </si>
  <si>
    <t>Ablaufschritte</t>
  </si>
  <si>
    <t>Dialogknoten</t>
  </si>
  <si>
    <t>Charaktere</t>
  </si>
  <si>
    <t>Rätsel</t>
  </si>
  <si>
    <t>Kampfprofile</t>
  </si>
  <si>
    <t>Navigation</t>
  </si>
  <si>
    <t>Timerquests</t>
  </si>
  <si>
    <t>Checks OK</t>
  </si>
  <si>
    <t>Hauptmechanik</t>
  </si>
  <si>
    <t>Reguläre Quests</t>
  </si>
  <si>
    <t>Empfohlener Korridor</t>
  </si>
  <si>
    <t>Bewertung</t>
  </si>
  <si>
    <t>Kommentar</t>
  </si>
  <si>
    <t>BEOBACHTUNG_SUCHE</t>
  </si>
  <si>
    <t>4–6</t>
  </si>
  <si>
    <t>GPS-Ort und lokale Beobachtung bleiben in jeder Quest Basiselemente.</t>
  </si>
  <si>
    <t>ZUORDNUNG_REIHENFOLGE</t>
  </si>
  <si>
    <t>KURZTEXT_RAETSEL</t>
  </si>
  <si>
    <t>DIALOG_ENTSCHEIDUNG</t>
  </si>
  <si>
    <t>KAMPF</t>
  </si>
  <si>
    <t>Wichtigste Entscheidung</t>
  </si>
  <si>
    <t>Begründung</t>
  </si>
  <si>
    <t>Die Kombinationen sind Quest-Card-reif, aber noch nicht eventfreigegeben. Aktueller Sichtbeleg, blinder Antworttest und Event-Recheck bleiben Pflicht.</t>
  </si>
  <si>
    <t>Nicht als Pflichtort verwendet: Obelisco della Minerva, Portico d’Ottavia, Piazza del Teatro di Pompeo, Meta Sudans und Arco di Via Nola.</t>
  </si>
  <si>
    <t>Operativ schwächste Kernkombinationen: Tore des Borgo, Das gebändigte Wasser, Stimmen der Republik und Tore der Aurelianischen Mauer. Sie benötigen die stärksten Fallbacks.</t>
  </si>
  <si>
    <t>Via Romae – Abgleich mit der Questmatrix</t>
  </si>
  <si>
    <t>Sollwerte aus den bisherigen Entscheidungen versus die konkrete Gruppierung.</t>
  </si>
  <si>
    <t>Dimension</t>
  </si>
  <si>
    <t>Ausprägung</t>
  </si>
  <si>
    <t>Soll</t>
  </si>
  <si>
    <t>Ist</t>
  </si>
  <si>
    <t>Check</t>
  </si>
  <si>
    <t>Bedeutung</t>
  </si>
  <si>
    <t>Abweichung</t>
  </si>
  <si>
    <t>Tagesmenge</t>
  </si>
  <si>
    <t>9–10 waren erlaubt; 10 nutzt die obere Zielgröße.</t>
  </si>
  <si>
    <t>Dauer</t>
  </si>
  <si>
    <t>5–15</t>
  </si>
  <si>
    <t>Kurze Quests</t>
  </si>
  <si>
    <t>Gleich viele wie 15–25.</t>
  </si>
  <si>
    <t>15–25</t>
  </si>
  <si>
    <t>Mittlere Quests</t>
  </si>
  <si>
    <t>Gleich viele wie 5–15.</t>
  </si>
  <si>
    <t>25–35</t>
  </si>
  <si>
    <t>Längere Quests</t>
  </si>
  <si>
    <t>35–45</t>
  </si>
  <si>
    <t>Große Routen</t>
  </si>
  <si>
    <t>Orte pro Quest</t>
  </si>
  <si>
    <t>1 Ort</t>
  </si>
  <si>
    <t>Reduzierter Ein-Ort-Anteil</t>
  </si>
  <si>
    <t>Nur rund ein Viertel der regulären Quests.</t>
  </si>
  <si>
    <t>2–5 Orte</t>
  </si>
  <si>
    <t>Mehrortquests</t>
  </si>
  <si>
    <t>Tag 1 lokal</t>
  </si>
  <si>
    <t>Separate Medienquests</t>
  </si>
  <si>
    <t>Tag 2 lokal</t>
  </si>
  <si>
    <t>Langzeit</t>
  </si>
  <si>
    <t>Bilderchronik</t>
  </si>
  <si>
    <t>Separater Chronikslot</t>
  </si>
  <si>
    <t>Optionale Nebenquests</t>
  </si>
  <si>
    <t>Zählen nicht zum Limit</t>
  </si>
  <si>
    <t>Zielkorridor war 4–6.</t>
  </si>
  <si>
    <t>Boss</t>
  </si>
  <si>
    <t>World Bosses</t>
  </si>
  <si>
    <t>Je ein Tagesfinale.</t>
  </si>
  <si>
    <t>Klassen</t>
  </si>
  <si>
    <t>Historienanker</t>
  </si>
  <si>
    <t>Je eine Quest pro Klasse</t>
  </si>
  <si>
    <t>Schweizergardist, Condottiere, Bildhauer, Kleriker.</t>
  </si>
  <si>
    <t>Sicherheit</t>
  </si>
  <si>
    <t>Rote Pflichtstationen</t>
  </si>
  <si>
    <t>Harter Ausschluss</t>
  </si>
  <si>
    <t>Plausibilitätscheck OK</t>
  </si>
  <si>
    <t>Gehzeit + Interaktion im Band</t>
  </si>
  <si>
    <t>Planungswert, kein Routing.</t>
  </si>
  <si>
    <t>Eigenständige optionale Begegnungen</t>
  </si>
  <si>
    <t>Zählen weder zu regulären Quests noch Hidden Quests oder World Bosses.</t>
  </si>
  <si>
    <t>Rarität, Angriffsmuster und Stärke werden im Combat-Balancing festgelegt.</t>
  </si>
  <si>
    <t>Via Romae – 26 reguläre Questgruppen</t>
  </si>
  <si>
    <t>16 Quests an Tag 1, 10 an Tag 2. Sechs Ein-Ort-Quests; alle roten Kandidaten ausgeschlossen.</t>
  </si>
  <si>
    <t>Nr.</t>
  </si>
  <si>
    <t>Quest-ID</t>
  </si>
  <si>
    <t>Tag</t>
  </si>
  <si>
    <t>Arbeitstitel</t>
  </si>
  <si>
    <t>Orte in Reihenfolge</t>
  </si>
  <si>
    <t>Orte</t>
  </si>
  <si>
    <t>Dauerklasse</t>
  </si>
  <si>
    <t>Min</t>
  </si>
  <si>
    <t>Max</t>
  </si>
  <si>
    <t>Thema</t>
  </si>
  <si>
    <t>Epoche</t>
  </si>
  <si>
    <t>Klassenanker</t>
  </si>
  <si>
    <t>Gegner / Begegnung</t>
  </si>
  <si>
    <t>Gehstrecke (m)</t>
  </si>
  <si>
    <t>Gehminuten</t>
  </si>
  <si>
    <t>Interaktionsminuten</t>
  </si>
  <si>
    <t>Gesamtminuten</t>
  </si>
  <si>
    <t>Dauercheck</t>
  </si>
  <si>
    <t>Grün</t>
  </si>
  <si>
    <t>Gelb</t>
  </si>
  <si>
    <t>Rot</t>
  </si>
  <si>
    <t>Route</t>
  </si>
  <si>
    <t>Narrativ</t>
  </si>
  <si>
    <t>Hinweis</t>
  </si>
  <si>
    <t>Zugang</t>
  </si>
  <si>
    <t>Mechanikfit</t>
  </si>
  <si>
    <t>Gesamtscore</t>
  </si>
  <si>
    <t>Empfehlung</t>
  </si>
  <si>
    <t>Hauptrisiko</t>
  </si>
  <si>
    <t>Fallback</t>
  </si>
  <si>
    <t>D1-Q01</t>
  </si>
  <si>
    <t>DAY_1</t>
  </si>
  <si>
    <t>Der Fluchtkorridor</t>
  </si>
  <si>
    <t>Petersplatz → Passetto di Borgo → Engelsburg</t>
  </si>
  <si>
    <t>Sacco di Roma, päpstlicher Schutz</t>
  </si>
  <si>
    <t>RENAISSANCE</t>
  </si>
  <si>
    <t>SWISS_GUARD</t>
  </si>
  <si>
    <t>Schatten des Passetto</t>
  </si>
  <si>
    <t>Petersplatz: Menschenmenge und aktuelle Sicht der Bodenmarkierung.</t>
  </si>
  <si>
    <t>Bei unklarer Bodenmarkierung startet die Quest am Passetto mit dessen Mauerverlauf.</t>
  </si>
  <si>
    <t>D1-Q02</t>
  </si>
  <si>
    <t>Tore des Borgo</t>
  </si>
  <si>
    <t>St.-Pellegrino-Tor → Porta Cavalleggeri → Porta Santo Spirito</t>
  </si>
  <si>
    <t>Befestigung, päpstliche Macht</t>
  </si>
  <si>
    <t>CONDOTTIERE</t>
  </si>
  <si>
    <t>Cavalleggero Pontificio</t>
  </si>
  <si>
    <t>Zwei Hinweise sind relativ klein; Cavalleggeri ist nur als Mauerrest erhalten.</t>
  </si>
  <si>
    <t>Wenn Porta Cavalleggeri nicht eindeutig ist, endet die Quest an Porta Santo Spirito.</t>
  </si>
  <si>
    <t>D1-Q03</t>
  </si>
  <si>
    <t>Der Dreizack</t>
  </si>
  <si>
    <t>Piazza del Popolo → Obelisco Flaminio → Porta del Popolo</t>
  </si>
  <si>
    <t>Stadteingang und Stadtplanung</t>
  </si>
  <si>
    <t>ANTIKE_BIS_NEUZEIT</t>
  </si>
  <si>
    <t>Hohe Besucherzahl, aber alle Hinweise sind groß.</t>
  </si>
  <si>
    <t>Bei dichter Menschenmenge nur Silhouetten und Großformen verwenden.</t>
  </si>
  <si>
    <t>D1-Q04</t>
  </si>
  <si>
    <t>Antinoos über Rom</t>
  </si>
  <si>
    <t>Obelisco di Antinoo → Fontana della Dea di Roma → Balconata del Pincio</t>
  </si>
  <si>
    <t>Antinoos, Romulus und Remus, Pincio</t>
  </si>
  <si>
    <t>ANTIKE_REZEPTION</t>
  </si>
  <si>
    <t>Ombra di Antinoo</t>
  </si>
  <si>
    <t>Parkzugang und Tageszeit beachten.</t>
  </si>
  <si>
    <t>Bei gesperrtem Pincio wird die Quest deaktiviert; kein entfernter Ersatzpunkt.</t>
  </si>
  <si>
    <t>D1-Q05</t>
  </si>
  <si>
    <t>Die steinerne Barke</t>
  </si>
  <si>
    <t>Spanischer Platz</t>
  </si>
  <si>
    <t>Barocke Stadtinszenierung</t>
  </si>
  <si>
    <t>BAROCK</t>
  </si>
  <si>
    <t>Extreme Menschenmenge; nur die große Bootsform ist robust.</t>
  </si>
  <si>
    <t>Fallback ist die Richtung der großen Treppe zu Trinità dei Monti.</t>
  </si>
  <si>
    <t>D1-Q06</t>
  </si>
  <si>
    <t>Berninis Werkstatt</t>
  </si>
  <si>
    <t>Piazza Navona → Neptunsbrunnen → Mohrenbrunnen</t>
  </si>
  <si>
    <t>Bildhauerei und barocke Platzdramaturgie</t>
  </si>
  <si>
    <t>SCULPTOR</t>
  </si>
  <si>
    <t>Menschenmenge; nur große Figurenattribute verwenden.</t>
  </si>
  <si>
    <t>Fallback: Zahl und Lage der drei Brunnen statt einzelner Figurendetails.</t>
  </si>
  <si>
    <t>D1-Q07</t>
  </si>
  <si>
    <t>Agrippas Zeichen</t>
  </si>
  <si>
    <t>Pantheon → Obelisco Macuteo</t>
  </si>
  <si>
    <t>Pantheon und ägyptische Wiederverwendung</t>
  </si>
  <si>
    <t>ANTIKE_UND_PAEPSTLICHES_ROM</t>
  </si>
  <si>
    <t>Mummia dell’Iseo</t>
  </si>
  <si>
    <t>Pantheon-Außenpunkt und Besucherdichte müssen aktuell bestätigt werden.</t>
  </si>
  <si>
    <t>Fallback: Portikusform am Pantheon und Obelisk-auf-Brunnen-Beziehung.</t>
  </si>
  <si>
    <t>D1-Q08</t>
  </si>
  <si>
    <t>Kaiserbotschaften</t>
  </si>
  <si>
    <t>Obelisco di Montecitorio → Mark-Aurel-Säule</t>
  </si>
  <si>
    <t>Imperiale Erinnerung im Stadtraum</t>
  </si>
  <si>
    <t>ANTIKE_UND_NEUZEIT</t>
  </si>
  <si>
    <t>Verkehr und Menschenmenge, Hinweise selbst sind groß.</t>
  </si>
  <si>
    <t>Fallback: Form des Reliefbands beziehungsweise Schriftart am Obelisken.</t>
  </si>
  <si>
    <t>D1-Q09</t>
  </si>
  <si>
    <t>Das gebändigte Wasser</t>
  </si>
  <si>
    <t>Trevi-Brunnen → Acquedotto Vergine → Tritonenbrunnen</t>
  </si>
  <si>
    <t>Wasserversorgung und Brunnenkunst</t>
  </si>
  <si>
    <t>ANTIKE_BIS_BAROCK</t>
  </si>
  <si>
    <t>Ratto dell’Acqua Virgo</t>
  </si>
  <si>
    <t>Trevi ist extrem voll; die antiken Arkaden sind teilweise verdeckt.</t>
  </si>
  <si>
    <t>Wenn die Arkaden verdeckt sind, nutzt die gleichörtige Materialfrage und setzt die Route fort.</t>
  </si>
  <si>
    <t>D1-Q10</t>
  </si>
  <si>
    <t>Macht auf dem Quirinal</t>
  </si>
  <si>
    <t>Piazza Scanderbeg → Obelisco del Quirinale → Quirinalspalast</t>
  </si>
  <si>
    <t>Söldner, Papst und Republik</t>
  </si>
  <si>
    <t>RENAISSANCE_BIS_GEGENWART</t>
  </si>
  <si>
    <t>Corazziere del Colle</t>
  </si>
  <si>
    <t>Scanderbeg-Inschrift ist klein; am Palast Sicherheitsabstand einhalten.</t>
  </si>
  <si>
    <t>Bei unleserlicher Scanderbeg-Inschrift beginnt die Quest am Quirinal-Obelisken.</t>
  </si>
  <si>
    <t>D1-Q11</t>
  </si>
  <si>
    <t>Zeichen der Unbefleckten</t>
  </si>
  <si>
    <t>Colonna dell'Immacolata</t>
  </si>
  <si>
    <t>Marienverehrung und Stadtsymbolik</t>
  </si>
  <si>
    <t>NEUZEIT</t>
  </si>
  <si>
    <t>Menschenmenge, aber klare Silhouette.</t>
  </si>
  <si>
    <t>Fallback: Zahl der großen Sockelfiguren.</t>
  </si>
  <si>
    <t>D1-Q12</t>
  </si>
  <si>
    <t>Stimmen der Republik</t>
  </si>
  <si>
    <t>Ponte Sisto → Palazzo Farnese → Campo de' Fiori → Largo di Torre Argentina</t>
  </si>
  <si>
    <t>Macht, Markt und republikanische Erinnerung</t>
  </si>
  <si>
    <t>Campo-Marktzeiten, Palazzo-Sicherheitsbereich und Überblick am Largo.</t>
  </si>
  <si>
    <t>Jeder Abschnitt ist modular deaktivierbar; mindestens drei der vier Stationen müssen verfügbar sein.</t>
  </si>
  <si>
    <t>D1-Q13</t>
  </si>
  <si>
    <t>Roms große Bühne</t>
  </si>
  <si>
    <t>Basilica di Sant'Andrea della Valle → Fontana delle Tartarughe → Marcellustheater</t>
  </si>
  <si>
    <t>Theater, Fassade und barocke Inszenierung</t>
  </si>
  <si>
    <t>Custode delle Tartarughe</t>
  </si>
  <si>
    <t>Sant’Andrea-Fassadensicht und Schildkröten müssen aktuell bestätigt werden.</t>
  </si>
  <si>
    <t>Fallback: Großformen an Sant’Andrea und Teatro; Tartarughen-Detail bei Bedarf auslassen.</t>
  </si>
  <si>
    <t>D1-Q14</t>
  </si>
  <si>
    <t>Die steinerne Insel</t>
  </si>
  <si>
    <t>Isola Tiberina</t>
  </si>
  <si>
    <t>Tiberinsel und Heiltradition</t>
  </si>
  <si>
    <t>ANTIKE_BIS_GEGENWART</t>
  </si>
  <si>
    <t>Die Schiffsform ist nur vom richtigen Blickwinkel eindeutig.</t>
  </si>
  <si>
    <t>Fallback: allgemeine Inselform und sichtbare Brückenbeziehung.</t>
  </si>
  <si>
    <t>D1-Q15</t>
  </si>
  <si>
    <t>Cecilias Stimmen</t>
  </si>
  <si>
    <t>Basilica di Santa Cecilia in Trastevere → Santa Maria in Trastevere</t>
  </si>
  <si>
    <t>Märtyrertradition, Musik und Titelkirchen</t>
  </si>
  <si>
    <t>FRUEHCHRISTLICH_BIS_MITTELALTER</t>
  </si>
  <si>
    <t>CLERIC</t>
  </si>
  <si>
    <t>Santa Cecilia muss vollständig vom öffentlichen Außenpunkt funktionieren.</t>
  </si>
  <si>
    <t>Wenn Santa Cecilia außen nicht eindeutig ist, startet die Quest auf der Piazza Santa Maria.</t>
  </si>
  <si>
    <t>D1-Q16</t>
  </si>
  <si>
    <t>Republik auf dem Gianicolo</t>
  </si>
  <si>
    <t>Gianicolense-Mauern → Mausoleo Ossario Garibaldino → Fontana Dell'Acqua Paola → Monumento a Garibaldi → Monumento ad Anita Garibaldi</t>
  </si>
  <si>
    <t>Risorgimento und Verteidigung Roms</t>
  </si>
  <si>
    <t>19_JAHRHUNDERT</t>
  </si>
  <si>
    <t>Garibaldino delle Mura</t>
  </si>
  <si>
    <t>Steigung und längere Gehstrecke; kein Problem der Eintrittspflicht.</t>
  </si>
  <si>
    <t>Die Quest kann auf vier Stationen gekürzt werden; Fontana Acqua Paola bleibt als Revive-Punkt erhalten.</t>
  </si>
  <si>
    <t>D2-Q01</t>
  </si>
  <si>
    <t>DAY_2</t>
  </si>
  <si>
    <t>Stern des Kapitols</t>
  </si>
  <si>
    <t>Kapitolsplatz → Giulio Cesare</t>
  </si>
  <si>
    <t>Kapitolinische Machtbilder</t>
  </si>
  <si>
    <t>ANTIKE_UND_RENAISSANCE</t>
  </si>
  <si>
    <t>Caesar-Attribut besitzt nur mittlere Quellen- und Sichtstärke.</t>
  </si>
  <si>
    <t>Fallback: nur das robuste Stern-im-Oval-Muster des Platzes verwenden.</t>
  </si>
  <si>
    <t>D2-Q02</t>
  </si>
  <si>
    <t>Quadrigen der Einheit</t>
  </si>
  <si>
    <t>Nationaldenkmal für Viktor Emanuel II.</t>
  </si>
  <si>
    <t>Risorgimento und Nationalstaat</t>
  </si>
  <si>
    <t>19_BIS_20_JAHRHUNDERT</t>
  </si>
  <si>
    <t>Menschenmenge; Quadrigen bleiben als Großform sichtbar.</t>
  </si>
  <si>
    <t>Fallback: zentrale Reiterfigur statt Dachdetails.</t>
  </si>
  <si>
    <t>D2-Q03</t>
  </si>
  <si>
    <t>Arena und Triumph</t>
  </si>
  <si>
    <t>Konstantinsbogen → Kolosseum → Ludus Magnus</t>
  </si>
  <si>
    <t>Triumph, Spektakel und Gladiatorentraining</t>
  </si>
  <si>
    <t>ANTIKE</t>
  </si>
  <si>
    <t>Gladiator des Ludus</t>
  </si>
  <si>
    <t>Sehr hohe Besucherzahl; nur Außenräume und Großformen.</t>
  </si>
  <si>
    <t>Bei Überfüllung wird die Quest auf Konstantinsbogen und Ludus Magnus reduziert.</t>
  </si>
  <si>
    <t>D2-Q04</t>
  </si>
  <si>
    <t>Handel, Götter und Wahrheit</t>
  </si>
  <si>
    <t>Mund der Wahrheit → Tempel des Hercules Victor → Arco degli Argentari → Janusbogen</t>
  </si>
  <si>
    <t>Forum Boarium, Handel und Kulte</t>
  </si>
  <si>
    <t>ANTIKE_BIS_MITTELALTER</t>
  </si>
  <si>
    <t>Custode di Giano</t>
  </si>
  <si>
    <t>Bocca della Verità kann eine lange Warteschlange haben.</t>
  </si>
  <si>
    <t>Bei Warteschlange wird die Bocca nur aus Distanz genutzt oder durch die Tempelform ersetzt.</t>
  </si>
  <si>
    <t>D2-Q05</t>
  </si>
  <si>
    <t>Masken über dem Circus</t>
  </si>
  <si>
    <t>Tritonenbrunnen → Belvedere Romolo E Remo → Maskenbrunnen bei Santa Sabina</t>
  </si>
  <si>
    <t>Wasserfiguren und Aventinblick</t>
  </si>
  <si>
    <t>ANTIKE_REZEPTION_BIS_NEUZEIT</t>
  </si>
  <si>
    <t>Mascherone dell’Aventino</t>
  </si>
  <si>
    <t>Kurzer Anstieg; Blickrichtung am Belvedere muss eindeutig sein.</t>
  </si>
  <si>
    <t>Bei gesperrtem Brunnenbereich bleibt der Belvedere-Panoramafallback.</t>
  </si>
  <si>
    <t>D2-Q06</t>
  </si>
  <si>
    <t>Das steinerne Schiff</t>
  </si>
  <si>
    <t>Fontana della Navicella</t>
  </si>
  <si>
    <t>Antikenrezeption am Celio</t>
  </si>
  <si>
    <t>Nur die Großform des Schiffs verwenden.</t>
  </si>
  <si>
    <t>Fallback: Ausrichtung des Schiffs statt kleiner Details.</t>
  </si>
  <si>
    <t>D2-Q07</t>
  </si>
  <si>
    <t>Sitz der Kirche</t>
  </si>
  <si>
    <t>Lateranbasilika → Lateranischer Obelisk → Porta San Giovanni</t>
  </si>
  <si>
    <t>Lateran, Papsttum und Stadttor</t>
  </si>
  <si>
    <t>Menschenmenge und Verkehr, aber robuste Großformen.</t>
  </si>
  <si>
    <t>Bei Verkehrssperre bleibt die Quest auf Basilika-Außenfassade und Obelisk.</t>
  </si>
  <si>
    <t>D2-Q08</t>
  </si>
  <si>
    <t>Tore der Aurelianischen Mauer</t>
  </si>
  <si>
    <t>Porta Latina → Porta Metronia</t>
  </si>
  <si>
    <t>Stadtmauer und Verkehrsumbau</t>
  </si>
  <si>
    <t>Scorpione delle Mura</t>
  </si>
  <si>
    <t>Längere Gehstrecke und Verkehrsumfeld an Porta Metronia.</t>
  </si>
  <si>
    <t>Wenn Porta Metronia nicht sicher anspielbar ist, wird nur Porta Latina als Kurzquest aktiviert.</t>
  </si>
  <si>
    <t>D2-Q09</t>
  </si>
  <si>
    <t>Schichten des Esquilino</t>
  </si>
  <si>
    <t>Basilika Groß Sankt Marien → Obelisco Esquilino → Thermae Traianae</t>
  </si>
  <si>
    <t>Kirche, Obelisk und antike Thermen</t>
  </si>
  <si>
    <t>Vapore delle Terme</t>
  </si>
  <si>
    <t>Santa Maria Maggiore ist Bosszone und sehr belebt; Parkzugang zu den Thermen prüfen.</t>
  </si>
  <si>
    <t>Bei Parkschließung endet die Quest am Esquilino-Obelisken.</t>
  </si>
  <si>
    <t>D2-Q10</t>
  </si>
  <si>
    <t>Wasser über dem Tor</t>
  </si>
  <si>
    <t>Porta Maggiore und Aqua Claudia</t>
  </si>
  <si>
    <t>Aqua Claudia und Stadttor</t>
  </si>
  <si>
    <t>Idra dell’Aqua Claudia</t>
  </si>
  <si>
    <t>Sicherer Gehwegpunkt im Verkehrsknoten ist zwingend.</t>
  </si>
  <si>
    <t>Bei ungeeignetem Gehwegpunkt wird die Quest vollständig deaktiviert.</t>
  </si>
  <si>
    <t>Via Romae – Questdesign-Entwürfe</t>
  </si>
  <si>
    <t>Narrativer Hook, Spielerhandlung, Belohnungsvariation, Hidden Opportunity und Fallback je regulärer Quest.</t>
  </si>
  <si>
    <t>Narrativer Hook</t>
  </si>
  <si>
    <t>Kernhandlung der Spieler</t>
  </si>
  <si>
    <t>Sekundärmechaniken</t>
  </si>
  <si>
    <t>Belohnungsvariation</t>
  </si>
  <si>
    <t>Hidden Opportunity</t>
  </si>
  <si>
    <t>Redaktionsnotiz</t>
  </si>
  <si>
    <t>Rekonstruiert den Fluchtweg vom Petersplatz über den Passetto bis zur Engelsburg.</t>
  </si>
  <si>
    <t>An jedem Ort einen dauerhaften Hinweis identifizieren; am Ende entscheiden, wie die Nachhut den Rückzug deckt.</t>
  </si>
  <si>
    <t>GPS_ROUTE|BEOBACHTUNG|ZUORDNUNG|OPTIONALER_KAMPF</t>
  </si>
  <si>
    <t>Die Schlussentscheidung verändert Ruhm, Schutzbonus oder Kampfbelohnung.</t>
  </si>
  <si>
    <t>Ein unauffälliges Wappen kann einen kurzen Zusatzdialog der Schweizergarde öffnen.</t>
  </si>
  <si>
    <t>Verbindlicher Klassenanker Schweizergardist; nur Außenpunkte.</t>
  </si>
  <si>
    <t>Vergleicht drei sehr unterschiedliche Tore und entscheidet, welches ein Söldnerführer verteidigen würde.</t>
  </si>
  <si>
    <t>Torformen und Wappen zuordnen; taktische Entscheidung; Kampf gegen den päpstlichen Reiter.</t>
  </si>
  <si>
    <t>GPS_ROUTE|WAPPENSUCHE|FASSADENVERGLEICH|DIALOG</t>
  </si>
  <si>
    <t>Richtige Taktik gewährt Rüstungsbonus im Kampf.</t>
  </si>
  <si>
    <t>Das Borgia-Stiermotiv kann eine kurze Wappenspur auslösen.</t>
  </si>
  <si>
    <t>Verbindlicher Klassenanker Condottiere; aktuelle Sichtprüfung besonders wichtig.</t>
  </si>
  <si>
    <t>Lest Piazza, Obelisk und Tor als gemeinsam inszenierten nördlichen Eingang Roms.</t>
  </si>
  <si>
    <t>Dreizack erkennen, Löwen zählen und die Toröffnungen in die richtige historische Reihenfolge bringen.</t>
  </si>
  <si>
    <t>PANORAMABLICK|ZAEHLEN|REIHENFOLGE</t>
  </si>
  <si>
    <t>Fehlerfreie Reihenfolge gibt einen Navigationsbonus.</t>
  </si>
  <si>
    <t>Ein falscher Weg im Dreizack kann zu einer kurzen Irrläufer-Entscheidung führen.</t>
  </si>
  <si>
    <t>Verbindet ägyptische Zeichen, Roms Gründungsbild und den Blick über die Stadt.</t>
  </si>
  <si>
    <t>Zeichen und Figuren zuordnen; die korrekte Deutung schwächt den Schatten des Antinoos.</t>
  </si>
  <si>
    <t>MYTHENFIGUREN|AUSSICHTSABGLEICH|ZUORDNUNG</t>
  </si>
  <si>
    <t>Jede richtige Zuordnung entfernt eine Gegnerfähigkeit.</t>
  </si>
  <si>
    <t>Die Wölfin kann eine optionale Gründungslegende öffnen.</t>
  </si>
  <si>
    <t>Erkennt, weshalb der Brunnen wie ein halb gesunkenes Boot wirkt.</t>
  </si>
  <si>
    <t>Ort erreichen, Großform bestimmen und zwischen vier Objektformen wählen.</t>
  </si>
  <si>
    <t>OBJEKTFORM|MULTIPLE_CHOICE</t>
  </si>
  <si>
    <t>Schneller Abschluss; kleiner Wissensbonus für die Bernini-Zuordnung.</t>
  </si>
  <si>
    <t>Keine Hidden-Komponente empfohlen: zu viele Passanten.</t>
  </si>
  <si>
    <t>Lest die drei Brunnen als Werkstatt- und Inszenierungsraum des Barock.</t>
  </si>
  <si>
    <t>Brunnen ablaufen, Figurenattribute zuordnen und eine Werkstattentscheidung treffen.</t>
  </si>
  <si>
    <t>FIGURENDETAIL|VERGLEICH|DIALOG</t>
  </si>
  <si>
    <t>Die Werkstattwahl verändert Material- oder Ruhmbelohnung.</t>
  </si>
  <si>
    <t>Ein falsch zugeordnetes Tier kann einen humorvollen Lehrlingsauftrag öffnen.</t>
  </si>
  <si>
    <t>Verbindlicher Klassenanker Bildhauer; überschneidet sich bewusst mit Medienquest.</t>
  </si>
  <si>
    <t>Entschlüsselt zwei kurze sichtbare Hinweise auf demselben Platz.</t>
  </si>
  <si>
    <t>AGRIPPA als normalisierte Texteingabe erfassen und den Obelisken seinem heutigen Träger zuordnen.</t>
  </si>
  <si>
    <t>INSCHRIFT|OBJEKTBEZIEHUNG|OPTIONALER_KAMPF</t>
  </si>
  <si>
    <t>Fehlerfreie Texteingabe schwächt die Mumie des Iseums.</t>
  </si>
  <si>
    <t>Die Hieroglyphen können einen optionalen Gegnerhinweis auslösen.</t>
  </si>
  <si>
    <t>Vergleicht zwei Säulenmonumente und ihre sehr unterschiedlichen Bildsprachen.</t>
  </si>
  <si>
    <t>Hieroglyphen und Spiralrelief erkennen; Zweck und Bildsprache zuordnen.</t>
  </si>
  <si>
    <t>SCHRIFTERKENNUNG|RELIEFMUSTER|VERGLEICH</t>
  </si>
  <si>
    <t>Richtige Zuordnung gibt einen kurzen Wissensbonus.</t>
  </si>
  <si>
    <t>Keine zusätzliche Hidden Quest nötig.</t>
  </si>
  <si>
    <t>Folgt der Aqua Virgo von sichtbaren Arkaden bis zu zwei monumentalen Brunnenbildern.</t>
  </si>
  <si>
    <t>Wasserweg nachvollziehen, große Figuren zählen und den Kanalratten-Gegner stellen.</t>
  </si>
  <si>
    <t>GPS_ROUTE|ARKADEN|FIGURENVERGLEICH</t>
  </si>
  <si>
    <t>Jeder korrekt gelesene Wasserhinweis reduziert eine Gift-/Schmutzfähigkeit.</t>
  </si>
  <si>
    <t>Die Arkaden können den versteckten Auftrag „Ratte des Aquädukts“ öffnen.</t>
  </si>
  <si>
    <t>Verfolgt, wie militärische und staatliche Macht am Quirinal sichtbar wird.</t>
  </si>
  <si>
    <t>Name, Pferdegruppe und heutige Institution erfassen; anschließend Loyalität wählen.</t>
  </si>
  <si>
    <t>INSCHRIFT|PFERDEGRUPPE|GESCHICHTSWAHL|OPTIONALER_KAMPF</t>
  </si>
  <si>
    <t>Die Loyalitätswahl verändert Dialog und Begegnungsbelohnung.</t>
  </si>
  <si>
    <t>Das Porträtrelief kann einen kurzen Söldnerkodex-Zweig öffnen.</t>
  </si>
  <si>
    <t>Lest die Säule als Schichtung von antikem Material und neuzeitlicher Frömmigkeit.</t>
  </si>
  <si>
    <t>Spitzenfigur identifizieren und ihre Bedeutung in einer kurzen Auswahlfrage deuten.</t>
  </si>
  <si>
    <t>SILHOUETTE|SYMBOLDEUTUNG|MULTIPLE_CHOICE</t>
  </si>
  <si>
    <t>Kleine Wissens- oder Glaubensbelohnung.</t>
  </si>
  <si>
    <t>Keine Hidden-Komponente empfohlen.</t>
  </si>
  <si>
    <t>Vergleicht, wie Brücke, Palast, Markt und Ruinen politische Macht erzählen.</t>
  </si>
  <si>
    <t>Vier große Hinweise sammeln und am Ende entscheiden, wessen Stimme im Stadtbild dominiert.</t>
  </si>
  <si>
    <t>GPS_ROUTE|WAPPEN|DENKMAL|GESCHICHTSWAHL</t>
  </si>
  <si>
    <t>Die Entscheidung verändert Ruhm, Wissen oder Denare.</t>
  </si>
  <si>
    <t>Giordano Brunos geschlossenes Buch kann einen Nebenauftrag auslösen.</t>
  </si>
  <si>
    <t>Ordnet drei sehr verschiedene städtische Bühnen nach ihrer historischen Schicht.</t>
  </si>
  <si>
    <t>Fassadenasymmetrie, Brunnenfiguren und Arkadengeschosse erkennen und zeitlich ordnen.</t>
  </si>
  <si>
    <t>FASSADENDETAIL|FIGURENZAHL|SCHICHTENLESEN</t>
  </si>
  <si>
    <t>Richtige Reihenfolge gibt einen Dramaturgiebonus für die Bilderchronik.</t>
  </si>
  <si>
    <t>Die vier Schildkröten öffnen optional einen Wächterkampf.</t>
  </si>
  <si>
    <t>Verbindet die Schiffsform der Insel mit ihrer langen Geschichte als Heilort.</t>
  </si>
  <si>
    <t>Schiffsbug erkennen und die Tempelgeschichte in einem kurzen Rätsel deuten.</t>
  </si>
  <si>
    <t>FORMERKENNUNG|MEDIZINGESCHICHTE|DIALOG</t>
  </si>
  <si>
    <t>Richtige Deutung gewährt einen kleinen Heilbonus.</t>
  </si>
  <si>
    <t>Ein medizinisches Symbol kann einen Zusatzdialog öffnen.</t>
  </si>
  <si>
    <t>Folgt der Erinnerung an Cecilia bis zum großen Mosaik von Santa Maria in Trastevere.</t>
  </si>
  <si>
    <t>Außenhinweise lesen und im Dialog entscheiden, wie Legende und belegte Geschichte getrennt erzählt werden.</t>
  </si>
  <si>
    <t>NAMENHINWEIS|FASSADENMOSAIK|SYMBOLDEUTUNG</t>
  </si>
  <si>
    <t>Sorgfältige Quellenwahl erhöht Glauben/Wissen statt bloßer Denare.</t>
  </si>
  <si>
    <t>Ein Musikbezug kann eine kurze klassenspezifische Nebenfrage öffnen.</t>
  </si>
  <si>
    <t>Verbindlicher Klassenanker Kleriker; kein Innenraum.</t>
  </si>
  <si>
    <t>Steigt von den Mauern über das Ossarium und die Wasserfassade zu Garibaldi und Anita auf.</t>
  </si>
  <si>
    <t>Ereignisse und Denkmäler ordnen; am Ende Kampf gegen den Garibaldino der Mauern.</t>
  </si>
  <si>
    <t>GPS_ROUTE|DENKMAELER|WASSER|REIHENFOLGE</t>
  </si>
  <si>
    <t>Jede korrekt geordnete Station gibt dem Team einen gemeinsamen Buff.</t>
  </si>
  <si>
    <t>Ein Detail an Anitas Reitergruppe kann eine kurze Mutprobe öffnen.</t>
  </si>
  <si>
    <t>Lest Sternmuster und Caesarfigur als zwei bewusst gesetzte politische Zeichen.</t>
  </si>
  <si>
    <t>Muster und Attribut finden und den Aussagen Macht, Erinnerung oder Orientierung zuordnen.</t>
  </si>
  <si>
    <t>BODENMUSTER|FIGURENATTRIBUT|DIALOG</t>
  </si>
  <si>
    <t>Die Zuordnung verändert den folgenden Dialog.</t>
  </si>
  <si>
    <t>Keine Hidden-Komponente notwendig.</t>
  </si>
  <si>
    <t>Erkennt die zwei Quadrigen als monumentale Krönung des Nationaldenkmals.</t>
  </si>
  <si>
    <t>Großformen zählen und die Epoche des Denkmals zuordnen.</t>
  </si>
  <si>
    <t>SILHOUETTENZAEHLUNG|MULTIPLE_CHOICE</t>
  </si>
  <si>
    <t>Schneller Ruhmbonus.</t>
  </si>
  <si>
    <t>Verbindet Triumphbogen, Amphitheater und Trainingsarena zu einem Kampfkreislauf.</t>
  </si>
  <si>
    <t>Durchgänge und Arenaform lesen; daraus eine Taktik gegen den Gladiator ableiten.</t>
  </si>
  <si>
    <t>BOGENZAEHLUNG|ARENAFORM|TAKTIK</t>
  </si>
  <si>
    <t>Richtige Taktik beeinflusst Startinitiative und Beute.</t>
  </si>
  <si>
    <t>Ein Detail am Ludus kann einen optionalen Trainerdialog öffnen.</t>
  </si>
  <si>
    <t>Lest vier eng benachbarte Monumente als Knoten von Handel, Kult und späterer Legende.</t>
  </si>
  <si>
    <t>Großformen vergleichen und am Ende entscheiden, welche Erklärung historisch, später oder legendär ist.</t>
  </si>
  <si>
    <t>GESICHTSDETAIL|BAUFORM|FORMVERGLEICH|RUNDGANG</t>
  </si>
  <si>
    <t>Saubere Trennung von Fakt und Legende erhöht Wissensbelohnung.</t>
  </si>
  <si>
    <t>Der Janusbogen kann einen optionalen Vier-Seiten-Wächter öffnen.</t>
  </si>
  <si>
    <t>Verbindet zwei Brunnenwesen mit dem Panorama über den Circus Maximus.</t>
  </si>
  <si>
    <t>Tritonen und Maske vergleichen und anschließend Palatin und Aventin richtig zuordnen.</t>
  </si>
  <si>
    <t>FIGURENVERGLEICH|MASKENDETAIL|PANORAMA</t>
  </si>
  <si>
    <t>Richtige Zuordnung gibt Bonus für die Streitwagen-Medienquest.</t>
  </si>
  <si>
    <t>Die Maske kann einen optionalen kurzen Gegnerkampf öffnen.</t>
  </si>
  <si>
    <t>Deutet die Navicella als sichtbares Schiffssymbol vor dem Kirchenraum.</t>
  </si>
  <si>
    <t>Objektform erfassen und eine kurze Deutung auswählen oder eingeben.</t>
  </si>
  <si>
    <t>OBJEKTFORM|SYMBOLDEUTUNG</t>
  </si>
  <si>
    <t>Kleiner Navigations- oder Wissensbonus.</t>
  </si>
  <si>
    <t>Verknüpft Kathedralfassade, Obelisk und Stadttor als geistliches und städtisches Machtzentrum.</t>
  </si>
  <si>
    <t>Drei Großhinweise erfassen und im Dialog geistliche, imperiale und städtische Funktion trennen.</t>
  </si>
  <si>
    <t>FASSADENSILHOUETTE|SCHRIFT|TORFORM</t>
  </si>
  <si>
    <t>Die Schlusswahl beeinflusst Glauben, Wissen oder Schutz.</t>
  </si>
  <si>
    <t>Eine klassenspezifische Klerikeroption ist sinnvoll, aber kein zusätzlicher Pflichtanker.</t>
  </si>
  <si>
    <t>Vergleicht ein monumentales Tor mit einem vermauerten historischen Durchlass.</t>
  </si>
  <si>
    <t>Türme und Öffnungszustand erkennen; die beiden Orte nach Wehr- und Verkehrslogik zuordnen.</t>
  </si>
  <si>
    <t>GPS_ROUTE|ALT_NEU_VERGLEICH|TORFORM</t>
  </si>
  <si>
    <t>Richtige Zuordnung reduziert die Verteidigung des Mauerskorpions.</t>
  </si>
  <si>
    <t>Ein Mauerzeichen kann einen kurzen Nebenfund öffnen.</t>
  </si>
  <si>
    <t>Lest drei sichtbare Schichten Roms vom Obelisken über die Basilika bis zur Ziegelruine.</t>
  </si>
  <si>
    <t>Großformen und Material erkennen; Schichten zeitlich ordnen; optionaler Dampfgegner.</t>
  </si>
  <si>
    <t>FASSADE|OBELISK|MATERIAL|OPTIONALER_KAMPF</t>
  </si>
  <si>
    <t>Richtige Chronologie gibt Widerstand gegen den späteren Boss.</t>
  </si>
  <si>
    <t>Der Thermendampf kann einen kurzen Kampf öffnen.</t>
  </si>
  <si>
    <t>Erkennt den Doppelbogen als Tor und Träger zweier Wasserleitungen.</t>
  </si>
  <si>
    <t>Bögen und Aquäduktfunktion verbinden; danach kurzer Kampf gegen die Wasserhydra.</t>
  </si>
  <si>
    <t>DOPPELBOGEN|INFRASTRUKTUR|TAKTIK</t>
  </si>
  <si>
    <t>Korrekte Infrastrukturerklärung entfernt einen Hydrakopf.</t>
  </si>
  <si>
    <t>Keine zusätzliche Hidden Quest notwendig.</t>
  </si>
  <si>
    <t>Via Romae – Mechanikbewertung</t>
  </si>
  <si>
    <t>Eignung jeder Questkombination auf einer Skala von 0 bis 5. Null bedeutet irrelevant, fünf bedeutet ideal.</t>
  </si>
  <si>
    <t>Typ</t>
  </si>
  <si>
    <t>Titel</t>
  </si>
  <si>
    <t>GPS / Gehen</t>
  </si>
  <si>
    <t>Beobachtung / Suche</t>
  </si>
  <si>
    <t>Zählen / MC</t>
  </si>
  <si>
    <t>Zuordnen / Reihenfolge</t>
  </si>
  <si>
    <t>Kurze Texteingabe / Rätsel</t>
  </si>
  <si>
    <t>Dialog / Entscheidung</t>
  </si>
  <si>
    <t>Kampf</t>
  </si>
  <si>
    <t>Stärkste Eignung</t>
  </si>
  <si>
    <t>Warum funktioniert es?</t>
  </si>
  <si>
    <t>Schwäche / Bedingung</t>
  </si>
  <si>
    <t>REGULAER</t>
  </si>
  <si>
    <t>M-D1-01</t>
  </si>
  <si>
    <t>MEDIA_LOCAL</t>
  </si>
  <si>
    <t>Foto mit Schweizer Gardist</t>
  </si>
  <si>
    <t>Petersplatz</t>
  </si>
  <si>
    <t>MEDIEN</t>
  </si>
  <si>
    <t>Teamfoto mit einem Schweizer Gardisten am Petersplatz.</t>
  </si>
  <si>
    <t>Gardist ist nicht garantiert verfügbar; respektvolle Distanz und Menschenmenge.</t>
  </si>
  <si>
    <t>M-D1-02</t>
  </si>
  <si>
    <t>Wie ein Engel</t>
  </si>
  <si>
    <t>Engelsbrücke</t>
  </si>
  <si>
    <t>Bewusst offene kreative Fotoaufgabe auf der Engelsbrücke.</t>
  </si>
  <si>
    <t>Hohe Besucherzahl und schmale Bewegungsflächen.</t>
  </si>
  <si>
    <t>M-D1-03</t>
  </si>
  <si>
    <t>Drei Brunnen, drei Figuren</t>
  </si>
  <si>
    <t>Je eine Figurenpose aus jedem der drei Brunnen der Piazza Navona nachstellen.</t>
  </si>
  <si>
    <t>Menschenmenge; nur große Figuren als Vorbild verwenden.</t>
  </si>
  <si>
    <t>M-LT-01</t>
  </si>
  <si>
    <t>MEDIA_LANGZEIT</t>
  </si>
  <si>
    <t>BOTH_DAYS</t>
  </si>
  <si>
    <t>Roma in zwölf Bildern</t>
  </si>
  <si>
    <t>Marcellustheater</t>
  </si>
  <si>
    <t>Maximal zwölf Bilder erzählen eine erkennbare Kurzgeschichte mit sichtbaren Klassenrollen.</t>
  </si>
  <si>
    <t>Bewertung benötigt klare Rubrik; darf reguläre Questslots nicht blockieren.</t>
  </si>
  <si>
    <t>M-D2-01</t>
  </si>
  <si>
    <t>Streitwagenrennen</t>
  </si>
  <si>
    <t>Circus Maximus</t>
  </si>
  <si>
    <t>Ein Streitwagenrennen als zusammenhängender Akt in exakt fünf Bildern.</t>
  </si>
  <si>
    <t>Große offene Fläche; sichere Laufrichtung im Briefing festlegen.</t>
  </si>
  <si>
    <t>M-D2-02</t>
  </si>
  <si>
    <t>Gladiatorenkampf</t>
  </si>
  <si>
    <t>Kolosseum</t>
  </si>
  <si>
    <t>Kurze inszenierte Bildserie eines Gladiatorenkampfs vor dem Kolosseum.</t>
  </si>
  <si>
    <t>Sehr hohe Besucherzahl; keine reale Kampfbewegung in Engstellen.</t>
  </si>
  <si>
    <t>M-D2-03</t>
  </si>
  <si>
    <t>Souvenirreview</t>
  </si>
  <si>
    <t>Trajansmärkte</t>
  </si>
  <si>
    <t>30–60 Sekunden Review eines Souvenirs bis maximal 5 EUR; Kauf kann anderswo erfolgen.</t>
  </si>
  <si>
    <t>Kauf darf nicht am Ort vorausgesetzt werden; Außenpunkt eindeutig festlegen.</t>
  </si>
  <si>
    <t>H-D1-01</t>
  </si>
  <si>
    <t>HIDDEN</t>
  </si>
  <si>
    <t>Die Schildkröten wachen</t>
  </si>
  <si>
    <t>Fontana delle Tartarughe</t>
  </si>
  <si>
    <t>Eine zusätzliche Beobachtung an den vier Schildkröten löst einen kurzen Wächterkampf aus.</t>
  </si>
  <si>
    <t>Aktuelle Sicht der Schildkröten prüfen.</t>
  </si>
  <si>
    <t>H-D1-02</t>
  </si>
  <si>
    <t>Ratte des Aquädukts</t>
  </si>
  <si>
    <t>Acquedotto Vergine</t>
  </si>
  <si>
    <t>Wer die verdeckten Arkaden findet, entdeckt die Kanalratte der Aqua Virgo.</t>
  </si>
  <si>
    <t>Arkaden sind teilweise verdeckt.</t>
  </si>
  <si>
    <t>H-D1-03</t>
  </si>
  <si>
    <t>Die Satirelli</t>
  </si>
  <si>
    <t>Fontana dei Satirelli</t>
  </si>
  <si>
    <t>Die beiden Satyrn öffnen einen kurzen Zuordnungs- oder Begegnungsauftrag.</t>
  </si>
  <si>
    <t>Parköffnungszeiten.</t>
  </si>
  <si>
    <t>H-D2-01</t>
  </si>
  <si>
    <t>Wächter der Porta Magica</t>
  </si>
  <si>
    <t>Piazza Vittorio Emanuele Secondo</t>
  </si>
  <si>
    <t>Zwei steinerne Wächter führen zu einer kurzen alchemistischen Zuordnung.</t>
  </si>
  <si>
    <t>Parkzugang und Sicht der Wächterfiguren.</t>
  </si>
  <si>
    <t>H-D2-02</t>
  </si>
  <si>
    <t>Dantes Windrose</t>
  </si>
  <si>
    <t>Piazza Dante</t>
  </si>
  <si>
    <t>Die große Windrose öffnet eine kurze Richtungs- und Textaufgabe.</t>
  </si>
  <si>
    <t>B-D1-01</t>
  </si>
  <si>
    <t>WORLD_BOSS</t>
  </si>
  <si>
    <t>Il Cannoniere del Gianicolo</t>
  </si>
  <si>
    <t>Terrazza del Gianicolo</t>
  </si>
  <si>
    <t>Tag-1-Finale auf der öffentlichen Terrasse des Gianicolo.</t>
  </si>
  <si>
    <t>Menschenmenge und sichere Aufstellfläche aktuell prüfen.</t>
  </si>
  <si>
    <t>B-D2-01</t>
  </si>
  <si>
    <t>Custode della Neve</t>
  </si>
  <si>
    <t>Basilika Groß Sankt Marien</t>
  </si>
  <si>
    <t>Tag-2-Finale vor Santa Maria Maggiore; Schneemotiv ausdrücklich als Legende erzählen.</t>
  </si>
  <si>
    <t>Sehr hohe Besucherzahl; sichere Bossfläche muss remote aktuell geprüft werden.</t>
  </si>
  <si>
    <t>Via Romae – Ortszuordnung</t>
  </si>
  <si>
    <t>Jede Station mit Reihenfolge, Koordinate, Ortsfrage, Quelle und nachvollziehbarer Distanzschätzung.</t>
  </si>
  <si>
    <t>Questtyp</t>
  </si>
  <si>
    <t>Sequenz</t>
  </si>
  <si>
    <t>Kandidaten-ID</t>
  </si>
  <si>
    <t>Ort</t>
  </si>
  <si>
    <t>Rolle in der Quest</t>
  </si>
  <si>
    <t>Cluster</t>
  </si>
  <si>
    <t>Breite</t>
  </si>
  <si>
    <t>Länge</t>
  </si>
  <si>
    <t>Ampel</t>
  </si>
  <si>
    <t>Research-Status</t>
  </si>
  <si>
    <t>Sichtbarer Hinweis</t>
  </si>
  <si>
    <t>Ortsfrage</t>
  </si>
  <si>
    <t>Sollantwort</t>
  </si>
  <si>
    <t>Primärquelle</t>
  </si>
  <si>
    <t>Google Maps</t>
  </si>
  <si>
    <t>Segment Luftlinie (m)</t>
  </si>
  <si>
    <t>Gehstrecke geschätzt (m)</t>
  </si>
  <si>
    <t>Zugangs-/Fallbacknotiz</t>
  </si>
  <si>
    <t>Gegnerbezug</t>
  </si>
  <si>
    <t>place_day_1_piazza_san_pietro</t>
  </si>
  <si>
    <t>START / ERSTER HINWEIS</t>
  </si>
  <si>
    <t>D1_VATICANO_PRATI_BORGO</t>
  </si>
  <si>
    <t>GELB</t>
  </si>
  <si>
    <t>GELB_MENSCHENMENGE</t>
  </si>
  <si>
    <t>Runde Marmor-Brennpunktmarkierung im Pflaster zwischen Obelisk und Kolonnade; danach Blick auf die großen Säulen.</t>
  </si>
  <si>
    <t>Stellt euch auf eine der runden Marmorplatten auf der Querachse des Obelisken und blickt zur Kolonnade. Wie viele Säulenreihen scheinen übrig zu bleiben?</t>
  </si>
  <si>
    <t>Eine</t>
  </si>
  <si>
    <t>https://www.turismoroma.it/it/luoghi/piazza-san-pietro</t>
  </si>
  <si>
    <t>https://www.google.com/maps/search/?api=1&amp;query=41.9022286,12.4573576</t>
  </si>
  <si>
    <t>V03-Punkt; Die Bodenmarkierung muss vor Veröffentlichung auf einem aktuellen Bild eindeutig lokalisiert werden.</t>
  </si>
  <si>
    <t>place_day_1_passetto_di_borgo</t>
  </si>
  <si>
    <t>Passetto di Borgo</t>
  </si>
  <si>
    <t>ZWISCHENSTATION</t>
  </si>
  <si>
    <t>GRUEN</t>
  </si>
  <si>
    <t>GRUEN_MIT_BLICKPUNKT</t>
  </si>
  <si>
    <t>Langer, geschlossener Maueraufbau mit kleinen Öffnungen; vom öffentlichen Straßenraum sichtbar.</t>
  </si>
  <si>
    <t>Wo verläuft der befestigte Verbindungsgang des Passetto?</t>
  </si>
  <si>
    <t>Auf der Mauer</t>
  </si>
  <si>
    <t>https://www.turismoroma.it/en/places/passetto-di-borgo</t>
  </si>
  <si>
    <t>https://www.google.com/maps/search/?api=1&amp;query=41.9032733,12.4610723</t>
  </si>
  <si>
    <t>V03-Punkt; Exakten Gehsteig-Blickpunkt im Dossier verwenden; der begehbare Passetto selbst ist nicht erforderlich.</t>
  </si>
  <si>
    <t>place_day_1_castel_sant_angelo</t>
  </si>
  <si>
    <t>Engelsburg</t>
  </si>
  <si>
    <t>ABSCHLUSS</t>
  </si>
  <si>
    <t>GRUEN_AUSSENPUNKT</t>
  </si>
  <si>
    <t>Große geflügelte Bronzefigur auf dem höchsten Punkt, vom öffentlichen Vorplatz sichtbar.</t>
  </si>
  <si>
    <t>Welche geflügelte Figur bekrönt die Engelsburg?</t>
  </si>
  <si>
    <t>Der Erzengel Michael</t>
  </si>
  <si>
    <t>https://www.turismoroma.it/en/places/santangelo-castle</t>
  </si>
  <si>
    <t>https://www.google.com/maps/search/?api=1&amp;query=41.90262,12.46686</t>
  </si>
  <si>
    <t>Moved from the monument centroid to the public exterior forecourt at the bridge/castle approach. No ticket or castle entry may be required.; Nur der öffentliche Vorplatz darf als Trigger dienen; kein Eintritt in die Burg.</t>
  </si>
  <si>
    <t>place_day_1_porta_san_pellegrino</t>
  </si>
  <si>
    <t>St.-Pellegrino-Tor</t>
  </si>
  <si>
    <t>GELB_DETAIL_HOCH</t>
  </si>
  <si>
    <t>Großer Torbogen und hoch angebrachtes päpstliches Wappen mit Stiermotiv.</t>
  </si>
  <si>
    <t>Welches Tier erkennt ihr im Wappen über dem Torbogen?</t>
  </si>
  <si>
    <t>Einen Stier</t>
  </si>
  <si>
    <t>https://it.wikipedia.org/wiki/Porta_San_Pellegrino</t>
  </si>
  <si>
    <t>https://www.google.com/maps/search/?api=1&amp;query=41.903386,12.4571483</t>
  </si>
  <si>
    <t>V03-Punkt; Der Stier ist relativ hoch angebracht; Antwortgröße auf aktuellen Bildern prüfen.</t>
  </si>
  <si>
    <t>place_day_1_porta_cavalleggeri</t>
  </si>
  <si>
    <t>Porta Cavalleggeri</t>
  </si>
  <si>
    <t>GELB_KLEINER_MAUERREST</t>
  </si>
  <si>
    <t>Ein einzelner erhaltener Mauerbogen mit päpstlichen Zeichen nahe dem Vatikan.</t>
  </si>
  <si>
    <t>Wie viele historische Hauptbögen sind als Torrest sichtbar?</t>
  </si>
  <si>
    <t>Einer</t>
  </si>
  <si>
    <t>https://www.openstreetmap.org/node/6205478926</t>
  </si>
  <si>
    <t>https://www.google.com/maps/search/?api=1&amp;query=41.9003883,12.4563148</t>
  </si>
  <si>
    <t>V03-Punkt; Als Ersatz für einen zu vollen Petersplatz geeignet; Sichtbarkeit zwischen Verkehr und parkenden Fahrzeugen prüfen.</t>
  </si>
  <si>
    <t>place_day_1_porta_santo_spirito</t>
  </si>
  <si>
    <t>Porta Santo Spirito</t>
  </si>
  <si>
    <t>Großer Mittelbogen, paarweise Säulen und deutlich erkennbare leere Nischen.</t>
  </si>
  <si>
    <t>Welche Kombination flankiert den großen mittleren Bogen?</t>
  </si>
  <si>
    <t>Dorische Säulen und leere Nischen</t>
  </si>
  <si>
    <t>https://www.turismoroma.it/it/luoghi/porta-santo-spirito</t>
  </si>
  <si>
    <t>https://www.google.com/maps/search/?api=1&amp;query=41.9003045,12.4615874</t>
  </si>
  <si>
    <t>V03-Punkt; VISUAL_EVIDENCE_NOT_YET_VERIFIED</t>
  </si>
  <si>
    <t>place_day_1_piazza_del_popolo</t>
  </si>
  <si>
    <t>Piazza del Popolo</t>
  </si>
  <si>
    <t>D1_POPOLO_PINCIO_SPAGNA</t>
  </si>
  <si>
    <t>GRUEN_KONZEPTREIF</t>
  </si>
  <si>
    <t>Zwei große Kuppelkirchen am südlichen Platzende und drei radial ausgehende Straßen.</t>
  </si>
  <si>
    <t>Wie viele nahezu spiegelbildliche Kuppelkirchen flankieren den Beginn der Via del Corso?</t>
  </si>
  <si>
    <t>Zwei</t>
  </si>
  <si>
    <t>https://en.wikipedia.org/wiki/Piazza_del_Popolo</t>
  </si>
  <si>
    <t>https://www.google.com/maps/search/?api=1&amp;query=41.9107491,12.4763454</t>
  </si>
  <si>
    <t>V03-Punkt; VISUAL_EVIDENCE_NOT_YET_VERIFIED|CROWDING_RISK</t>
  </si>
  <si>
    <t>place_day_1_obelisco_flaminio</t>
  </si>
  <si>
    <t>Obelisco Flaminio</t>
  </si>
  <si>
    <t>Vier monumentale Löwenbrunnen unmittelbar um den Sockel.</t>
  </si>
  <si>
    <t>Wie viele Löwenbrunnen stehen rund um den Sockel des Obelisken?</t>
  </si>
  <si>
    <t>Vier</t>
  </si>
  <si>
    <t>https://en.wikipedia.org/wiki/Flaminio_Obelisk</t>
  </si>
  <si>
    <t>https://www.google.com/maps/search/?api=1&amp;query=41.9107077,12.4763431</t>
  </si>
  <si>
    <t>place_day_1_porta_del_popolo</t>
  </si>
  <si>
    <t>Porta del Popolo</t>
  </si>
  <si>
    <t>Drei große heutige Öffnungen, davon ein höherer Mittelbogen.</t>
  </si>
  <si>
    <t>Wie viele große Durchgänge besitzt die Porta del Popolo heute?</t>
  </si>
  <si>
    <t>Drei</t>
  </si>
  <si>
    <t>https://en.wikipedia.org/wiki/Porta_del_Popolo</t>
  </si>
  <si>
    <t>https://www.google.com/maps/search/?api=1&amp;query=41.9115252,12.4759941</t>
  </si>
  <si>
    <t>place_day_1_obelisco_di_antinoo</t>
  </si>
  <si>
    <t>Obelisco di Antinoo</t>
  </si>
  <si>
    <t>GRUEN_PARKZUGANG</t>
  </si>
  <si>
    <t>Hieroglyphen auf allen Schaftseiten und deutliche Obeliskform.</t>
  </si>
  <si>
    <t>Welche Art von Schriftzeichen bedeckt den Schaft?</t>
  </si>
  <si>
    <t>Hieroglyphen</t>
  </si>
  <si>
    <t>https://it.wikipedia.org/wiki/Obelisco_del_Pincio</t>
  </si>
  <si>
    <t>https://www.google.com/maps/search/?api=1&amp;query=41.9108092,12.479749</t>
  </si>
  <si>
    <t>place_day_1_fontana_della_dea_di_roma</t>
  </si>
  <si>
    <t>Fontana della Dea di Roma</t>
  </si>
  <si>
    <t>Zentrale sitzende Göttin und gut erkennbare Wölfin mit Zwillingen im unteren Bereich.</t>
  </si>
  <si>
    <t>Welches Tier ist zusammen mit den Zwillingen Romulus und Remus dargestellt?</t>
  </si>
  <si>
    <t>Eine Wölfin</t>
  </si>
  <si>
    <t>https://www.openstreetmap.org/relation/11496554</t>
  </si>
  <si>
    <t>https://www.google.com/maps/search/?api=1&amp;query=41.9109167,12.4771784</t>
  </si>
  <si>
    <t>place_day_1_balconata_del_pincio</t>
  </si>
  <si>
    <t>Balconata del Pincio</t>
  </si>
  <si>
    <t>Große Balustrade mit unmittelbarem Überblick auf Piazza del Popolo.</t>
  </si>
  <si>
    <t>Welcher große Platz liegt direkt unter der Aussichtsterrasse?</t>
  </si>
  <si>
    <t>https://www.openstreetmap.org/node/649529694</t>
  </si>
  <si>
    <t>https://www.google.com/maps/search/?api=1&amp;query=41.9110905,12.4779346</t>
  </si>
  <si>
    <t>place_day_1_piazza_di_spagna</t>
  </si>
  <si>
    <t>GRUEN_MENSCHENMENGE</t>
  </si>
  <si>
    <t>Bootsförmiger Brunnen am Fuß der großen Freitreppe.</t>
  </si>
  <si>
    <t>Welche Form hat der Brunnen am Fuß der Spanischen Treppe?</t>
  </si>
  <si>
    <t>Ein Boot</t>
  </si>
  <si>
    <t>https://it.wikipedia.org/wiki/Piazza_di_Spagna</t>
  </si>
  <si>
    <t>https://www.google.com/maps/search/?api=1&amp;query=41.9056657,12.4822771</t>
  </si>
  <si>
    <t>V03-Punkt; Die sehr hohe Besucherzahl kann Zähl- und Bodenaufgaben stören; nur Großform verwenden.</t>
  </si>
  <si>
    <t>place_day_1_piazza_navona</t>
  </si>
  <si>
    <t>Piazza Navona</t>
  </si>
  <si>
    <t>D1_NAVONA_PANTHEON</t>
  </si>
  <si>
    <t>Drei weit auseinanderliegende Großbrunnen entlang der Platzachse.</t>
  </si>
  <si>
    <t>Wie viele große Brunnen liegen entlang der Längsachse der Piazza Navona?</t>
  </si>
  <si>
    <t>https://it.wikipedia.org/wiki/Piazza_Navona</t>
  </si>
  <si>
    <t>https://www.google.com/maps/search/?api=1&amp;query=41.8989256,12.4730991</t>
  </si>
  <si>
    <t>V03-Punkt; Für die Medienquest sind alle drei Brunnen als separate Fotostationen zu markieren.</t>
  </si>
  <si>
    <t>place_day_1_fontana_del_nettuno</t>
  </si>
  <si>
    <t>Neptunsbrunnen</t>
  </si>
  <si>
    <t>Große zentrale Neptunfigur im Ringkampf mit einem vielarmigen Meerestier.</t>
  </si>
  <si>
    <t>Mit welchem Meerestier ringt Neptun in der zentralen Skulptur?</t>
  </si>
  <si>
    <t>Mit einem Oktopus</t>
  </si>
  <si>
    <t>https://it.wikipedia.org/wiki/Fontana_del_Nettuno_(Roma)</t>
  </si>
  <si>
    <t>https://www.google.com/maps/search/?api=1&amp;query=41.8997976,12.4730207</t>
  </si>
  <si>
    <t>place_day_1_fontana_del_moro</t>
  </si>
  <si>
    <t>Mohrenbrunnen</t>
  </si>
  <si>
    <t>Zentrale männliche Figur mit Delfin; vier Tritonen im unteren Becken.</t>
  </si>
  <si>
    <t>Welches Tier hält die zentrale Figur des Mohrenbrunnens fest?</t>
  </si>
  <si>
    <t>Einen Delfin</t>
  </si>
  <si>
    <t>https://it.wikipedia.org/wiki/Fontana_del_Moro</t>
  </si>
  <si>
    <t>https://www.google.com/maps/search/?api=1&amp;query=41.8981115,12.4731529</t>
  </si>
  <si>
    <t>place_day_1_pantheon</t>
  </si>
  <si>
    <t>Pantheon</t>
  </si>
  <si>
    <t>Sehr große lateinische Inschrift über dem Portikus; vollständig vom öffentlichen Platz lesbar.</t>
  </si>
  <si>
    <t>Welcher Name steht in der obersten Zeile der großen Inschrift über dem Eingang?</t>
  </si>
  <si>
    <t>AGRIPPA</t>
  </si>
  <si>
    <t>https://www.turismoroma.it/it/luoghi/pantheon</t>
  </si>
  <si>
    <t>https://www.google.com/maps/search/?api=1&amp;query=41.8986261,12.4768335</t>
  </si>
  <si>
    <t>V03-Punkt; Trigger auf Piazza della Rotonda legen; kein Eintritt und keine Innenfrage.</t>
  </si>
  <si>
    <t>place_day_1_obelisco_macuteo</t>
  </si>
  <si>
    <t>Obelisco Macuteo</t>
  </si>
  <si>
    <t>Obelisk mit Hieroglyphen, der sichtbar aus der Brunnenanlage der Piazza della Rotonda aufragt.</t>
  </si>
  <si>
    <t>Auf welchem Bauwerk steht der Obelisco Macuteo heute?</t>
  </si>
  <si>
    <t>Auf einem Brunnen</t>
  </si>
  <si>
    <t>https://it.wikipedia.org/wiki/Obelisco_del_Pantheon</t>
  </si>
  <si>
    <t>https://www.google.com/maps/search/?api=1&amp;query=41.8993124,12.4767399</t>
  </si>
  <si>
    <t>place_day_1_obelisco_di_montecitorio</t>
  </si>
  <si>
    <t>Obelisco di Montecitorio</t>
  </si>
  <si>
    <t>Monumentaler Schaft mit Hieroglyphen und einer Metallkugel an der Spitze.</t>
  </si>
  <si>
    <t>Welche Schriftzeichen bedecken den Schaft des Obelisken?</t>
  </si>
  <si>
    <t>Ägyptische Hieroglyphen</t>
  </si>
  <si>
    <t>https://it.wikipedia.org/wiki/Obelisco_di_Montecitorio</t>
  </si>
  <si>
    <t>https://www.google.com/maps/search/?api=1&amp;query=41.9006787,12.4786653</t>
  </si>
  <si>
    <t>place_day_1_colonna_di_marco_aurelio</t>
  </si>
  <si>
    <t>Mark-Aurel-Säule</t>
  </si>
  <si>
    <t>Breites spiralförmiges Reliefband und große Figur auf der Spitze.</t>
  </si>
  <si>
    <t>In welchem Muster läuft das Reliefband um die Säule?</t>
  </si>
  <si>
    <t>Spiralförmig</t>
  </si>
  <si>
    <t>https://it.wikipedia.org/wiki/Colonna_di_Marco_Aurelio</t>
  </si>
  <si>
    <t>https://www.google.com/maps/search/?api=1&amp;query=41.9008477,12.4799871</t>
  </si>
  <si>
    <t>place_day_1_fontana_di_trevi</t>
  </si>
  <si>
    <t>Trevi-Brunnen</t>
  </si>
  <si>
    <t>D1_TREVI_QUIRINALE</t>
  </si>
  <si>
    <t>GELB_EXTREME_MENSCHENMENGE</t>
  </si>
  <si>
    <t>Zwei große Seepferde vor dem muschelförmigen Wagen der Zentralfigur.</t>
  </si>
  <si>
    <t>Wie viele Seepferde ziehen den Wagen der zentralen Figur?</t>
  </si>
  <si>
    <t>https://it.wikipedia.org/wiki/Fontana_di_Trevi</t>
  </si>
  <si>
    <t>https://www.google.com/maps/search/?api=1&amp;query=41.9009648,12.4832817</t>
  </si>
  <si>
    <t>V03-Punkt; Nur von mehreren Positionen erkennbare Großdetails verwenden; keine Boden- oder Randdetails.</t>
  </si>
  <si>
    <t>place_day_1_acquedotto_vergine</t>
  </si>
  <si>
    <t>GELB_TEILWEISE_VERDECKT</t>
  </si>
  <si>
    <t>Drei teilweise im heutigen Bodenniveau versunkene Travertinarkaden hinter einer Absperrung.</t>
  </si>
  <si>
    <t>Wie viele kleinere antike Arkaden sind in der Via del Nazareno nebeneinander erhalten?</t>
  </si>
  <si>
    <t>https://www.sovraintendenzaroma.it/i_luoghi/roma_antica/monumenti/acquedotto_vergine</t>
  </si>
  <si>
    <t>https://www.google.com/maps/search/?api=1&amp;query=41.9026109,12.4837108</t>
  </si>
  <si>
    <t>V03-Punkt; Die Arkaden sind teilweise eingetieft und durch Gitter verdeckt; nur nach aktuellem Sichttest als Pflichtfrage einsetzen.</t>
  </si>
  <si>
    <t>place_day_1_fontana_del_tritone</t>
  </si>
  <si>
    <t>Tritonenbrunnen</t>
  </si>
  <si>
    <t>Vier große Delfine, Muschelschale, Triton mit Schneckenhorn.</t>
  </si>
  <si>
    <t>Wie viele Delfine tragen die große Muschel?</t>
  </si>
  <si>
    <t>https://it.wikipedia.org/wiki/Fontana_del_Tritone</t>
  </si>
  <si>
    <t>https://www.google.com/maps/search/?api=1&amp;query=41.903662,12.4884786</t>
  </si>
  <si>
    <t>place_day_1_piazza_scanderbeg</t>
  </si>
  <si>
    <t>Piazza Scanderbeg</t>
  </si>
  <si>
    <t>GELB_KLEINES_FASSADENDETAIL</t>
  </si>
  <si>
    <t>Steinernes Porträtrelief mit lesbarem Namen an der Hausfassade.</t>
  </si>
  <si>
    <t>Welcher Name steht beim Porträtrelief am Palazzo Scanderbeg?</t>
  </si>
  <si>
    <t>Scanderbeg</t>
  </si>
  <si>
    <t>https://en.wikipedia.org/wiki/Piazza_Scanderbeg</t>
  </si>
  <si>
    <t>https://www.google.com/maps/search/?api=1&amp;query=41.9006643,12.4848288</t>
  </si>
  <si>
    <t>place_day_1_obelisco_del_quirinale</t>
  </si>
  <si>
    <t>Obelisco del Quirinale</t>
  </si>
  <si>
    <t>Zwei monumentale Pferdegruppen flankieren den Obelisken.</t>
  </si>
  <si>
    <t>Wie viele monumentale Pferde flankieren den Obelisken?</t>
  </si>
  <si>
    <t>https://it.wikipedia.org/wiki/Obelisco_del_Quirinale</t>
  </si>
  <si>
    <t>https://www.google.com/maps/search/?api=1&amp;query=41.899064,12.4866425</t>
  </si>
  <si>
    <t>place_day_1_palazzo_del_quirinale</t>
  </si>
  <si>
    <t>Quirinalspalast</t>
  </si>
  <si>
    <t>GRUEN_SICHERHEITSABSTAND</t>
  </si>
  <si>
    <t>Monumentale lange Palastfassade und Hauptportal an der öffentlich zugänglichen Piazza del Quirinale.</t>
  </si>
  <si>
    <t>Welche heutige staatliche Institution nutzt den Quirinalspalast?</t>
  </si>
  <si>
    <t>Der Präsident der Italienischen Republik</t>
  </si>
  <si>
    <t>https://palazzo.quirinale.it/palazzo_en.html</t>
  </si>
  <si>
    <t>https://www.google.com/maps/search/?api=1&amp;query=41.9006627,12.4876143</t>
  </si>
  <si>
    <t>V03-Punkt; Keine Annäherung an Wachen oder Eingang verlangen; Trigger auf der freien Platzfläche.</t>
  </si>
  <si>
    <t>place_day_1_colonna_dell_immacolata</t>
  </si>
  <si>
    <t>Große Marienstatue auf der Spitze und vier sitzende Sockelfiguren.</t>
  </si>
  <si>
    <t>Welche religiöse Figur steht auf der Spitze der Säule?</t>
  </si>
  <si>
    <t>Maria</t>
  </si>
  <si>
    <t>https://it.wikipedia.org/wiki/Colonna_dell'Immacolata_(Roma)</t>
  </si>
  <si>
    <t>https://www.google.com/maps/search/?api=1&amp;query=41.9049939,12.482962</t>
  </si>
  <si>
    <t>place_day_1_ponte_sisto</t>
  </si>
  <si>
    <t>Ponte Sisto</t>
  </si>
  <si>
    <t>D1_CAMPO_REGOLA_GHETTO</t>
  </si>
  <si>
    <t>Große kreisrunde Öffnung zwischen den beiden mittleren Brückenbögen.</t>
  </si>
  <si>
    <t>Welche geometrische Form hat die Öffnung zwischen den beiden mittleren Brückenbögen?</t>
  </si>
  <si>
    <t>Einen Kreis</t>
  </si>
  <si>
    <t>https://www.turismoroma.it/it/luoghi/ponte-sisto</t>
  </si>
  <si>
    <t>https://www.google.com/maps/search/?api=1&amp;query=41.8923463,12.4707703</t>
  </si>
  <si>
    <t>place_day_1_palazzo_farnese</t>
  </si>
  <si>
    <t>Palazzo Farnese</t>
  </si>
  <si>
    <t>GELB_SICHERHEITSBEREICH</t>
  </si>
  <si>
    <t>Großes päpstliches Wappen über dem Mittelportal und wiederkehrende Lilienmotive.</t>
  </si>
  <si>
    <t>Welches heraldische Symbol wiederholt sich im Farnese-Wappen?</t>
  </si>
  <si>
    <t>Die Lilie</t>
  </si>
  <si>
    <t>https://it.wikipedia.org/wiki/Palazzo_Farnese_(Roma)</t>
  </si>
  <si>
    <t>https://www.google.com/maps/search/?api=1&amp;query=41.8946528,12.4706818</t>
  </si>
  <si>
    <t>V03-Punkt; Botschaftsgebäude: keine längere Gruppenblockade direkt vor dem Eingang; gegenüberstehenden Blickpunkt wählen.</t>
  </si>
  <si>
    <t>place_day_1_campo_de_fiori</t>
  </si>
  <si>
    <t>Campo de' Fiori</t>
  </si>
  <si>
    <t>GRUEN_MIT_MARKTRISIKO</t>
  </si>
  <si>
    <t>Monumentale dunkle Bronzefigur; geschlossenes Buch direkt unter den gekreuzten Händen.</t>
  </si>
  <si>
    <t>Welchen Gegenstand hält Giordano Bruno unter seinen gekreuzten Händen?</t>
  </si>
  <si>
    <t>Ein geschlossenes Buch</t>
  </si>
  <si>
    <t>https://www.sovraintendenzaroma.it/i_luoghi/roma_medioevale_e_moderna/monumenti/monumento_a_giordano_bruno</t>
  </si>
  <si>
    <t>https://www.google.com/maps/search/?api=1&amp;query=41.8955725,12.4721223</t>
  </si>
  <si>
    <t>V03-Punkt; Am Vormittag kann der Markt die Sockelsicht einschränken; Aufgabe auf die große Figur beschränken.</t>
  </si>
  <si>
    <t>place_day_1_largo_di_torre_argentina</t>
  </si>
  <si>
    <t>Largo di Torre Argentina</t>
  </si>
  <si>
    <t>GELB_ZAEHLPERSPEKTIVE</t>
  </si>
  <si>
    <t>Vier klar getrennte Tempelkomplexe im tiefer liegenden Areal.</t>
  </si>
  <si>
    <t>Wie viele republikanische Tempel sind im Areal zusammengefasst?</t>
  </si>
  <si>
    <t>https://it.wikipedia.org/wiki/Largo_di_Torre_Argentina</t>
  </si>
  <si>
    <t>https://www.google.com/maps/search/?api=1&amp;query=41.8953968,12.4768864</t>
  </si>
  <si>
    <t>V03-Punkt; Trigger auf öffentlichen Gehweg legen; kein Betreten des inzwischen zugänglichen, aber zeitgebundenen Areals.</t>
  </si>
  <si>
    <t>place_day_1_basilica_di_sant_andrea_della_valle</t>
  </si>
  <si>
    <t>Basilica di Sant'Andrea della Valle</t>
  </si>
  <si>
    <t>GELB_FASSADENSICHT</t>
  </si>
  <si>
    <t>Einzelne große Engelsfigur auf der linken Fassadenseite, wenn man vor der Kirche steht.</t>
  </si>
  <si>
    <t>Auf welcher Seite der Fassade sitzt die einzelne große Engelsfigur?</t>
  </si>
  <si>
    <t>Links</t>
  </si>
  <si>
    <t>https://it.wikipedia.org/wiki/Basilica_di_Sant'Andrea_della_Valle</t>
  </si>
  <si>
    <t>https://www.google.com/maps/search/?api=1&amp;query=41.8960034,12.4743329</t>
  </si>
  <si>
    <t>V03-Punkt; Nur Außenfassade; die Kuppelfresken und Innenkunst dürfen nicht Teil der Pflichtaufgabe sein.</t>
  </si>
  <si>
    <t>place_day_1_fontana_delle_tartarughe</t>
  </si>
  <si>
    <t>Vier deutlich sichtbare Schildkröten am Rand des oberen Beckens.</t>
  </si>
  <si>
    <t>Wie viele Schildkröten klettern zum oberen Becken?</t>
  </si>
  <si>
    <t>https://www.turismoroma.it/it/luoghi/fontana-delle-tartarughe</t>
  </si>
  <si>
    <t>https://www.google.com/maps/search/?api=1&amp;query=41.893782,12.477456</t>
  </si>
  <si>
    <t>Corrected an erroneous OSM-derived point to the official Turismo Roma coordinate in Piazza Mattei.; VISUAL_EVIDENCE_NOT_YET_VERIFIED</t>
  </si>
  <si>
    <t>place_day_1_teatro_di_marcello</t>
  </si>
  <si>
    <t>Zwei übereinanderliegende antike Arkadenebenen unter einem späteren Wohnpalast.</t>
  </si>
  <si>
    <t>Wie viele übereinanderliegende antike Arkadengeschosse sind von außen klar sichtbar?</t>
  </si>
  <si>
    <t>https://www.turismoroma.it/it/luoghi/teatro-di-marcello</t>
  </si>
  <si>
    <t>https://www.google.com/maps/search/?api=1&amp;query=41.892202,12.479938</t>
  </si>
  <si>
    <t>V03-Punkt; Offizieller Fußweg erlaubt Außenbesichtigung; Medienquest-Pickup ohne Zugang zu Innenräumen.</t>
  </si>
  <si>
    <t>place_day_1_isola_tiberina</t>
  </si>
  <si>
    <t>GELB_SICHTWINKEL</t>
  </si>
  <si>
    <t>Travertinreste einer Schiffsspitze und Asklepios-Relief am östlichen Inselende.</t>
  </si>
  <si>
    <t>Welche Form ahmt die antike Travertinverkleidung an der Inselspitze nach?</t>
  </si>
  <si>
    <t>Den Bug eines Schiffes</t>
  </si>
  <si>
    <t>https://www.openstreetmap.org/node/4798313727</t>
  </si>
  <si>
    <t>https://www.google.com/maps/search/?api=1&amp;query=41.8896365,12.4792342</t>
  </si>
  <si>
    <t>V03-Punkt; Nur verwenden, wenn der genaue öffentliche Blickpunkt und die freie Sicht auf die Travertinreste bestätigt sind.</t>
  </si>
  <si>
    <t>place_day_1_basilica_di_santa_cecilia_in_trastevere</t>
  </si>
  <si>
    <t>Basilica di Santa Cecilia in Trastevere</t>
  </si>
  <si>
    <t>D1_TRASTEVERE_TIBER_ISLAND</t>
  </si>
  <si>
    <t>GELB_KLASSENANKER_OHNE_INNENHOF</t>
  </si>
  <si>
    <t>Kirchenname und Widmung am äußeren Zugang; Innenhofbrunnen nur optional, weil der Hof zeitabhängig sein kann.</t>
  </si>
  <si>
    <t>Welche Kunst wird traditionell von der hier verehrten heiligen Cecilia beschützt?</t>
  </si>
  <si>
    <t>Die Musik</t>
  </si>
  <si>
    <t>https://it.wikipedia.org/wiki/Basilica_di_Santa_Cecilia_in_Trastevere</t>
  </si>
  <si>
    <t>https://www.google.com/maps/search/?api=1&amp;query=41.8875608,12.4758567</t>
  </si>
  <si>
    <t>V03-Punkt; Für die Kleriker-Klassengeschichte nur Außenpunkt vor dem Tor nutzen; der vorhandene Punkt im Hof ist zu versetzen.</t>
  </si>
  <si>
    <t>place_day_1_basilica_di_santa_maria_in_trastevere</t>
  </si>
  <si>
    <t>Santa Maria in Trastevere</t>
  </si>
  <si>
    <t>Großes goldenes Mosaik hoch an der Fassade; vom Platz sichtbar.</t>
  </si>
  <si>
    <t>Welche zwei Hauptfiguren sitzen im Zentrum des großen Fassadenmosaiks?</t>
  </si>
  <si>
    <t>Maria und Christus</t>
  </si>
  <si>
    <t>https://it.wikipedia.org/wiki/Basilica_di_Santa_Maria_in_Trastevere</t>
  </si>
  <si>
    <t>https://www.google.com/maps/search/?api=1&amp;query=41.8894264,12.4694941</t>
  </si>
  <si>
    <t>V03-Punkt; VISUAL_EVIDENCE_NOT_YET_VERIFIED|EXTERIOR_VANTAGE_POINT_REQUIRED|INTERIOR_AND_OPENING_HOURS_MUST_NOT_BE_REQUIRED|CROWDING_RISK</t>
  </si>
  <si>
    <t>place_day_1_mura_gianicolensi_2</t>
  </si>
  <si>
    <t>Gianicolense-Mauern</t>
  </si>
  <si>
    <t>D1_GIANICOLO</t>
  </si>
  <si>
    <t>GRUEN_MIT_GEWEGPUNKT</t>
  </si>
  <si>
    <t>Langer massiver Mauerabschnitt mit Schieß- und Verteidigungsformen.</t>
  </si>
  <si>
    <t>Aus welchem Material besteht der sichtbare Hauptkörper der Mauer überwiegend?</t>
  </si>
  <si>
    <t>Aus Ziegelmauerwerk</t>
  </si>
  <si>
    <t>https://turismoroma.it/es/node/31555</t>
  </si>
  <si>
    <t>https://www.google.com/maps/search/?api=1&amp;query=41.8869765,12.4616301</t>
  </si>
  <si>
    <t>place_day_1_mausoleo_ossario_garibaldino</t>
  </si>
  <si>
    <t>Mausoleo Ossario Garibaldino</t>
  </si>
  <si>
    <t>Symmetrischer Zentralbau mit vier großen offenen Bögen.</t>
  </si>
  <si>
    <t>Wie viele offene Bogenfronten umgeben den zentralen Teil des Ossariums?</t>
  </si>
  <si>
    <t>https://it.wikipedia.org/wiki/Mausoleo_Ossario_Garibaldino</t>
  </si>
  <si>
    <t>https://www.google.com/maps/search/?api=1&amp;query=41.8881928,12.4656132</t>
  </si>
  <si>
    <t>place_day_1_fontana_dell_acqua_paola</t>
  </si>
  <si>
    <t>Fontana Dell'Acqua Paola</t>
  </si>
  <si>
    <t>Fünf weithin sichtbare Bogenfelder in der Hauptfassade.</t>
  </si>
  <si>
    <t>Wie viele große Bogenöffnungen gliedern die Hauptfassade?</t>
  </si>
  <si>
    <t>Fünf</t>
  </si>
  <si>
    <t>https://it.wikipedia.org/wiki/Fontana_dell'Acqua_Paola</t>
  </si>
  <si>
    <t>https://www.google.com/maps/search/?api=1&amp;query=41.8888192,12.4642423</t>
  </si>
  <si>
    <t>place_day_1_monumento_a_garibaldi</t>
  </si>
  <si>
    <t>Monumento a Garibaldi</t>
  </si>
  <si>
    <t>Große Reiterfigur auf hohem Sockel.</t>
  </si>
  <si>
    <t>Auf welchem Tier sitzt Giuseppe Garibaldi?</t>
  </si>
  <si>
    <t>Auf einem Pferd</t>
  </si>
  <si>
    <t>https://it.wikipedia.org/wiki/Monumento_a_Giuseppe_Garibaldi_(Roma)</t>
  </si>
  <si>
    <t>https://www.google.com/maps/search/?api=1&amp;query=41.8914637,12.4607686</t>
  </si>
  <si>
    <t>place_day_1_monumento_ad_anita_garibaldi</t>
  </si>
  <si>
    <t>Monumento ad Anita Garibaldi</t>
  </si>
  <si>
    <t>Große Reiterfigur mit deutlich erhobener Handwaffe.</t>
  </si>
  <si>
    <t>Welche Waffe hält Anita Garibaldi in der erhobenen Hand?</t>
  </si>
  <si>
    <t>Eine Pistole</t>
  </si>
  <si>
    <t>https://it.wikipedia.org/wiki/Monumento_ad_Anita_Garibaldi</t>
  </si>
  <si>
    <t>https://www.google.com/maps/search/?api=1&amp;query=41.8934109,12.460117</t>
  </si>
  <si>
    <t>place_day_2_piazza_del_campidoglio</t>
  </si>
  <si>
    <t>Kapitolsplatz</t>
  </si>
  <si>
    <t>D2_CAMPIDOGLIO_FORI_TRAIANEI</t>
  </si>
  <si>
    <t>Großes hell-dunkles Sternoval im Pflaster um die Reiterstatue.</t>
  </si>
  <si>
    <t>Welches geometrische Motiv prägt das Pflaster rund um die Reiterstatue?</t>
  </si>
  <si>
    <t>Ein Stern in einem Oval</t>
  </si>
  <si>
    <t>https://it.wikipedia.org/wiki/Piazza_del_Campidoglio</t>
  </si>
  <si>
    <t>https://www.google.com/maps/search/?api=1&amp;query=41.8932288,12.4829654</t>
  </si>
  <si>
    <t>place_day_2_giulio_cesare</t>
  </si>
  <si>
    <t>Giulio Cesare</t>
  </si>
  <si>
    <t>GELB_QUELLENLAGE</t>
  </si>
  <si>
    <t>Lebensgroße Bronze mit deutlich sichtbarer Schriftrolle in der linken Hand.</t>
  </si>
  <si>
    <t>Welchen Gegenstand hält Caesar in der linken Hand?</t>
  </si>
  <si>
    <t>Eine Schriftrolle</t>
  </si>
  <si>
    <t>https://www.openstreetmap.org/node/7239169954</t>
  </si>
  <si>
    <t>https://www.google.com/maps/search/?api=1&amp;query=41.8939965,12.4853829</t>
  </si>
  <si>
    <t>V03-Punkt; Für die konkrete moderne Statue ist zusätzlich ein kommunaler Inventareintrag wünschenswert.</t>
  </si>
  <si>
    <t>place_day_2_altare_della_patria</t>
  </si>
  <si>
    <t>Zwei monumentale Quadrigen auf den oberen Enden des Bauwerks.</t>
  </si>
  <si>
    <t>Wie viele große Quadrigen stehen auf den beiden oberen Enden des Nationaldenkmals?</t>
  </si>
  <si>
    <t>https://vive.cultura.gov.it/</t>
  </si>
  <si>
    <t>https://www.google.com/maps/search/?api=1&amp;query=41.8947045,12.4831835</t>
  </si>
  <si>
    <t>V03-Punkt; Nur Außenansicht; keine Terrasse oder Museumseintritt verlangen.</t>
  </si>
  <si>
    <t>place_day_2_arco_di_costantino</t>
  </si>
  <si>
    <t>Konstantinsbogen</t>
  </si>
  <si>
    <t>D2_FORUM_COLOSSEO</t>
  </si>
  <si>
    <t>Drei monumentale Durchgänge, vom öffentlichen Bereich beim Kolosseum sichtbar.</t>
  </si>
  <si>
    <t>Wie viele Durchgänge besitzt der Konstantinsbogen?</t>
  </si>
  <si>
    <t>https://en.wikipedia.org/wiki/Arch_of_Constantine</t>
  </si>
  <si>
    <t>https://www.google.com/maps/search/?api=1&amp;query=41.8897623,12.4906668</t>
  </si>
  <si>
    <t>place_day_2_colosseo</t>
  </si>
  <si>
    <t>Drei große Reihen offener Arkaden an der hohen erhaltenen Außenwand.</t>
  </si>
  <si>
    <t>Wie viele übereinanderliegende Reihen offener Arkaden sind an der hohen Außenwand sichtbar?</t>
  </si>
  <si>
    <t>https://it.wikipedia.org/wiki/Colosseo</t>
  </si>
  <si>
    <t>https://www.google.com/maps/search/?api=1&amp;query=41.88989,12.49337</t>
  </si>
  <si>
    <t>Moved from the monument centroid to Piazza del Colosseo for the exterior photoquest. No ticket, queue or archaeological-area entry may be required.; Außenkoordinate verwenden; weder Eintritt noch Sicherheitskontrolle dürfen erforderlich sein.</t>
  </si>
  <si>
    <t>place_day_2_ludus_magnus</t>
  </si>
  <si>
    <t>Ludus Magnus</t>
  </si>
  <si>
    <t>Halb freigelegte ovale Arena unter dem heutigen Straßenniveau.</t>
  </si>
  <si>
    <t>Welche Grundform hat die sichtbare Trainingsarena?</t>
  </si>
  <si>
    <t>Oval</t>
  </si>
  <si>
    <t>https://de.wikipedia.org/wiki/Ludus_Magnus</t>
  </si>
  <si>
    <t>https://www.google.com/maps/search/?api=1&amp;query=41.8901133,12.494955</t>
  </si>
  <si>
    <t>V03-Punkt; VISUAL_EVIDENCE_NOT_YET_VERIFIED|EXTERIOR_VANTAGE_POINT_REQUIRED|PAID_INTERIOR_OR_SITE_RISK_USE_EXTERIOR_ONLY|CROWDING_RISK</t>
  </si>
  <si>
    <t>place_day_2_bocca_della_verita</t>
  </si>
  <si>
    <t>Mund der Wahrheit</t>
  </si>
  <si>
    <t>D2_AVENTINO_FORUM_BOARIUM</t>
  </si>
  <si>
    <t>GELB_WARTESCHLANGE</t>
  </si>
  <si>
    <t>Großes rundes Steingesicht im äußeren Portikus von Santa Maria in Cosmedin.</t>
  </si>
  <si>
    <t>Welcher Gesichtsteil bildet die große zentrale Öffnung?</t>
  </si>
  <si>
    <t>Der Mund</t>
  </si>
  <si>
    <t>https://it.wikipedia.org/wiki/Bocca_della_Verit%C3%A0</t>
  </si>
  <si>
    <t>https://www.google.com/maps/search/?api=1&amp;query=41.8882567,12.4815441</t>
  </si>
  <si>
    <t>V03-Punkt; Nicht verlangen, die Hand hineinzulegen oder die Warteschlange zu betreten; Sicht vom öffentlichen Bereich prüfen.</t>
  </si>
  <si>
    <t>place_day_2_tempio_di_ercole_vincitore</t>
  </si>
  <si>
    <t>Tempel des Hercules Victor</t>
  </si>
  <si>
    <t>Klar erkennbare runde Cella mit umlaufendem Säulenkranz.</t>
  </si>
  <si>
    <t>Welche Grundform hat der Tempel?</t>
  </si>
  <si>
    <t>Rund</t>
  </si>
  <si>
    <t>https://it.wikipedia.org/wiki/Tempio_di_Ercole_Vincitore</t>
  </si>
  <si>
    <t>https://www.google.com/maps/search/?api=1&amp;query=41.8887407,12.4807681</t>
  </si>
  <si>
    <t>place_day_2_arco_degli_argentari</t>
  </si>
  <si>
    <t>Arco degli Argentari</t>
  </si>
  <si>
    <t>Gerader oberer Abschluss über engem Durchgang; reiche Reliefs an den Pfeilern.</t>
  </si>
  <si>
    <t>Wie ist der obere Abschluss des Durchgangs geformt?</t>
  </si>
  <si>
    <t>Gerade, als Architrav</t>
  </si>
  <si>
    <t>https://en.wikipedia.org/wiki/Arcus_Argentariorum</t>
  </si>
  <si>
    <t>https://www.google.com/maps/search/?api=1&amp;query=41.8894907,12.4830029</t>
  </si>
  <si>
    <t>place_day_2_arco_di_giano</t>
  </si>
  <si>
    <t>Janusbogen</t>
  </si>
  <si>
    <t>Vier weithin sichtbare Bogenöffnungen auf vier Seiten.</t>
  </si>
  <si>
    <t>Nach wie vielen Seiten öffnet sich das Monument mit großen Durchgängen?</t>
  </si>
  <si>
    <t>https://it.wikipedia.org/wiki/Arco_di_Giano</t>
  </si>
  <si>
    <t>https://www.google.com/maps/search/?api=1&amp;query=41.889353,12.4827682</t>
  </si>
  <si>
    <t>place_day_2_fontana_dei_tritoni</t>
  </si>
  <si>
    <t>Zwei große Tritonen als Träger einer Muschelschale.</t>
  </si>
  <si>
    <t>Wie viele Tritonen tragen die obere Schale?</t>
  </si>
  <si>
    <t>https://it.wikipedia.org/wiki/Fontana_dei_Tritoni</t>
  </si>
  <si>
    <t>https://www.google.com/maps/search/?api=1&amp;query=41.8885236,12.4812253</t>
  </si>
  <si>
    <t>place_day_2_belvedere_romolo_e_remo</t>
  </si>
  <si>
    <t>Belvedere Romolo E Remo</t>
  </si>
  <si>
    <t>GRUEN_AUSSICHTSPUNKT</t>
  </si>
  <si>
    <t>Freier Panoramablick über die langgestreckte Circus-Senke zum Palatin.</t>
  </si>
  <si>
    <t>Welcher Hügel liegt auf der gegenüberliegenden Seite des Circus Maximus?</t>
  </si>
  <si>
    <t>Der Palatin</t>
  </si>
  <si>
    <t>https://www.rerumromanarum.com/2024/04/belvedere-romolo-e-remo.html</t>
  </si>
  <si>
    <t>https://www.google.com/maps/search/?api=1&amp;query=41.8856975,12.484964</t>
  </si>
  <si>
    <t>place_day_2_fontana_del_mascherone_di_santa_sabina</t>
  </si>
  <si>
    <t>Maskenbrunnen bei Santa Sabina</t>
  </si>
  <si>
    <t>Großes steinernes Maskengesicht mit Wasserauslass im Mund.</t>
  </si>
  <si>
    <t>Aus welchem Gesichtsteil tritt das Wasser?</t>
  </si>
  <si>
    <t>Aus dem Mund</t>
  </si>
  <si>
    <t>https://turismoroma.it/it/luoghi/fontana-piazza-pietro-d%E2%80%99illiria</t>
  </si>
  <si>
    <t>https://www.google.com/maps/search/?api=1&amp;query=41.88441,12.480147</t>
  </si>
  <si>
    <t>place_day_2_fontana_della_navicella</t>
  </si>
  <si>
    <t>Großes steinernes Schiff als zentrales Brunnenobjekt.</t>
  </si>
  <si>
    <t>Welche Objektform besitzt die zentrale Skulptur?</t>
  </si>
  <si>
    <t>Ein Schiff</t>
  </si>
  <si>
    <t>https://it.wikipedia.org/wiki/Fontana_della_Navicella</t>
  </si>
  <si>
    <t>https://www.google.com/maps/search/?api=1&amp;query=41.8847586,12.4958638</t>
  </si>
  <si>
    <t>place_day_2_basilica_di_san_giovanni_in_laterano</t>
  </si>
  <si>
    <t>Lateranbasilika</t>
  </si>
  <si>
    <t>D2_CELIO_SAN_GIOVANNI</t>
  </si>
  <si>
    <t>Sehr große Statuengruppe auf der Dachlinie mit Christus in der Mitte.</t>
  </si>
  <si>
    <t>Welche Figur steht im Zentrum der Statuengruppe auf der Hauptfassade?</t>
  </si>
  <si>
    <t>Christus</t>
  </si>
  <si>
    <t>https://it.wikipedia.org/wiki/Basilica_di_San_Giovanni_in_Laterano</t>
  </si>
  <si>
    <t>https://www.google.com/maps/search/?api=1&amp;query=41.8857617,12.5055858</t>
  </si>
  <si>
    <t>V03-Punkt; Nur die Piazza und Außenfassade verwenden; kein Kirchenbesuch.</t>
  </si>
  <si>
    <t>place_day_2_obelisco_lateranense</t>
  </si>
  <si>
    <t>Lateranischer Obelisk</t>
  </si>
  <si>
    <t>Sehr hoher Schaft mit deutlich sichtbaren Hieroglyphen.</t>
  </si>
  <si>
    <t>Welche Art von Schriftzeichen ist auf dem Obelisken zu sehen?</t>
  </si>
  <si>
    <t>https://it.wikipedia.org/wiki/Obelisco_Lateranense</t>
  </si>
  <si>
    <t>https://www.google.com/maps/search/?api=1&amp;query=41.886844,12.5047983</t>
  </si>
  <si>
    <t>place_day_2_porta_san_giovanni</t>
  </si>
  <si>
    <t>Porta San Giovanni</t>
  </si>
  <si>
    <t>GRUEN_VERKEHRSABSTAND</t>
  </si>
  <si>
    <t>Drei große Öffnungen nebeneinander.</t>
  </si>
  <si>
    <t>Wie viele große Durchgänge besitzt die Porta San Giovanni?</t>
  </si>
  <si>
    <t>https://en.wikipedia.org/wiki/Porta_San_Giovanni_(Rome)</t>
  </si>
  <si>
    <t>https://www.google.com/maps/search/?api=1&amp;query=41.8859055,12.5093343</t>
  </si>
  <si>
    <t>V03-Punkt; Blickpunkt auf sicherem Gehweg; keine Straßenquerung für die Antwort verlangen.</t>
  </si>
  <si>
    <t>place_day_2_porta_latina</t>
  </si>
  <si>
    <t>Porta Latina</t>
  </si>
  <si>
    <t>Ein Torbogen zwischen zwei deutlich runden Türmen.</t>
  </si>
  <si>
    <t>Wie viele runde Türme flankieren den Durchgang?</t>
  </si>
  <si>
    <t>https://en.wikipedia.org/wiki/Porta_Latina</t>
  </si>
  <si>
    <t>https://www.google.com/maps/search/?api=1&amp;query=41.8765186,12.5024875</t>
  </si>
  <si>
    <t>place_day_2_porta_metronia</t>
  </si>
  <si>
    <t>Porta Metronia</t>
  </si>
  <si>
    <t>GELB_VERKEHRSUMFELD</t>
  </si>
  <si>
    <t>Vermauerter antiker Bogen im massiven Ziegelmauerwerk.</t>
  </si>
  <si>
    <t>Ist der historische Torbogen offen oder zugemauert?</t>
  </si>
  <si>
    <t>Zugemauert</t>
  </si>
  <si>
    <t>https://en.wikipedia.org/wiki/Porta_Metronia</t>
  </si>
  <si>
    <t>https://www.google.com/maps/search/?api=1&amp;query=41.8823233,12.4986395</t>
  </si>
  <si>
    <t>V03-Punkt; Frage muss den antiken Bogen eindeutig von modernen Durchbrüchen abgrenzen.</t>
  </si>
  <si>
    <t>place_day_2_basilica_di_santa_maria_maggiore</t>
  </si>
  <si>
    <t>D2_SANTA_MARIA_MAGGIORE</t>
  </si>
  <si>
    <t>GELB_BOSS_MENSCHENMENGE</t>
  </si>
  <si>
    <t>Monumentale Fassade mit zentraler oberer Loggia und Marienbezug; großer öffentlicher Platz davor.</t>
  </si>
  <si>
    <t>Wie viele große Öffnungen besitzt die zentrale obere Loggia der Hauptfassade?</t>
  </si>
  <si>
    <t>https://www.turismoroma.it/en/places/piazza-di-santa-maria-maggiore</t>
  </si>
  <si>
    <t>https://www.google.com/maps/search/?api=1&amp;query=41.89712887126836,12.499145861948264</t>
  </si>
  <si>
    <t>World-boss staging point placed on Piazza di Santa Maria Maggiore, outside the basilica. No interior access may be required.; Primär Boss-Staging auf dem öffentlichen Platz. Die Loggiazahl muss auf aktuellem Frontalbild nochmals bestätigt werden.</t>
  </si>
  <si>
    <t>place_day_2_obelisco_esquilino</t>
  </si>
  <si>
    <t>Obelisco Esquilino</t>
  </si>
  <si>
    <t>Schlichter Obelisk ohne Hieroglyphen, oben mit Kreuz.</t>
  </si>
  <si>
    <t>Welches Symbol krönt die Spitze des Obelisken?</t>
  </si>
  <si>
    <t>Ein Kreuz</t>
  </si>
  <si>
    <t>https://it.wikipedia.org/wiki/Obelisco_Esquilino</t>
  </si>
  <si>
    <t>https://www.google.com/maps/search/?api=1&amp;query=41.8981766,12.4975028</t>
  </si>
  <si>
    <t>place_day_2_thermae_traianae</t>
  </si>
  <si>
    <t>Thermae Traianae</t>
  </si>
  <si>
    <t>D2_MONTI_ESQUILINO</t>
  </si>
  <si>
    <t>Sehr hohe antike Ziegelmauerreste im öffentlichen Park.</t>
  </si>
  <si>
    <t>Welches Baumaterial dominiert die sichtbaren Thermenruinen?</t>
  </si>
  <si>
    <t>Ziegel</t>
  </si>
  <si>
    <t>https://it.wikipedia.org/wiki/Terme_di_Traiano</t>
  </si>
  <si>
    <t>https://www.google.com/maps/search/?api=1&amp;query=41.8923984,12.4972974</t>
  </si>
  <si>
    <t>V03-Punkt; VISUAL_EVIDENCE_NOT_YET_VERIFIED|EXTERIOR_VANTAGE_POINT_REQUIRED|PAID_INTERIOR_OR_SITE_RISK_USE_EXTERIOR_ONLY</t>
  </si>
  <si>
    <t>place_day_2_porta_maggiore_aqua_claudia</t>
  </si>
  <si>
    <t>Zwei große Durchgänge, darüber mehrere gemauerte Aquäduktkanäle und monumentale Inschriften.</t>
  </si>
  <si>
    <t>Wie viele große Durchgänge besitzt der antike Doppelbogen?</t>
  </si>
  <si>
    <t>https://www.sovraintendenzaroma.it/i_luoghi/roma_antica/monumenti/porta_maggiore</t>
  </si>
  <si>
    <t>https://www.google.com/maps/search/?api=1&amp;query=41.89118,12.51572</t>
  </si>
  <si>
    <t>V03-Punkt; Sicheren Gehwegpunkt festlegen; keine Überquerung des Verkehrsknotens verlangen.</t>
  </si>
  <si>
    <t>place_day_1_ponte_sant_angelo</t>
  </si>
  <si>
    <t>Zehn große Engelsfiguren auf beiden Balustraden; Petrus und Paulus stehen getrennt an den Brückenköpfen.</t>
  </si>
  <si>
    <t>Wie viele Engel auf der Brücke tragen Symbole der Passion Christi? Zählt Petrus und Paulus an den Brückenköpfen nicht mit.</t>
  </si>
  <si>
    <t>10</t>
  </si>
  <si>
    <t>https://www.turismoroma.it/en/places/terrace-castel-santangelo</t>
  </si>
  <si>
    <t>https://www.google.com/maps/search/?api=1&amp;query=41.9018932,12.4664274</t>
  </si>
  <si>
    <t>Maschera del Dramma</t>
  </si>
  <si>
    <t>place_day_2_circo_massimo</t>
  </si>
  <si>
    <t>GRUEN_MEDIENQUEST</t>
  </si>
  <si>
    <t>Sehr große langgestreckte Senke der Rennbahn zwischen zwei Hügeln.</t>
  </si>
  <si>
    <t>Zwischen welchen zwei Hügeln liegt der Circus Maximus?</t>
  </si>
  <si>
    <t>Palatin und Aventin</t>
  </si>
  <si>
    <t>https://www.turismoroma.it/en/places/circus-maximus</t>
  </si>
  <si>
    <t>https://www.google.com/maps/search/?api=1&amp;query=41.886650681433466,12.484508661426391</t>
  </si>
  <si>
    <t>Official Turismo Roma coordinate; page states that the site is always open. The photoquest must remain in the freely accessible open area.; Fotoquest Streitwagenrennen: exakt fünf Bilder; Pickup und Upload am selben Außenpunkt im 15-m-Radius.</t>
  </si>
  <si>
    <t>Rasender Kutschergeist</t>
  </si>
  <si>
    <t>Gladiator</t>
  </si>
  <si>
    <t>place_day_2_mercati_di_traiano</t>
  </si>
  <si>
    <t>Mehrgeschossiger Ziegel-Halbkreis mit vielen Bogenöffnungen, vom öffentlichen Bereich Via IV Novembre sichtbar.</t>
  </si>
  <si>
    <t>Welche Form beschreibt die große Außenfassade am besten?</t>
  </si>
  <si>
    <t>Halbkreisförmig</t>
  </si>
  <si>
    <t>https://www.mercatiditraiano.it/en/museo/sede/mercati_di_traiano_storia</t>
  </si>
  <si>
    <t>https://www.google.com/maps/search/?api=1&amp;query=41.8962514,12.4860984</t>
  </si>
  <si>
    <t>Videoquest point uses the official Via Quattro Novembre 94 address outside the paid museum. Verify an unobstructed public pavement position before release.; Videoquest ausschließlich am öffentlichen Außenpunkt; Museumseintritt ist nicht Bestandteil.</t>
  </si>
  <si>
    <t>Spettro della Taberna</t>
  </si>
  <si>
    <t>place_day_1_fontana_dei_satirelli</t>
  </si>
  <si>
    <t>GELB_PARKOEFFNUNG</t>
  </si>
  <si>
    <t>Figürliche Gruppe kleiner Satyrwesen auf einer Felsinszenierung.</t>
  </si>
  <si>
    <t>Welche mythologischen Wesen bilden die zentrale Figurengruppe?</t>
  </si>
  <si>
    <t>Satyrn</t>
  </si>
  <si>
    <t>https://www.comune.roma.it/web/it/attivita-progetto.page?contentId=PRG1072554</t>
  </si>
  <si>
    <t>https://www.google.com/maps/search/?api=1&amp;query=41.8847241,12.4635989</t>
  </si>
  <si>
    <t>V03-Punkt; Nur nutzen, wenn Villa Sciarra zu den Spielzeiten sicher geöffnet ist; sonst als Hidden/Reserve.</t>
  </si>
  <si>
    <t>I Satirelli Gemelli</t>
  </si>
  <si>
    <t>place_day_2_piazza_vittorio_emanuele_secondo</t>
  </si>
  <si>
    <t>Porta Magica mit alchemistischen Inschriften und zwei massiven Wächterfiguren.</t>
  </si>
  <si>
    <t>Wie viele steinerne Wächterfiguren flankieren die Porta Magica?</t>
  </si>
  <si>
    <t>https://it.wikipedia.org/wiki/Piazza_Vittorio_Emanuele_II_(Roma)</t>
  </si>
  <si>
    <t>https://www.google.com/maps/search/?api=1&amp;query=41.8946228,12.5043081</t>
  </si>
  <si>
    <t>V03-Punkt; Nur innerhalb der sicheren Tagesöffnung des Gartens einplanen; bei Sperre gleichörtige Platzaufgabe bereitstellen.</t>
  </si>
  <si>
    <t>Alchemist der Porta Magica</t>
  </si>
  <si>
    <t>place_day_2_piazza_dante</t>
  </si>
  <si>
    <t>Große Rose der Winde aus Ziegel und Travertin im Gartenpflaster.</t>
  </si>
  <si>
    <t>Welches Navigationssymbol bildet das Pflaster im Garten?</t>
  </si>
  <si>
    <t>Eine Windrose</t>
  </si>
  <si>
    <t>https://www.turismoroma.it/it/luoghi/giardino-di-piazza-dante</t>
  </si>
  <si>
    <t>https://www.google.com/maps/search/?api=1&amp;query=41.8919766,12.5039912</t>
  </si>
  <si>
    <t>V03-Punkt; Der Garten ist offiziell von Morgendämmerung bis Abenddämmerung geöffnet; für Tag 2 zeitlich voraussichtlich passend, aber Fallback vorsehen.</t>
  </si>
  <si>
    <t>Custode dell’Inferno</t>
  </si>
  <si>
    <t>place_day_1_terrazza_del_gianicolo</t>
  </si>
  <si>
    <t>GRUEN_SONDERROLLE</t>
  </si>
  <si>
    <t>Weite, offene Aussichtsterrasse beim Garibaldi-Denkmal; geeignet als sichere Bossbühne, nicht als kleines Suchobjekt.</t>
  </si>
  <si>
    <t>Gehört der Gianicolo zu den klassischen sieben Hügeln des antiken Rom?</t>
  </si>
  <si>
    <t>Nein</t>
  </si>
  <si>
    <t>https://www.openstreetmap.org/node/1001130475</t>
  </si>
  <si>
    <t>https://www.google.com/maps/search/?api=1&amp;query=41.8914773,12.4613885</t>
  </si>
  <si>
    <t>V03-Punkt; Primär Weltboss-Ort. Kampftrigger großzügig setzen und vom Straßenverkehr abwenden.</t>
  </si>
  <si>
    <t>Via Romae – Sonderquests und Events v0.9</t>
  </si>
  <si>
    <t>Sieben Medienquests, fünf Hidden Quests und zwei World-Boss-Events mit Reward-Profilen aus GDD v0.16 Kapitel 28.</t>
  </si>
  <si>
    <t>Zeitrahmen</t>
  </si>
  <si>
    <t>Briefing / Hook</t>
  </si>
  <si>
    <t>Gegner / Boss</t>
  </si>
  <si>
    <t>Limitwirkung</t>
  </si>
  <si>
    <t>Pickup / Abgabe</t>
  </si>
  <si>
    <t>Status</t>
  </si>
  <si>
    <t>Reward-Profil</t>
  </si>
  <si>
    <t>Basis-Ruhm / Denare</t>
  </si>
  <si>
    <t>Item-/Loot-Regel</t>
  </si>
  <si>
    <t>GPS|DIALOG</t>
  </si>
  <si>
    <t>SEPARAT</t>
  </si>
  <si>
    <t>Pickup und Upload am Petersplatz, 15-m-Radius.</t>
  </si>
  <si>
    <t>BESTAETIGT</t>
  </si>
  <si>
    <t>Fallbackbriefing mit sichtbarer Garde im Hintergrund vorbereiten.</t>
  </si>
  <si>
    <t>MEDIA_RANK_TABLE</t>
  </si>
  <si>
    <t>50 / 25</t>
  </si>
  <si>
    <t>LOOT_ROLL:MEDIA_EVENT_PROFILE</t>
  </si>
  <si>
    <t>GPS|KREATIVITAET</t>
  </si>
  <si>
    <t>Pickup und Upload an der Engelsbrücke, 15-m-Radius.</t>
  </si>
  <si>
    <t>Offenes Briefing beibehalten; keine exakte Pose verlangen.</t>
  </si>
  <si>
    <t>GPS|BEOBACHTUNG|ZUORDNUNG</t>
  </si>
  <si>
    <t>Pickup und Upload im Zentrum der Piazza Navona, 15-m-Radius.</t>
  </si>
  <si>
    <t>Sehr gute Medienquest; klare Dreiteilung beibehalten.</t>
  </si>
  <si>
    <t>BEIDE_TAGE</t>
  </si>
  <si>
    <t>DIALOG|ENTSCHEIDUNG|GPS</t>
  </si>
  <si>
    <t>CHRONIKSLOT</t>
  </si>
  <si>
    <t>Pickup am Marcellustheater; Abgabe nach separater Langzeitregel.</t>
  </si>
  <si>
    <t>Als einzige bestätigte Langzeitquest umsetzen.</t>
  </si>
  <si>
    <t>120 / 50</t>
  </si>
  <si>
    <t>GPS|ROLLENSPIEL|REIHENFOLGE</t>
  </si>
  <si>
    <t>Pickup und Upload am Circus Maximus, 15-m-Radius.</t>
  </si>
  <si>
    <t>Sehr starke Orts- und Medienpassung.</t>
  </si>
  <si>
    <t>ROLLENSPIEL|KAMPFINSZENIERUNG</t>
  </si>
  <si>
    <t>Pickup und Upload am öffentlichen Kolosseum-Außenpunkt, 15-m-Radius.</t>
  </si>
  <si>
    <t>Posen statt dynamischer Aktionen verlangen.</t>
  </si>
  <si>
    <t>KURZTEXT|ROLLENSPIEL</t>
  </si>
  <si>
    <t>Pickup und Upload am öffentlichen Außenpunkt der Trajansmärkte, 15-m-Radius.</t>
  </si>
  <si>
    <t>Sehr gute Verbindung von Alltagsleben, Handel und Performance.</t>
  </si>
  <si>
    <t>5–10</t>
  </si>
  <si>
    <t>ZAEHLT_NICHT</t>
  </si>
  <si>
    <t>Automatischer Näherungstrigger; kein eigener aktiver Slot.</t>
  </si>
  <si>
    <t>OPTIONAL</t>
  </si>
  <si>
    <t>Guter versteckter Zusatz zu D1-Q13.</t>
  </si>
  <si>
    <t>HIDDEN_BASE_PLUS_LOOT</t>
  </si>
  <si>
    <t>30 / 20</t>
  </si>
  <si>
    <t>LOOT_ROLL:HIDDEN_PROFILE</t>
  </si>
  <si>
    <t>Nähe und vorherige Beobachtung lösen den Auftrag aus.</t>
  </si>
  <si>
    <t>Nur aktivieren, wenn aktueller Sichtbeleg genügt.</t>
  </si>
  <si>
    <t>ZUORDNUNG|KAMPF</t>
  </si>
  <si>
    <t>Näherungstrigger im Park; kein aktiver Slot.</t>
  </si>
  <si>
    <t>Nur tagsüber aktivieren; sonst automatisch deaktiviert.</t>
  </si>
  <si>
    <t>ZUORDNUNG|KURZTEXT</t>
  </si>
  <si>
    <t>Starker Geheimtipp, wenn aktueller Sichtbeleg vorliegt.</t>
  </si>
  <si>
    <t>KURZTEXT|RICHTUNG</t>
  </si>
  <si>
    <t>Näherungstrigger im Garten; kein aktiver Slot.</t>
  </si>
  <si>
    <t>Als Hidden Quest gut; nicht als Pflichtstation.</t>
  </si>
  <si>
    <t>EVENT</t>
  </si>
  <si>
    <t>DIALOG|TEAMKOORDINATION</t>
  </si>
  <si>
    <t>Separater Eventtrigger in der ausgewiesenen sicheren Zone.</t>
  </si>
  <si>
    <t>EMPFOHLEN</t>
  </si>
  <si>
    <t>Starke thematische und räumliche Schlussposition für Tag 1.</t>
  </si>
  <si>
    <t>WORLD_BOSS_CONTRIBUTION_RANK</t>
  </si>
  <si>
    <t>0 / 0</t>
  </si>
  <si>
    <t>LOOT_ROLL:WORLD_BOSS_RANKED</t>
  </si>
  <si>
    <t>Separater Eventtrigger ausschließlich auf dem öffentlichen Außenplatz.</t>
  </si>
  <si>
    <t>BEDINGT</t>
  </si>
  <si>
    <t>Inhaltlich stark, operativ riskanter als Gianicolo.</t>
  </si>
  <si>
    <t>Via Romae – Supportpunkte</t>
  </si>
  <si>
    <t>Revive Points, Stores und Boss-Sicherheitszonen bleiben von den regulären Questzahlen getrennt.</t>
  </si>
  <si>
    <t>Store-ID</t>
  </si>
  <si>
    <t>Sichtbarkeit</t>
  </si>
  <si>
    <t>Interaktion</t>
  </si>
  <si>
    <t>Katalog</t>
  </si>
  <si>
    <t>Supportrollen</t>
  </si>
  <si>
    <t>Reguläre Nutzungen</t>
  </si>
  <si>
    <t>Sondernutzungen</t>
  </si>
  <si>
    <t>Research-Ampel</t>
  </si>
  <si>
    <t>Funktion</t>
  </si>
  <si>
    <t>STORE_LOCATION_CANDIDATE|CLASS_HISTORY_QUEST_ANCHOR</t>
  </si>
  <si>
    <t>Store</t>
  </si>
  <si>
    <t>Nur der öffentliche Vorplatz darf als Trigger dienen; kein Eintritt in die Burg.</t>
  </si>
  <si>
    <t>ALS_SEPARATEN_SUPPORTPUNKT_BEHALTEN</t>
  </si>
  <si>
    <t>STORE-D1-01</t>
  </si>
  <si>
    <t>500 m</t>
  </si>
  <si>
    <t>15 m</t>
  </si>
  <si>
    <t>Stores!A5:I5</t>
  </si>
  <si>
    <t>REVIVE_POINT_CANDIDATE</t>
  </si>
  <si>
    <t>Wiederbelebung / Sammelpunkt</t>
  </si>
  <si>
    <t>VISUAL_EVIDENCE_NOT_YET_VERIFIED|CROWDING_RISK</t>
  </si>
  <si>
    <t>MEDIA_QUEST_LOCATION|LOCAL_MEDIA_QUEST|REVIVE_POINT_CANDIDATE|STORE_LOCATION_CANDIDATE|CLASS_HISTORY_QUEST_ANCHOR</t>
  </si>
  <si>
    <t>Für die Medienquest sind alle drei Brunnen als separate Fotostationen zu markieren.</t>
  </si>
  <si>
    <t>STORE-D1-02</t>
  </si>
  <si>
    <t>Stores!A6:I6</t>
  </si>
  <si>
    <t>STORE_LOCATION_CANDIDATE</t>
  </si>
  <si>
    <t>Am Vormittag kann der Markt die Sockelsicht einschränken; Aufgabe auf die große Figur beschränken.</t>
  </si>
  <si>
    <t>STORE-D1-03</t>
  </si>
  <si>
    <t>Stores!A7:I7</t>
  </si>
  <si>
    <t>WORLD_BOSS_LOCATION|BOSS_STAGING_SAFE_ZONE</t>
  </si>
  <si>
    <t>Boss-Sicherheitszone</t>
  </si>
  <si>
    <t>Primär Weltboss-Ort. Kampftrigger großzügig setzen und vom Straßenverkehr abwenden.</t>
  </si>
  <si>
    <t>place_day_1_piazza_di_santa_maria_in_trastevere</t>
  </si>
  <si>
    <t>Piazza di Santa Maria in Trastevere</t>
  </si>
  <si>
    <t>VISUAL_EVIDENCE_NOT_YET_VERIFIED</t>
  </si>
  <si>
    <t>https://www.google.com/maps/search/?api=1&amp;query=41.8895605,12.4703092</t>
  </si>
  <si>
    <t>MEDIA_QUEST_LOCATION|LOCAL_MEDIA_QUEST|STORE_LOCATION_CANDIDATE</t>
  </si>
  <si>
    <t>Außenkoordinate verwenden; weder Eintritt noch Sicherheitskontrolle dürfen erforderlich sein.</t>
  </si>
  <si>
    <t>STORE-D2-01</t>
  </si>
  <si>
    <t>Stores!A8:I8</t>
  </si>
  <si>
    <t>REVIVE_POINT_CANDIDATE|STORE_LOCATION_CANDIDATE</t>
  </si>
  <si>
    <t>Nur innerhalb der sicheren Tagesöffnung des Gartens einplanen; bei Sperre gleichörtige Platzaufgabe bereitstellen.</t>
  </si>
  <si>
    <t>STORE-D2-02</t>
  </si>
  <si>
    <t>Stores!A9:I9</t>
  </si>
  <si>
    <t>REVIVE_POINT_CANDIDATE|WORLD_BOSS_LOCATION|BOSS_STAGING_SAFE_ZONE</t>
  </si>
  <si>
    <t>Primär Boss-Staging auf dem öffentlichen Platz. Die Loggiazahl muss auf aktuellem Frontalbild nochmals bestätigt werden.</t>
  </si>
  <si>
    <t>MEDIA_QUEST_LOCATION|LOCAL_MEDIA_QUEST|REVIVE_POINT_CANDIDATE</t>
  </si>
  <si>
    <t>Fotoquest Streitwagenrennen: exakt fünf Bilder; Pickup und Upload am selben Außenpunkt im 15-m-Radius.</t>
  </si>
  <si>
    <t>Via Romae – Kandidatenstatus nach Gruppierung</t>
  </si>
  <si>
    <t>Alle 90 Orte: Kernquest, Sonderquest, Support, Reserve oder Ausschluss. Reserve ist bewusst und kein Recherchefehler.</t>
  </si>
  <si>
    <t>Kernnutzungen</t>
  </si>
  <si>
    <t>Entscheidung</t>
  </si>
  <si>
    <t>Score v0.3</t>
  </si>
  <si>
    <t>Gegnerhook</t>
  </si>
  <si>
    <t>Begründung / nächste Verwendung</t>
  </si>
  <si>
    <t>Angelo della Passione</t>
  </si>
  <si>
    <t>Leone del Flaminio</t>
  </si>
  <si>
    <t>place_day_1_monumento_ai_fratelli_cairoli</t>
  </si>
  <si>
    <t>Monumento ai Fratelli Cairoli</t>
  </si>
  <si>
    <t>Ombra dell’Horologium</t>
  </si>
  <si>
    <t>Legionario della Colonna</t>
  </si>
  <si>
    <t>Serpente di Esculapio</t>
  </si>
  <si>
    <t>Occhio del Tevere</t>
  </si>
  <si>
    <t>place_day_1_porta_settimiana</t>
  </si>
  <si>
    <t>Porta Settimiana</t>
  </si>
  <si>
    <t>place_day_1_fontana_del_prigione</t>
  </si>
  <si>
    <t>Fontana del Prigione</t>
  </si>
  <si>
    <t>place_day_1_ponte_giuseppe_mazzini</t>
  </si>
  <si>
    <t>Ponte Giuseppe Mazzini</t>
  </si>
  <si>
    <t>place_day_1_fontana_degli_undici_zampilli</t>
  </si>
  <si>
    <t>Fontana degli undici zampilli</t>
  </si>
  <si>
    <t>place_day_1_obelisco_della_minerva</t>
  </si>
  <si>
    <t>Obelisco della Minerva</t>
  </si>
  <si>
    <t>ROT</t>
  </si>
  <si>
    <t>ROT_AKTUELL_GESPERRT</t>
  </si>
  <si>
    <t>Elefante Minerveo</t>
  </si>
  <si>
    <t>Custode della Cupola</t>
  </si>
  <si>
    <t>Dea Roma del Pincio</t>
  </si>
  <si>
    <t>Ombra del Belvedere</t>
  </si>
  <si>
    <t>place_day_1_chiesa_di_san_pietro_in_montorio</t>
  </si>
  <si>
    <t>Kirche von San Pietro in Montorio</t>
  </si>
  <si>
    <t>GELB_AUSSENFASSADE</t>
  </si>
  <si>
    <t>Custode del Tempietto</t>
  </si>
  <si>
    <t>GRUEN_REVIVE_PUNKT</t>
  </si>
  <si>
    <t>Leone del Mosaico</t>
  </si>
  <si>
    <t>place_day_1_portico_d_ottavia</t>
  </si>
  <si>
    <t>Portico d'Ottavia</t>
  </si>
  <si>
    <t>Pesce Fantasma del Ghetto</t>
  </si>
  <si>
    <t>place_day_1_piazza_del_teatro_di_pompeo</t>
  </si>
  <si>
    <t>Piazza del Teatro di Pompeo</t>
  </si>
  <si>
    <t>ROT_NICHT_ALS_PFLICHT</t>
  </si>
  <si>
    <t>Pugnale della Curia</t>
  </si>
  <si>
    <t>Cesare di Bronzo</t>
  </si>
  <si>
    <t>Quadriga dell’Unità</t>
  </si>
  <si>
    <t>place_day_2_arco_di_settimio_severo</t>
  </si>
  <si>
    <t>Arco di Settimio Severo</t>
  </si>
  <si>
    <t>GELB_DISTANZ</t>
  </si>
  <si>
    <t>Nocchiero della Navicella</t>
  </si>
  <si>
    <t>place_day_2_mura_serviane</t>
  </si>
  <si>
    <t>Mura Serviane</t>
  </si>
  <si>
    <t>GELB_EXAKTER_MAUERABSCHNITT</t>
  </si>
  <si>
    <t>place_day_2_fontana_delle_anfore</t>
  </si>
  <si>
    <t>Fontana delle Anfore</t>
  </si>
  <si>
    <t>place_day_2_fontana_dei_monti</t>
  </si>
  <si>
    <t>Fontana dei Monti</t>
  </si>
  <si>
    <t>place_day_2_arco_su_porta_san_lorenzo</t>
  </si>
  <si>
    <t>Arco su Porta San Lorenzo</t>
  </si>
  <si>
    <t>GRUEN_MIT_VERKEHRSBLICKPUNKT</t>
  </si>
  <si>
    <t>Coppia dei Tritoni</t>
  </si>
  <si>
    <t>place_day_2_meta_sudans</t>
  </si>
  <si>
    <t>Meta sudans</t>
  </si>
  <si>
    <t>Custode della Meta Sudans</t>
  </si>
  <si>
    <t>place_day_2_fontana_celimontana</t>
  </si>
  <si>
    <t>Fontana Celimontana</t>
  </si>
  <si>
    <t>Genio del Fiume Nera</t>
  </si>
  <si>
    <t>Lupa dei Gemelli</t>
  </si>
  <si>
    <t>place_day_2_arco_di_via_nola</t>
  </si>
  <si>
    <t>Arco di Via Nola</t>
  </si>
  <si>
    <t>ROT_QUELLE_UNZUREICHEND</t>
  </si>
  <si>
    <t>Arciere di Via Nola</t>
  </si>
  <si>
    <t>Via Romae – Bewertungsregeln</t>
  </si>
  <si>
    <t>Transparente Annahmen für Distanz, Dauer, Ampel und Kombinationseignung.</t>
  </si>
  <si>
    <t>Parameter</t>
  </si>
  <si>
    <t>Wert</t>
  </si>
  <si>
    <t>Gehgeschwindigkeit (m/min)</t>
  </si>
  <si>
    <t>Umwegfaktor Straße/Luftlinie</t>
  </si>
  <si>
    <t>Score Route</t>
  </si>
  <si>
    <t>Score Narrativ</t>
  </si>
  <si>
    <t>Score Hinweisrobustheit</t>
  </si>
  <si>
    <t>Score Zugang</t>
  </si>
  <si>
    <t>Score Mechanikfit</t>
  </si>
  <si>
    <t>Grenze</t>
  </si>
  <si>
    <t>Konsequenz</t>
  </si>
  <si>
    <t>SEHR_GUT</t>
  </si>
  <si>
    <t>Kombination ist stark und relativ robust.</t>
  </si>
  <si>
    <t>Quest Card ausarbeiten.</t>
  </si>
  <si>
    <t>GUT</t>
  </si>
  <si>
    <t>Kombination funktioniert mit klarer QA.</t>
  </si>
  <si>
    <t>Quest Card ausarbeiten; Risiko schließen.</t>
  </si>
  <si>
    <t>Konzept brauchbar, aber operativ fragil.</t>
  </si>
  <si>
    <t>Nur mit Fallback und Sichtbeleg.</t>
  </si>
  <si>
    <t>NICHT_EMPFOHLEN</t>
  </si>
  <si>
    <t>Pflichtkombination zu schwach.</t>
  </si>
  <si>
    <t>Nicht veröffentlichen.</t>
  </si>
  <si>
    <t>Skala</t>
  </si>
  <si>
    <t>0–5</t>
  </si>
  <si>
    <t>0 = ungeeignet, 3 = brauchbar, 5 = ideal.</t>
  </si>
  <si>
    <t>Harte Regel</t>
  </si>
  <si>
    <t>Festlegung</t>
  </si>
  <si>
    <t>Eintritt</t>
  </si>
  <si>
    <t>Kein kostenpflichtiger Eintritt</t>
  </si>
  <si>
    <t>Alle Pflichtschritte funktionieren im öffentlichen Außenraum.</t>
  </si>
  <si>
    <t>AR/Bilderkennung</t>
  </si>
  <si>
    <t>Nicht verwenden</t>
  </si>
  <si>
    <t>Keine AR- oder automatische Bilderkennungsaufgaben.</t>
  </si>
  <si>
    <t>Rote Orte</t>
  </si>
  <si>
    <t>Nie Pflichtstation</t>
  </si>
  <si>
    <t>Nur Reserve, Erzählung oder deaktivierter Hidden Hook.</t>
  </si>
  <si>
    <t>Aktuelle Sicht</t>
  </si>
  <si>
    <t>Vor Release offen</t>
  </si>
  <si>
    <t>Remote-only ersetzt keinen aktuellen datierten Sichtbeleg.</t>
  </si>
  <si>
    <t>Blinder Test</t>
  </si>
  <si>
    <t>Vor Release Pflicht</t>
  </si>
  <si>
    <t>Eine zweite Person muss Frage und Antwort ohne Vorwissen eindeutig lösen.</t>
  </si>
  <si>
    <t>Gehdistanz</t>
  </si>
  <si>
    <t>Planungswert</t>
  </si>
  <si>
    <t>Luftliniensegmente × 1,25; kein Turn-by-Turn-Routing.</t>
  </si>
  <si>
    <t>Via Romae – Unique-Enemy-Definitionen v0.9</t>
  </si>
  <si>
    <t>12 global persistente WORLD_ENEMIES. Numerische Werte und Team-Belohnungen stehen im Blatt Gegnerbalance und sind mit GDD v0.16 sowie GeoJSON v0.9 synchronisiert.</t>
  </si>
  <si>
    <t>Encounter-ID</t>
  </si>
  <si>
    <t>Systemtyp</t>
  </si>
  <si>
    <t>Gegnername</t>
  </si>
  <si>
    <t>Gegnerart</t>
  </si>
  <si>
    <t>Was ist es?</t>
  </si>
  <si>
    <t>Referenzart</t>
  </si>
  <si>
    <t>Ortsbezug</t>
  </si>
  <si>
    <t>Visuelle Inspiration</t>
  </si>
  <si>
    <t>Themenfit</t>
  </si>
  <si>
    <t>Operative Robustheit</t>
  </si>
  <si>
    <t>Sichtbarer / historischer Anker</t>
  </si>
  <si>
    <t>Einsatz- und Konfliktregel</t>
  </si>
  <si>
    <t>Quellenlink</t>
  </si>
  <si>
    <t>Noch offen</t>
  </si>
  <si>
    <t>Rarität</t>
  </si>
  <si>
    <t>Kampfrolle</t>
  </si>
  <si>
    <t>Kampfmuster</t>
  </si>
  <si>
    <t>Signaturfähigkeit</t>
  </si>
  <si>
    <t>Gegenstrategie</t>
  </si>
  <si>
    <t>Status-/Zielregeln</t>
  </si>
  <si>
    <t>Bildreferenz</t>
  </si>
  <si>
    <t>Bildgenerierungsbeschreibung</t>
  </si>
  <si>
    <t>Content-Status</t>
  </si>
  <si>
    <t>UE-D1-01</t>
  </si>
  <si>
    <t>WORLD_ENEMY</t>
  </si>
  <si>
    <t>BELEBTE_ENGELSSTATUE</t>
  </si>
  <si>
    <t>Eine lebendig gewordene Marmorstatue eines Brückenengels; sie trägt eines der sichtbaren Passionsinstrumente.</t>
  </si>
  <si>
    <t>DIREKT</t>
  </si>
  <si>
    <t>Zehn große Engelsfiguren auf den Balustraden; Petrus und Paulus stehen getrennt an den Brückenköpfen.</t>
  </si>
  <si>
    <t>Global persistenter World Enemy. Spawn am breiteren Brückenkopf; seine 20-m-Aggrozone darf den Medien-Pickup von M-D1-02 in der Brückenmitte nicht überdecken.</t>
  </si>
  <si>
    <t>HP/ATK/DEF/INIT/Statuschance/Rewards: siehe Blatt Gegnerbalance; Respawn gemäss GDD v0.16 §29.5.</t>
  </si>
  <si>
    <t>SR</t>
  </si>
  <si>
    <t>CONTROL_COUNTER</t>
  </si>
  <si>
    <t>Hebt ein Passionsinstrument sichtbar an und kontert in der Folgerunde die zuerst wiederholte Aktionsart.</t>
  </si>
  <si>
    <t>Gewicht der Passion: markiert einen Spieler; Schutz oder Heilung durch ein anderes Mitglied löst die Marke sicher.</t>
  </si>
  <si>
    <t>Aktionsarten abwechseln; Bildhauer-Schwachstelle öffnet Marmorfugen.</t>
  </si>
  <si>
    <t>MARKED|COUNTER_READY</t>
  </si>
  <si>
    <t>Mobile-RPG-Gegnerkonzept, vollständige Figur, gut lesbare Kampfsilhouette, Rom-Fantasy, Lebendig gewordener Brückenengel aus hellem Marmor, große gefiederte Flügel, verwittertes Passionsinstrument, goldene Risse, entschlossener trauriger Blick, Tibernebel, Ganzkörper. Dramatisches aber nicht fotorealistisches Licht, neutraler transparenzgeeigneter Hintergrund, keine Schrift, kein Logo, keine Gore.</t>
  </si>
  <si>
    <t>EDITORIAL_REVIEW</t>
  </si>
  <si>
    <t>UE-D1-02</t>
  </si>
  <si>
    <t>BELEBTE_TIERSTATUE</t>
  </si>
  <si>
    <t>Eine der vier monumentalen Löwenstatuen am Sockel des Obelisken erwacht als steinernes Raubtier.</t>
  </si>
  <si>
    <t>Vier monumentale Löwenbrunnen unmittelbar um den Obelisksockel.</t>
  </si>
  <si>
    <t>Spawn seitlich auf der Piazza; die 20-m-Aggrozone darf den Pflicht-Blickpunkt von D1-Q03 am Obelisk nicht vollständig blockieren.</t>
  </si>
  <si>
    <t>R</t>
  </si>
  <si>
    <t>FAST_BRUISER</t>
  </si>
  <si>
    <t>Umkreist das Team und kündigt einen geraden Sprungangriff durch gesenkte Steinpranken an.</t>
  </si>
  <si>
    <t>Löwensprung: trifft Frontlinie; verfehlt teilweise, wenn ein Verteidiger die Linie abfängt.</t>
  </si>
  <si>
    <t>Defensive Haltung vor Telegraph; Wasser-/Kontrolleffekt verlangsamt.</t>
  </si>
  <si>
    <t>POUNCING|SLOWED</t>
  </si>
  <si>
    <t>Mobile-RPG-Gegnerkonzept, vollständige Figur, gut lesbare Kampfsilhouette, Rom-Fantasy, Monumentaler ägyptisierender Löwe aus warmem Stein, Brunnenwasser tropft aus der Mähne, bronzene Augen, Hieroglyphensockel-Fragmente, kraftvolle niedrige Haltung. Dramatisches aber nicht fotorealistisches Licht, neutraler transparenzgeeigneter Hintergrund, keine Schrift, kein Logo, keine Gore.</t>
  </si>
  <si>
    <t>UE-D1-03</t>
  </si>
  <si>
    <t>BELEBTE_GÖTTERSTATUE</t>
  </si>
  <si>
    <t>Die sitzende Personifikation Roms steigt als monumentale Marmorwächterin aus der Brunnenkomposition.</t>
  </si>
  <si>
    <t>Zentrale sitzende Göttin; im unteren Bereich sind die Wölfin und die Zwillinge deutlich erkennbar.</t>
  </si>
  <si>
    <t>Spawn seitlich der Brunnenachse; der Pflicht-Blickpunkt von D1-Q04 bleibt außerhalb der 20-m-Aggrozone. Die Questbegegnung Ombra di Antinoo bleibt getrennt.</t>
  </si>
  <si>
    <t>SSR</t>
  </si>
  <si>
    <t>AURA_COMMANDER</t>
  </si>
  <si>
    <t>Wechselt zwischen Roma-Aura, Wölfinruf und Zwillingsmarken; jede Haltung ist sichtbar telegraphiert.</t>
  </si>
  <si>
    <t>Ruf der Stadt: verstärkt sich, wenn zwei markierte Spieler dieselbe Aktion wählen.</t>
  </si>
  <si>
    <t>Markierte Spieler wählen unterschiedliche Rollen; Ordensperson entfernt Furcht, Bildhauer bricht Auraanker.</t>
  </si>
  <si>
    <t>AURA|TWIN_MARK|FEAR</t>
  </si>
  <si>
    <t>Mobile-RPG-Gegnerkonzept, vollständige Figur, gut lesbare Kampfsilhouette, Rom-Fantasy, Monumentale sitzende Göttin Roma aus weißem Marmor, roter Mantel als magisches Licht, Helm, Speer gesenkt, Wölfin und zwei geisterhafte Zwillinge am Sockel, würdevoll. Dramatisches aber nicht fotorealistisches Licht, neutraler transparenzgeeigneter Hintergrund, keine Schrift, kein Logo, keine Gore.</t>
  </si>
  <si>
    <t>UE-D1-04</t>
  </si>
  <si>
    <t>RELIEF_WIEDERGÄNGER</t>
  </si>
  <si>
    <t>Ein römischer Legionär löst sich aus dem spiralförmigen Reliefband und wird zum steinernen Wiedergänger.</t>
  </si>
  <si>
    <t>DIREKT_ABGELEITET</t>
  </si>
  <si>
    <t>Breites spiralförmiges Reliefband mit zahlreichen Soldaten- und Schlachtszenen.</t>
  </si>
  <si>
    <t>Spawn am Rand der Piazza Colonna; die 20-m-Aggrozone muss einen freien Pflicht-Blickpunkt für D1-Q08 lassen. Kleine Reliefdetails sind keine Triggerbedingung.</t>
  </si>
  <si>
    <t>FORMATION_SOLDIER</t>
  </si>
  <si>
    <t>Baut eine Schildlinie auf und wechselt nach jeder dritten Teamaktion zur Speerformation.</t>
  </si>
  <si>
    <t>Reliefmarsch: ruft flache Soldatenschatten, die eine Aktionskategorie blockieren.</t>
  </si>
  <si>
    <t>Flanke/Schwachstelle statt Frontalangriff; unterschiedliche Ziele lösen Schatten auf.</t>
  </si>
  <si>
    <t>SHIELD_WALL|ACTION_BLOCK</t>
  </si>
  <si>
    <t>Mobile-RPG-Gegnerkonzept, vollständige Figur, gut lesbare Kampfsilhouette, Rom-Fantasy, Römischer Legionär aus grauem Reliefstein, Körper teilweise flach wie aus einer Säule geschnitten, Rechteckschild, Speer, spiralförmige Reliefbänder schweben hinter ihm. Dramatisches aber nicht fotorealistisches Licht, neutraler transparenzgeeigneter Hintergrund, keine Schrift, kein Logo, keine Gore.</t>
  </si>
  <si>
    <t>UE-D1-05</t>
  </si>
  <si>
    <t>ZEIT_UND_SCHATTENGEIST</t>
  </si>
  <si>
    <t>Ein Zeitgeist aus wanderndem Schatten, abgeleitet von der antiken Nutzung des Obelisken als Zeiger des Horologium Augusti.</t>
  </si>
  <si>
    <t>INDIREKT_HISTORISCH</t>
  </si>
  <si>
    <t>Monumentaler Obelisk mit Hieroglyphen; die historische Gnomon-Funktion liefert das Schattenmotiv.</t>
  </si>
  <si>
    <t>Spawn seitlich auf der Piazza di Monte Citorio; Pflicht-Blickpunkt von D1-Q08 freihalten. Reale Schattenposition und Tageszeit sind keine Triggerbedingung.</t>
  </si>
  <si>
    <t>TIME_CONTROLLER</t>
  </si>
  <si>
    <t>Legt eine sichtbare Drei-Schritt-Zeitleiste an; verzögerte Aktionen werden verstärkt, hektische Wiederholungen bestraft.</t>
  </si>
  <si>
    <t>Schattenstunde: setzt Initiative nach sichtbarem Countdown neu.</t>
  </si>
  <si>
    <t>Aktionen vor Countdown koordinieren; Licht-/Beobachtungseffekt fixiert den Schatten.</t>
  </si>
  <si>
    <t>DELAYED|INITIATIVE_SHIFT</t>
  </si>
  <si>
    <t>Mobile-RPG-Gegnerkonzept, vollständige Figur, gut lesbare Kampfsilhouette, Rom-Fantasy, Humanoider Geist aus schwarzem Schatten und goldenen Sonnenlinien, Obelisken-Silhouette als Rücken, schwebende römische Stundenmarken, keine reale Schattenposition nötig. Dramatisches aber nicht fotorealistisches Licht, neutraler transparenzgeeigneter Hintergrund, keine Schrift, kein Logo, keine Gore.</t>
  </si>
  <si>
    <t>UE-D1-06</t>
  </si>
  <si>
    <t>BELEBTER_FASSADENENGEL</t>
  </si>
  <si>
    <t>Die einzelne große Engelsfigur der Fassade erwacht als steinerner Wächter der Kuppelbasilika.</t>
  </si>
  <si>
    <t>Einzelne große Engelsfigur auf der linken Fassadenseite vom öffentlichen Außenpunkt aus.</t>
  </si>
  <si>
    <t>Nur mit bestätigtem seitlichem Spawnpunkt einsetzen; die 20-m-Aggrozone darf den Außenhinweis von D1-Q13 und den Gehweg nicht vollständig blockieren.</t>
  </si>
  <si>
    <t>https://it.wikipedia.org/wiki/Basilica_di_Sant%27Andrea_della_Valle</t>
  </si>
  <si>
    <t>AERIAL_GUARD</t>
  </si>
  <si>
    <t>Schützt sich mit Steinflügeln und stößt nach einem Fassadenruf auf ein Ziel herab.</t>
  </si>
  <si>
    <t>Kuppelwacht: erhält Schutz, solange kein Teammitglied eine Beobachtungs-/Schwachstellenaktion nutzt.</t>
  </si>
  <si>
    <t>Fassadenanker identifizieren; Fern- oder Kontrollaktion unterbricht Sturzflug.</t>
  </si>
  <si>
    <t>WING_GUARD|DIVE_READY</t>
  </si>
  <si>
    <t>Mobile-RPG-Gegnerkonzept, vollständige Figur, gut lesbare Kampfsilhouette, Rom-Fantasy, Einzelner barocker Fassadenengel aus hellem Stein, asymmetrische leicht beschädigte Flügel, Schriftrolle, Kuppelsilhouette im Hintergrund, wachsam statt religiös verehrt. Dramatisches aber nicht fotorealistisches Licht, neutraler transparenzgeeigneter Hintergrund, keine Schrift, kein Logo, keine Gore.</t>
  </si>
  <si>
    <t>UE-D1-07</t>
  </si>
  <si>
    <t>MYTHISCHER_SCHLANGENGEIST</t>
  </si>
  <si>
    <t>Ein heiliger Schlangengeist des antiken Asklepios-Kults, der die schiffsförmige Insel als sein steinernes Lager nutzt.</t>
  </si>
  <si>
    <t>Travertinreste eines Schiffsbugs und ein Asklepios-Relief am östlichen Inselende.</t>
  </si>
  <si>
    <t>Spawn auf einer breiteren Inselfläche, nicht an einem Brückenhals. Die Aggrozone darf D1-Q14 nicht erzwingen; Insel- und Schiffsform dienen als visueller Fallback.</t>
  </si>
  <si>
    <t>HEAL_DENIAL</t>
  </si>
  <si>
    <t>Schlängelt sich zwischen Heilzeichen und verwandelt übermäßige Heilung in einen Schild.</t>
  </si>
  <si>
    <t>Asklepios-Windung: bindet den zuletzt geheilten Spieler und kopiert einen Teil der Heilung als Barriere.</t>
  </si>
  <si>
    <t>Heilung zeitlich verteilen; Einzelziel-Kontrolle löst Windung; Ordensperson reinigt Bindung.</t>
  </si>
  <si>
    <t>BOUND|ABSORB_HEAL</t>
  </si>
  <si>
    <t>Mobile-RPG-Gegnerkonzept, vollständige Figur, gut lesbare Kampfsilhouette, Rom-Fantasy, Großer heiliger Schlangengeist aus grünem Stein und blauem Licht, um einen verwitterten Asklepiosstab gewunden, Travertin-Schiffsbug-Fragmente, ruhig und bedrohlich. Dramatisches aber nicht fotorealistisches Licht, neutraler transparenzgeeigneter Hintergrund, keine Schrift, kein Logo, keine Gore.</t>
  </si>
  <si>
    <t>UE-D1-08</t>
  </si>
  <si>
    <t>WASSER_UND_BRÜCKENGEIST</t>
  </si>
  <si>
    <t>Ein kreisförmiger Tibergeist, der sich als flüssiges Auge in der großen Mittelöffnung der Brücke manifestiert.</t>
  </si>
  <si>
    <t>Spawn am Uferblickpunkt statt auf dem Brückendeck; die 20-m-Aggrozone darf den Weg und Dialogschritt von D1-Q12 nicht vollständig sperren.</t>
  </si>
  <si>
    <t>AREA_HAZARD</t>
  </si>
  <si>
    <t>Öffnet und schließt ein kreisförmiges Wasserauge; Angriff trifft nur die zuletzt markierte Reihe.</t>
  </si>
  <si>
    <t>Tiberblick: beobachtet eine Aktion und spiegelt deren Statuseffekt abgeschwächt.</t>
  </si>
  <si>
    <t>Reihe wechseln; reine Schadensaktion kann ohne spiegelbaren Debuff gewählt werden.</t>
  </si>
  <si>
    <t>WATCHED|SOAKED</t>
  </si>
  <si>
    <t>Mobile-RPG-Gegnerkonzept, vollständige Figur, gut lesbare Kampfsilhouette, Rom-Fantasy, Schwebendes kreisförmiges Auge aus Tiberwasser, steinerner Ring wie die Mittelöffnung der Brücke, Strömungsiris, kleine Brückenbogen-Fragmente, surreal aber klar lesbar. Dramatisches aber nicht fotorealistisches Licht, neutraler transparenzgeeigneter Hintergrund, keine Schrift, kein Logo, keine Gore.</t>
  </si>
  <si>
    <t>UE-D2-01</t>
  </si>
  <si>
    <t>BELEBTE_BRONZEQUADRIGA</t>
  </si>
  <si>
    <t>Eine der monumentalen bronzenen Quadrigen löst sich vom Dach und erscheint als übergroßer Wagengeist.</t>
  </si>
  <si>
    <t>Zwei monumentale Quadrigen an den oberen Enden des Vittoriano.</t>
  </si>
  <si>
    <t>Spawn auf einer sicheren Außenfläche seitlich der Hauptachse; keine Treppe, Terrasse oder Innenfläche voraussetzen. Pflicht-Blickpunkt von D2-Q02 freihalten.</t>
  </si>
  <si>
    <t>E</t>
  </si>
  <si>
    <t>MULTI_PHASE_CHARGER</t>
  </si>
  <si>
    <t>Erscheint als Wagengeist mit zwei Pferdepaaren; wechselt zwischen Parade, Sturm und Siegeskreis.</t>
  </si>
  <si>
    <t>Quadriga-Sturm: zwei nacheinander telegraphierte Linienangriffe.</t>
  </si>
  <si>
    <t>Zwischen Linien wechseln; Kontrolle eines Pferdepaars reduziert zweiten Angriff; Condottiere liest Route.</t>
  </si>
  <si>
    <t>CHARGE_LINE|TRIUMPH_AURA</t>
  </si>
  <si>
    <t>Mobile-RPG-Gegnerkonzept, vollständige Figur, gut lesbare Kampfsilhouette, Rom-Fantasy, Übergroße bronzene Quadriga mit vier geisterhaften Pferden, geflügelte Wagenlenkerin als abstrakte Siegesfigur, grüne Patina, weißer Monumentstein und goldener Sturm. Dramatisches aber nicht fotorealistisches Licht, neutraler transparenzgeeigneter Hintergrund, keine Schrift, kein Logo, keine Gore.</t>
  </si>
  <si>
    <t>UE-D2-02</t>
  </si>
  <si>
    <t>BELEBTES_BRUNNENDUO</t>
  </si>
  <si>
    <t>Die beiden steinernen Tritonen erwachen gemeinsam als ein koordiniertes Gegnerduo.</t>
  </si>
  <si>
    <t>Zwei große Tritonen tragen gemeinsam die obere Muschelschale.</t>
  </si>
  <si>
    <t>Spawn seitlich des Brunnens; die 20-m-Aggrozone darf D2-Q05 nicht zwangsauslösen. Der Platz bleibt Beobachtungs- und kein realer Bewegungsraum.</t>
  </si>
  <si>
    <t>COORDINATED_DUO</t>
  </si>
  <si>
    <t>Zwei Tritonen handeln abwechselnd: einer schützt die Muschel, der andere bläst einen Wasserstoß.</t>
  </si>
  <si>
    <t>Muschelhorn-Duett: starker Teamangriff, wenn beide in derselben Runde ungestört bleiben.</t>
  </si>
  <si>
    <t>Aktionen auf beide Rollen verteilen; Unterbrechen eines Tritons bricht das Duett.</t>
  </si>
  <si>
    <t>LINKED_DUO|SONIC_WAVE</t>
  </si>
  <si>
    <t>Mobile-RPG-Gegnerkonzept, vollständige Figur, gut lesbare Kampfsilhouette, Rom-Fantasy, Zwei muskulöse steinerne Tritonen tragen gemeinsam eine große Muschelschale, Meeresschwänze, Wasserbänder, grüne Patina, dynamische spiegelbildliche Posen. Dramatisches aber nicht fotorealistisches Licht, neutraler transparenzgeeigneter Hintergrund, keine Schrift, kein Logo, keine Gore.</t>
  </si>
  <si>
    <t>UE-D2-03</t>
  </si>
  <si>
    <t>BELEBTE_SCHIFFSSKULPTUR</t>
  </si>
  <si>
    <t>Das steinerne Schiff erwacht mit einem geisterhaften Steuermann zu einem einzigen animierten Gegnerkonstrukt.</t>
  </si>
  <si>
    <t>Spawn am Rand des öffentlichen Außenpunkts; der Pflicht-Blick auf die Navicella für D2-Q06 muss außerhalb der 20-m-Aggrozone erreichbar bleiben.</t>
  </si>
  <si>
    <t>SUMMONER_VEHICLE</t>
  </si>
  <si>
    <t>Der geisterhafte Steuermann lenkt die steinerne Navicella und ruft kleine Wellenkonstrukte.</t>
  </si>
  <si>
    <t>Steinerner Kurswechsel: verschiebt Zielpriorität und schützt die Seite, die dem Bug zugewandt ist.</t>
  </si>
  <si>
    <t>Bug/Heck richtig identifizieren und die ungeschützte Seite angreifen.</t>
  </si>
  <si>
    <t>PORT_GUARD|WAVE_MINION</t>
  </si>
  <si>
    <t>Mobile-RPG-Gegnerkonzept, vollständige Figur, gut lesbare Kampfsilhouette, Rom-Fantasy, Steinernes römisches Schiff als lebender Gegner, geisterhafter Steuermann am Heck, moosige Bordwand, blaues Licht in den Fugen, kleine Wellenwesen, Ganzkörper. Dramatisches aber nicht fotorealistisches Licht, neutraler transparenzgeeigneter Hintergrund, keine Schrift, kein Logo, keine Gore.</t>
  </si>
  <si>
    <t>UE-D2-04</t>
  </si>
  <si>
    <t>BELEBTE_BRONZESTATUE</t>
  </si>
  <si>
    <t>Die bronzene Caesar-Figur erwacht als ehrgeiziger Feldherr-Wiedergänger.</t>
  </si>
  <si>
    <t>Monumentale Caesar-Statue am Kapitol; die Figur selbst ist der Referenzkörper.</t>
  </si>
  <si>
    <t>Seitlichen Spawnpunkt mit freiem Blick auf die Statue festlegen. Wegen gelber Quellenlage erst nach aktuellem Bildbeleg veröffentlichen; kein kritischer Progressionsgegner.</t>
  </si>
  <si>
    <t>https://www.google.com/maps/search/?api=1&amp;query=41.892745,12.482623</t>
  </si>
  <si>
    <t>COMMAND_DUELIST</t>
  </si>
  <si>
    <t>Wechselt zwischen Befehl, Verteidigung und persönlichem Duell; jede Haltung wird durch Handzeichen angekündigt.</t>
  </si>
  <si>
    <t>Veni-Vidi-Marke: markiert den Spieler mit höchstem Angriff und fordert dessen nächste Aktion heraus.</t>
  </si>
  <si>
    <t>Schutz durch anderes Teammitglied bricht das Duell; Statusreinigung entfernt Befehlsmarke.</t>
  </si>
  <si>
    <t>CHALLENGED|COMMAND_AURA</t>
  </si>
  <si>
    <t>Mobile-RPG-Gegnerkonzept, vollständige Figur, gut lesbare Kampfsilhouette, Rom-Fantasy, Lebendig gewordene bronzene Caesar-Statue, Lorbeerkranz, römischer Brustpanzer und Mantel, grüne Patina, entschlossener aber nicht fotorealistischer Ausdruck, kapitolinisches Steinlicht. Dramatisches aber nicht fotorealistisches Licht, neutraler transparenzgeeigneter Hintergrund, keine Schrift, kein Logo, keine Gore.</t>
  </si>
  <si>
    <t>Via Romae – Quest Master v0.9</t>
  </si>
  <si>
    <t>40 implementierbare Questdefinitionen. Ruhm, Denare und benannte Questitems folgen den Reward-Profilen in GDD v0.16 Kapitel 28.7/28.8; FIELD_CHECK_REQUIRED bleibt bis zur Freigabe nicht veröffentlichbar.</t>
  </si>
  <si>
    <t>Questgeber-ID</t>
  </si>
  <si>
    <t>Questgeber</t>
  </si>
  <si>
    <t>Story / Konflikt</t>
  </si>
  <si>
    <t>Dramaturgischer Bogen</t>
  </si>
  <si>
    <t>Kandidaten-IDs</t>
  </si>
  <si>
    <t>Verifizierte Beobachtungen / Fact-Basis</t>
  </si>
  <si>
    <t>Quellen</t>
  </si>
  <si>
    <t>Slot / Fortschritt</t>
  </si>
  <si>
    <t>Voraussetzungen</t>
  </si>
  <si>
    <t>Erfolgsdefinition</t>
  </si>
  <si>
    <t>Fallback / Fehlerbehandlung</t>
  </si>
  <si>
    <t>Basis-Ruhm*</t>
  </si>
  <si>
    <t>Basis-Denare*</t>
  </si>
  <si>
    <t>Item / Loot</t>
  </si>
  <si>
    <t>Reward-/Encounter-Profil</t>
  </si>
  <si>
    <t>Klassen-Spotlight</t>
  </si>
  <si>
    <t>GeoJSON-/Geofence-Status</t>
  </si>
  <si>
    <t>Asset-Prompt-Beschreibung</t>
  </si>
  <si>
    <t>Asset-Status</t>
  </si>
  <si>
    <t>npc_konrad_schildwacht</t>
  </si>
  <si>
    <t>Konrad von der letzten Schildwacht</t>
  </si>
  <si>
    <t>Ein geisterhafter Gardist glaubt, der alte Fluchtkorridor sei erneut verraten worden. Das Team muss die sichere Linie vom Petersplatz bis zur Engelsburg rekonstruieren und über die Nachhut entscheiden.</t>
  </si>
  <si>
    <t>Misstrauen → Spurensicherung → taktische Gewissensentscheidung → Anerkennung</t>
  </si>
  <si>
    <t>place_day_1_piazza_san_pietro | place_day_1_passetto_di_borgo | place_day_1_castel_sant_angelo</t>
  </si>
  <si>
    <t>START / ERSTER HINWEIS: Runde Marmor-Brennpunktmarkierung im Pflaster zwischen Obelisk und Kolonnade; danach Blick auf die großen Säulen. | ZWISCHENSTATION: Langer, geschlossener Maueraufbau mit kleinen Öffnungen; vom öffentlichen Straßenraum sichtbar. | ABSCHLUSS: Große geflügelte Bronzefigur auf dem höchsten Punkt, vom öffentlichen Vorplatz sichtbar.</t>
  </si>
  <si>
    <t>https://www.turismoroma.it/it/luoghi/piazza-san-pietro
https://www.turismoroma.it/en/places/passetto-di-borgo
https://www.turismoroma.it/en/places/santangelo-castle</t>
  </si>
  <si>
    <t>TEAM_SHARED|max_3_regular</t>
  </si>
  <si>
    <t>day=DAY_1|firstLocationEnabled|regularSlotAvailable</t>
  </si>
  <si>
    <t>Alle required Questablauf-Schritte COMPLETE; mindestens 2 Teammitglieder bei normalen Ortszielen.</t>
  </si>
  <si>
    <t>QUEST_ITEM:qi_sigillum_guardiae / Siegel der Schildwacht (R; questLocked; kein Kampfbonus)</t>
  </si>
  <si>
    <t>QUEST_REWARD_PROFILE</t>
  </si>
  <si>
    <t>FIELD_CHECK_REQUIRED</t>
  </si>
  <si>
    <t>GeoJSON v0.8 spiegelt Quest-, Orts-, Encounter-, Timer- und Navigationsreferenzen; publishable bleibt bis APPROVED false.</t>
  </si>
  <si>
    <t>Reward- und Itemwerte verbindlich in GDD v0.16 §28.8; Feld-/Redaktionsstatus separat prüfen.</t>
  </si>
  <si>
    <t>Historisches Chiaroscuro, mobile-RPG-Questillustration für D1-Q01 „Der Fluchtkorridor“ (REGULAER). Szene: Ein geisterhafter Gardist glaubt, der alte Fluchtkorridor sei erneut verraten worden. Das Team muss die sichere Linie vom Petersplatz bis zur Engelsburg rekonstruieren und über die Nachhut entscheiden. Schauplatz/Ortsfolge: Petersplatz → Passetto di Borgo → Engelsburg. Klare Teamlesbarkeit, römische Materialien, gerichtetes warmes Licht, tiefe Schatten, reduzierte aber erkennbare Architektur, freie Zone für UI-Overlay, keine Schrift, kein Logo, keine modernen Gegenstände.</t>
  </si>
  <si>
    <t>npc_capitano_malatesta</t>
  </si>
  <si>
    <t>Capitano Malatesta</t>
  </si>
  <si>
    <t>Ein Condottiere wettet, dass kein modernes Team drei Tore lesen kann. Wer seine taktische Reihenfolge besteht, darf den päpstlichen Reiter zu dessen großem Ärger herausfordern.</t>
  </si>
  <si>
    <t>Provokation → Torvergleich → taktische Sortierung → Duell</t>
  </si>
  <si>
    <t>place_day_1_porta_san_pellegrino | place_day_1_porta_cavalleggeri | place_day_1_porta_santo_spirito</t>
  </si>
  <si>
    <t>START / ERSTER HINWEIS: Großer Torbogen und hoch angebrachtes päpstliches Wappen mit Stiermotiv. | ZWISCHENSTATION: Ein einzelner erhaltener Mauerbogen mit päpstlichen Zeichen nahe dem Vatikan. | ABSCHLUSS: Großer Mittelbogen, paarweise Säulen und deutlich erkennbare leere Nischen.</t>
  </si>
  <si>
    <t>https://it.wikipedia.org/wiki/Porta_San_Pellegrino
https://www.openstreetmap.org/node/6205478926
https://www.turismoroma.it/it/luoghi/porta-santo-spirito</t>
  </si>
  <si>
    <t>LOOT_ROLL:QUEST_STANDARD (team inventory; rarity band by duration)</t>
  </si>
  <si>
    <t>COMBAT_REWARD_PROFILE</t>
  </si>
  <si>
    <t>Historisches Chiaroscuro, mobile-RPG-Questillustration für D1-Q02 „Tore des Borgo“ (REGULAER). Szene: Ein Condottiere wettet, dass kein modernes Team drei Tore lesen kann. Wer seine taktische Reihenfolge besteht, darf den päpstlichen Reiter zu dessen großem Ärger herausfordern. Schauplatz/Ortsfolge: St.-Pellegrino-Tor → Porta Cavalleggeri → Porta Santo Spirito. Klare Teamlesbarkeit, römische Materialien, gerichtetes warmes Licht, tiefe Schatten, reduzierte aber erkennbare Architektur, freie Zone für UI-Overlay, keine Schrift, kein Logo, keine modernen Gegenstände.</t>
  </si>
  <si>
    <t>npc_flaminia_trivium</t>
  </si>
  <si>
    <t>Flaminia vom Dreizack</t>
  </si>
  <si>
    <t>Der Stadtgeist hat drei Wege miteinander verknotet. Das Team muss den Dreizack lesen, sich kurz aufteilen und am Tor wiederfinden, ohne dass die Zielzone direkt auf der Karte erscheint.</t>
  </si>
  <si>
    <t>Orientierung → kontrollierte Trennung → verborgene Wiedervereinigung</t>
  </si>
  <si>
    <t>place_day_1_piazza_del_popolo | place_day_1_obelisco_flaminio | place_day_1_porta_del_popolo</t>
  </si>
  <si>
    <t>START / ERSTER HINWEIS: Zwei große Kuppelkirchen am südlichen Platzende und drei radial ausgehende Straßen. | ZWISCHENSTATION: Vier monumentale Löwenbrunnen unmittelbar um den Sockel. | ABSCHLUSS: Drei große heutige Öffnungen, davon ein höherer Mittelbogen.</t>
  </si>
  <si>
    <t>https://en.wikipedia.org/wiki/Piazza_del_Popolo
https://en.wikipedia.org/wiki/Flaminio_Obelisk
https://en.wikipedia.org/wiki/Porta_del_Popolo</t>
  </si>
  <si>
    <t>Historisches Chiaroscuro, mobile-RPG-Questillustration für D1-Q03 „Der Dreizack“ (REGULAER). Szene: Der Stadtgeist hat drei Wege miteinander verknotet. Das Team muss den Dreizack lesen, sich kurz aufteilen und am Tor wiederfinden, ohne dass die Zielzone direkt auf der Karte erscheint. Schauplatz/Ortsfolge: Piazza del Popolo → Obelisco Flaminio → Porta del Popolo. Klare Teamlesbarkeit, römische Materialien, gerichtetes warmes Licht, tiefe Schatten, reduzierte aber erkennbare Architektur, freie Zone für UI-Overlay, keine Schrift, kein Logo, keine modernen Gegenstände.</t>
  </si>
  <si>
    <t>npc_seshat_pincio</t>
  </si>
  <si>
    <t>Seshat vom Pincio</t>
  </si>
  <si>
    <t>Hieroglyphen, Wölfin und Stadtblick sind aus Seshats Gedächtnis gerissen worden. Jede richtige Zuordnung bindet eine Fähigkeit der Ombra di Antinoo.</t>
  </si>
  <si>
    <t>Fragmentierte Erinnerung → drei Bildanker → geschwächter Schatten → Ruhe</t>
  </si>
  <si>
    <t>place_day_1_obelisco_di_antinoo | place_day_1_fontana_della_dea_di_roma | place_day_1_balconata_del_pincio</t>
  </si>
  <si>
    <t>START / ERSTER HINWEIS: Hieroglyphen auf allen Schaftseiten und deutliche Obeliskform. | ZWISCHENSTATION: Zentrale sitzende Göttin und gut erkennbare Wölfin mit Zwillingen im unteren Bereich. | ABSCHLUSS: Große Balustrade mit unmittelbarem Überblick auf Piazza del Popolo.</t>
  </si>
  <si>
    <t>https://it.wikipedia.org/wiki/Obelisco_del_Pincio
https://www.openstreetmap.org/relation/11496554
https://www.openstreetmap.org/node/649529694</t>
  </si>
  <si>
    <t>QUEST_ITEM:qi_tessera_lupae / Tessera der Wölfin (R; questLocked; kein Kampfbonus)</t>
  </si>
  <si>
    <t>Historisches Chiaroscuro, mobile-RPG-Questillustration für D1-Q04 „Antinoos über Rom“ (REGULAER). Szene: Hieroglyphen, Wölfin und Stadtblick sind aus Seshats Gedächtnis gerissen worden. Jede richtige Zuordnung bindet eine Fähigkeit der Ombra di Antinoo. Schauplatz/Ortsfolge: Obelisco di Antinoo → Fontana della Dea di Roma → Balconata del Pincio. Klare Teamlesbarkeit, römische Materialien, gerichtetes warmes Licht, tiefe Schatten, reduzierte aber erkennbare Architektur, freie Zone für UI-Overlay, keine Schrift, kein Logo, keine modernen Gegenstände.</t>
  </si>
  <si>
    <t>npc_barcaccia</t>
  </si>
  <si>
    <t>La Barcaccia</t>
  </si>
  <si>
    <t>Der Brunnengeist verlangt eine ehrliche Formbestimmung – und eine Entschuldigung für Jahrhunderte schlechter Boots-Witze.</t>
  </si>
  <si>
    <t>Komische Beschwerde → Beobachtung → versöhnte Selbstdarstellung</t>
  </si>
  <si>
    <t>START / ERSTER HINWEIS: Bootsförmiger Brunnen am Fuß der großen Freitreppe.</t>
  </si>
  <si>
    <t>Historisches Chiaroscuro, mobile-RPG-Questillustration für D1-Q05 „Die steinerne Barke“ (REGULAER). Szene: Der Brunnengeist verlangt eine ehrliche Formbestimmung – und eine Entschuldigung für Jahrhunderte schlechter Boots-Witze. Schauplatz/Ortsfolge: Spanischer Platz. Klare Teamlesbarkeit, römische Materialien, gerichtetes warmes Licht, tiefe Schatten, reduzierte aber erkennbare Architektur, freie Zone für UI-Overlay, keine Schrift, kein Logo, keine modernen Gegenstände.</t>
  </si>
  <si>
    <t>npc_bernini_echo</t>
  </si>
  <si>
    <t>Gian Lorenzo Bernini – Werkstattecho</t>
  </si>
  <si>
    <t>Berninis Echo braucht drei gleichzeitig arbeitende Augen. Das Team verteilt sich auf die Brunnen, bestätigt synchron sichtbare Figurenmerkmale und entscheidet, welches Material die fiktive Werkstatt erhält.</t>
  </si>
  <si>
    <t>Künstlerische Provokation → synchrones Beobachten → Zuordnung → Werkstattentscheidung</t>
  </si>
  <si>
    <t>place_day_1_piazza_navona | place_day_1_fontana_del_nettuno | place_day_1_fontana_del_moro</t>
  </si>
  <si>
    <t>START / ERSTER HINWEIS: Drei weit auseinanderliegende Großbrunnen entlang der Platzachse. | ZWISCHENSTATION: Große zentrale Neptunfigur im Ringkampf mit einem vielarmigen Meerestier. | ABSCHLUSS: Zentrale männliche Figur mit Delfin; vier Tritonen im unteren Becken.</t>
  </si>
  <si>
    <t>https://it.wikipedia.org/wiki/Piazza_Navona
https://it.wikipedia.org/wiki/Fontana_del_Nettuno_(Roma)
https://it.wikipedia.org/wiki/Fontana_del_Moro</t>
  </si>
  <si>
    <t>Historisches Chiaroscuro, mobile-RPG-Questillustration für D1-Q06 „Berninis Werkstatt“ (REGULAER). Szene: Berninis Echo braucht drei gleichzeitig arbeitende Augen. Das Team verteilt sich auf die Brunnen, bestätigt synchron sichtbare Figurenmerkmale und entscheidet, welches Material die fiktive Werkstatt erhält. Schauplatz/Ortsfolge: Piazza Navona → Neptunsbrunnen → Mohrenbrunnen. Klare Teamlesbarkeit, römische Materialien, gerichtetes warmes Licht, tiefe Schatten, reduzierte aber erkennbare Architektur, freie Zone für UI-Overlay, keine Schrift, kein Logo, keine modernen Gegenstände.</t>
  </si>
  <si>
    <t>npc_agrippa_echo</t>
  </si>
  <si>
    <t>Marcus Agrippa – Echo der Inschrift</t>
  </si>
  <si>
    <t>Agrippas Name ist sichtbar, doch eine Mumie versucht, die Inschrift zu verschlucken. Das Team transkribiert den Namen, überträgt ihn auf eine virtuelle Wachstafel und versiegelt den Obeliskenbezug.</t>
  </si>
  <si>
    <t>Nüchterne Prüfung → Transkription → Bannung</t>
  </si>
  <si>
    <t>place_day_1_pantheon | place_day_1_obelisco_macuteo</t>
  </si>
  <si>
    <t>START / ERSTER HINWEIS: Sehr große lateinische Inschrift über dem Portikus; vollständig vom öffentlichen Platz lesbar. | ABSCHLUSS: Obelisk mit Hieroglyphen, der sichtbar aus der Brunnenanlage der Piazza della Rotonda aufragt.</t>
  </si>
  <si>
    <t>https://www.turismoroma.it/it/luoghi/pantheon
https://it.wikipedia.org/wiki/Obelisco_del_Pantheon</t>
  </si>
  <si>
    <t>QUEST_ITEM:qi_tabula_agrippae / Wachstafel AGRIPPA (N; questLocked; kein Kampfbonus)</t>
  </si>
  <si>
    <t>Historisches Chiaroscuro, mobile-RPG-Questillustration für D1-Q07 „Agrippas Zeichen“ (REGULAER). Szene: Agrippas Name ist sichtbar, doch eine Mumie versucht, die Inschrift zu verschlucken. Das Team transkribiert den Namen, überträgt ihn auf eine virtuelle Wachstafel und versiegelt den Obeliskenbezug. Schauplatz/Ortsfolge: Pantheon → Obelisco Macuteo. Klare Teamlesbarkeit, römische Materialien, gerichtetes warmes Licht, tiefe Schatten, reduzierte aber erkennbare Architektur, freie Zone für UI-Overlay, keine Schrift, kein Logo, keine modernen Gegenstände.</t>
  </si>
  <si>
    <t>npc_cassius_archivar</t>
  </si>
  <si>
    <t>Cassius Spiralis</t>
  </si>
  <si>
    <t>Cassius hat zwei Monumentakten vertauscht. Das Team ordnet Schrift, Form und politische Bildsprache dem Obelisken und der Reliefsäule zu.</t>
  </si>
  <si>
    <t>Aktenchaos → Mustervergleich → geordnete Botschaften</t>
  </si>
  <si>
    <t>place_day_1_obelisco_di_montecitorio | place_day_1_colonna_di_marco_aurelio</t>
  </si>
  <si>
    <t>START / ERSTER HINWEIS: Monumentaler Schaft mit Hieroglyphen und einer Metallkugel an der Spitze. | ABSCHLUSS: Breites spiralförmiges Reliefband und große Figur auf der Spitze.</t>
  </si>
  <si>
    <t>https://it.wikipedia.org/wiki/Obelisco_di_Montecitorio
https://it.wikipedia.org/wiki/Colonna_di_Marco_Aurelio</t>
  </si>
  <si>
    <t>Historisches Chiaroscuro, mobile-RPG-Questillustration für D1-Q08 „Kaiserbotschaften“ (REGULAER). Szene: Cassius hat zwei Monumentakten vertauscht. Das Team ordnet Schrift, Form und politische Bildsprache dem Obelisken und der Reliefsäule zu. Schauplatz/Ortsfolge: Obelisco di Montecitorio → Mark-Aurel-Säule. Klare Teamlesbarkeit, römische Materialien, gerichtetes warmes Licht, tiefe Schatten, reduzierte aber erkennbare Architektur, freie Zone für UI-Overlay, keine Schrift, kein Logo, keine modernen Gegenstände.</t>
  </si>
  <si>
    <t>npc_aqua_virgo</t>
  </si>
  <si>
    <t>Aqua Virgo</t>
  </si>
  <si>
    <t>Eine Kanalratte hat den Wasserweg zwischen Trevi, den Arkaden und dem Tritonenbrunnen verdreckt. Beobachtungen füllen eine Ampulle, die im Kampf die Schmutzfähigkeit neutralisiert.</t>
  </si>
  <si>
    <t>Verunreinigung → Wasserweg lesen → Reinigung → Kampf</t>
  </si>
  <si>
    <t>place_day_1_fontana_di_trevi | place_day_1_acquedotto_vergine | place_day_1_fontana_del_tritone</t>
  </si>
  <si>
    <t>START / ERSTER HINWEIS: Zwei große Seepferde vor dem muschelförmigen Wagen der Zentralfigur. | ZWISCHENSTATION: Drei teilweise im heutigen Bodenniveau versunkene Travertinarkaden hinter einer Absperrung. | ABSCHLUSS: Vier große Delfine, Muschelschale, Triton mit Schneckenhorn.</t>
  </si>
  <si>
    <t>https://it.wikipedia.org/wiki/Fontana_di_Trevi
https://www.sovraintendenzaroma.it/i_luoghi/roma_antica/monumenti/acquedotto_vergine
https://it.wikipedia.org/wiki/Fontana_del_Tritone</t>
  </si>
  <si>
    <t>QUEST_ITEM:qi_ampulla_virgo / Ampulla der Aqua Virgo (R; questLocked; kein Kampfbonus)</t>
  </si>
  <si>
    <t>Historisches Chiaroscuro, mobile-RPG-Questillustration für D1-Q09 „Das gebändigte Wasser“ (REGULAER). Szene: Eine Kanalratte hat den Wasserweg zwischen Trevi, den Arkaden und dem Tritonenbrunnen verdreckt. Beobachtungen füllen eine Ampulle, die im Kampf die Schmutzfähigkeit neutralisiert. Schauplatz/Ortsfolge: Trevi-Brunnen → Acquedotto Vergine → Tritonenbrunnen. Klare Teamlesbarkeit, römische Materialien, gerichtetes warmes Licht, tiefe Schatten, reduzierte aber erkennbare Architektur, freie Zone für UI-Overlay, keine Schrift, kein Logo, keine modernen Gegenstände.</t>
  </si>
  <si>
    <t>npc_skanderbeg_echo</t>
  </si>
  <si>
    <t>Skanderbeg – steinernes Echo</t>
  </si>
  <si>
    <t>Skanderbeg prüft drei Formen von Macht: Name, monumentale Pferde und heutige Staatsgewalt. Am Ende wählt das Team Loyalität, Unabhängigkeit oder Dienst am Gemeinwohl.</t>
  </si>
  <si>
    <t>Identitätsprüfung → Machtsymbole → Loyalitätsentscheidung</t>
  </si>
  <si>
    <t>place_day_1_piazza_scanderbeg | place_day_1_obelisco_del_quirinale | place_day_1_palazzo_del_quirinale</t>
  </si>
  <si>
    <t>START / ERSTER HINWEIS: Steinernes Porträtrelief mit lesbarem Namen an der Hausfassade. | ZWISCHENSTATION: Zwei monumentale Pferdegruppen flankieren den Obelisken. | ABSCHLUSS: Monumentale lange Palastfassade und Hauptportal an der öffentlich zugänglichen Piazza del Quirinale.</t>
  </si>
  <si>
    <t>https://en.wikipedia.org/wiki/Piazza_Scanderbeg
https://it.wikipedia.org/wiki/Obelisco_del_Quirinale
https://palazzo.quirinale.it/palazzo_en.html</t>
  </si>
  <si>
    <t>Historisches Chiaroscuro, mobile-RPG-Questillustration für D1-Q10 „Macht auf dem Quirinal“ (REGULAER). Szene: Skanderbeg prüft drei Formen von Macht: Name, monumentale Pferde und heutige Staatsgewalt. Am Ende wählt das Team Loyalität, Unabhängigkeit oder Dienst am Gemeinwohl. Schauplatz/Ortsfolge: Piazza Scanderbeg → Obelisco del Quirinale → Quirinalspalast. Klare Teamlesbarkeit, römische Materialien, gerichtetes warmes Licht, tiefe Schatten, reduzierte aber erkennbare Architektur, freie Zone für UI-Overlay, keine Schrift, kein Logo, keine modernen Gegenstände.</t>
  </si>
  <si>
    <t>npc_lucia_laternenhueterin</t>
  </si>
  <si>
    <t>Lucia, Laternenhüterin der Säule</t>
  </si>
  <si>
    <t>Lucia bittet nicht um Frömmigkeitswissen, sondern um genaues Sehen: Spitzenfigur, Sockelfiguren und das Wort, das die sichtbare Komposition zusammenhält.</t>
  </si>
  <si>
    <t>Stilles Betrachten → Symbolwort → behutsame Deutung</t>
  </si>
  <si>
    <t>START / ERSTER HINWEIS: Große Marienstatue auf der Spitze und vier sitzende Sockelfiguren.</t>
  </si>
  <si>
    <t>Historisches Chiaroscuro, mobile-RPG-Questillustration für D1-Q11 „Zeichen der Unbefleckten“ (REGULAER). Szene: Lucia bittet nicht um Frömmigkeitswissen, sondern um genaues Sehen: Spitzenfigur, Sockelfiguren und das Wort, das die sichtbare Komposition zusammenhält. Schauplatz/Ortsfolge: Colonna dell'Immacolata. Klare Teamlesbarkeit, römische Materialien, gerichtetes warmes Licht, tiefe Schatten, reduzierte aber erkennbare Architektur, freie Zone für UI-Overlay, keine Schrift, kein Logo, keine modernen Gegenstände.</t>
  </si>
  <si>
    <t>npc_giordano_bruno_echo</t>
  </si>
  <si>
    <t>Giordano Bruno – dunkles Echo</t>
  </si>
  <si>
    <t>Bruno sammelt vier Stimmen Roms: Verbindung, Palastmacht, öffentliche Debatte und republikanische Ruinen. Das Team ordnet sie und entscheidet, welche Stimme seine Chronik prägt.</t>
  </si>
  <si>
    <t>Vier städtische Stimmen → Zuordnung → politische Schlussentscheidung</t>
  </si>
  <si>
    <t>place_day_1_ponte_sisto | place_day_1_palazzo_farnese | place_day_1_campo_de_fiori | place_day_1_largo_di_torre_argentina</t>
  </si>
  <si>
    <t>START / ERSTER HINWEIS: Große kreisrunde Öffnung zwischen den beiden mittleren Brückenbögen. | ZWISCHENSTATION: Großes päpstliches Wappen über dem Mittelportal und wiederkehrende Lilienmotive. | ZWISCHENSTATION: Monumentale dunkle Bronzefigur; geschlossenes Buch direkt unter den gekreuzten Händen. | ABSCHLUSS: Vier klar getrennte Tempelkomplexe im tiefer liegenden Areal.</t>
  </si>
  <si>
    <t>https://www.turismoroma.it/it/luoghi/ponte-sisto
https://it.wikipedia.org/wiki/Palazzo_Farnese_(Roma)
https://www.sovraintendenzaroma.it/i_luoghi/roma_medioevale_e_moderna/monumenti/monumento_a_giordano_bruno
https://it.wikipedia.org/wiki/Largo_di_Torre_Argentina</t>
  </si>
  <si>
    <t>Historisches Chiaroscuro, mobile-RPG-Questillustration für D1-Q12 „Stimmen der Republik“ (REGULAER). Szene: Bruno sammelt vier Stimmen Roms: Verbindung, Palastmacht, öffentliche Debatte und republikanische Ruinen. Das Team ordnet sie und entscheidet, welche Stimme seine Chronik prägt. Schauplatz/Ortsfolge: Ponte Sisto → Palazzo Farnese → Campo de' Fiori → Largo di Torre Argentina. Klare Teamlesbarkeit, römische Materialien, gerichtetes warmes Licht, tiefe Schatten, reduzierte aber erkennbare Architektur, freie Zone für UI-Overlay, keine Schrift, kein Logo, keine modernen Gegenstände.</t>
  </si>
  <si>
    <t>npc_marcella_scaena</t>
  </si>
  <si>
    <t>Marcella Scaena</t>
  </si>
  <si>
    <t>Drei Bühnen verschiedener Zeiten stehen im falschen Akt. Das Team ordnet Fassade, Schildkrötenbrunnen und antike Arkaden chronologisch; eine falsche Schildkröte kann den Hidden-Kampf wecken.</t>
  </si>
  <si>
    <t>Verwechselte Akte → Beobachtungen → Chronologie → Vorhang</t>
  </si>
  <si>
    <t>place_day_1_basilica_di_sant_andrea_della_valle | place_day_1_fontana_delle_tartarughe | place_day_1_teatro_di_marcello</t>
  </si>
  <si>
    <t>START / ERSTER HINWEIS: Einzelne große Engelsfigur auf der linken Fassadenseite, wenn man vor der Kirche steht. | ZWISCHENSTATION: Vier deutlich sichtbare Schildkröten am Rand des oberen Beckens. | ABSCHLUSS: Zwei übereinanderliegende antike Arkadenebenen unter einem späteren Wohnpalast.</t>
  </si>
  <si>
    <t>https://it.wikipedia.org/wiki/Basilica_di_Sant'Andrea_della_Valle
https://www.turismoroma.it/it/luoghi/fontana-delle-tartarughe
https://www.turismoroma.it/it/luoghi/teatro-di-marcello</t>
  </si>
  <si>
    <t>Historisches Chiaroscuro, mobile-RPG-Questillustration für D1-Q13 „Roms große Bühne“ (REGULAER). Szene: Drei Bühnen verschiedener Zeiten stehen im falschen Akt. Das Team ordnet Fassade, Schildkrötenbrunnen und antike Arkaden chronologisch; eine falsche Schildkröte kann den Hidden-Kampf wecken. Schauplatz/Ortsfolge: Basilica di Sant'Andrea della Valle → Fontana delle Tartarughe → Marcellustheater. Klare Teamlesbarkeit, römische Materialien, gerichtetes warmes Licht, tiefe Schatten, reduzierte aber erkennbare Architektur, freie Zone für UI-Overlay, keine Schrift, kein Logo, keine modernen Gegenstände.</t>
  </si>
  <si>
    <t>npc_tiberinus_medicus</t>
  </si>
  <si>
    <t>Tiberinus Medicus</t>
  </si>
  <si>
    <t>Die Insel ‚fiebert‘, weil ihr Schiffsbug und ihre Heiltradition getrennt wurden. Das Team erkennt die Form, gibt NAVIS ein und setzt einen virtuellen Heilungsstab ein.</t>
  </si>
  <si>
    <t>Diagnose → Formerkennung → Code → Heileffekt</t>
  </si>
  <si>
    <t>START / ERSTER HINWEIS: Travertinreste einer Schiffsspitze und Asklepios-Relief am östlichen Inselende.</t>
  </si>
  <si>
    <t>QUEST_ITEM:qi_virga_aesculapii / Stab des Heilwegs (R; questLocked; kein Kampfbonus)</t>
  </si>
  <si>
    <t>Historisches Chiaroscuro, mobile-RPG-Questillustration für D1-Q14 „Die steinerne Insel“ (REGULAER). Szene: Die Insel ‚fiebert‘, weil ihr Schiffsbug und ihre Heiltradition getrennt wurden. Das Team erkennt die Form, gibt NAVIS ein und setzt einen virtuellen Heilungsstab ein. Schauplatz/Ortsfolge: Isola Tiberina. Klare Teamlesbarkeit, römische Materialien, gerichtetes warmes Licht, tiefe Schatten, reduzierte aber erkennbare Architektur, freie Zone für UI-Overlay, keine Schrift, kein Logo, keine modernen Gegenstände.</t>
  </si>
  <si>
    <t>npc_cecilia_vox</t>
  </si>
  <si>
    <t>Cecilia – Stimme im Mosaik</t>
  </si>
  <si>
    <t>Cecilias Erinnerung klingt zwischen zwei Kirchen. Das Team sammelt außen sichtbare Hinweise und entscheidet, wie Legende und belegte Geschichte fair erzählt werden.</t>
  </si>
  <si>
    <t>Erinnerung → sichtbare Hinweise → Quellenentscheidung → harmonischer Abschluss</t>
  </si>
  <si>
    <t>place_day_1_basilica_di_santa_cecilia_in_trastevere | place_day_1_basilica_di_santa_maria_in_trastevere</t>
  </si>
  <si>
    <t>START / ERSTER HINWEIS: Kirchenname und Widmung am äußeren Zugang; Innenhofbrunnen nur optional, weil der Hof zeitabhängig sein kann. | ABSCHLUSS: Großes goldenes Mosaik hoch an der Fassade; vom Platz sichtbar.</t>
  </si>
  <si>
    <t>https://it.wikipedia.org/wiki/Basilica_di_Santa_Cecilia_in_Trastevere
https://it.wikipedia.org/wiki/Basilica_di_Santa_Maria_in_Trastevere</t>
  </si>
  <si>
    <t>Historisches Chiaroscuro, mobile-RPG-Questillustration für D1-Q15 „Cecilias Stimmen“ (REGULAER). Szene: Cecilias Erinnerung klingt zwischen zwei Kirchen. Das Team sammelt außen sichtbare Hinweise und entscheidet, wie Legende und belegte Geschichte fair erzählt werden. Schauplatz/Ortsfolge: Basilica di Santa Cecilia in Trastevere → Santa Maria in Trastevere. Klare Teamlesbarkeit, römische Materialien, gerichtetes warmes Licht, tiefe Schatten, reduzierte aber erkennbare Architektur, freie Zone für UI-Overlay, keine Schrift, kein Logo, keine modernen Gegenstände.</t>
  </si>
  <si>
    <t>npc_anita_garibaldi</t>
  </si>
  <si>
    <t>Anita Garibaldi – Reiterecho</t>
  </si>
  <si>
    <t>Anita führt eine aufsteigende Erinnerungsroute über Mauern, Ossarium und Wasserfassade. Ein Abschnitt wird ohne sichtbaren Zielmarker navigiert; jede richtige Station stärkt das Team für den Garibaldino.</t>
  </si>
  <si>
    <t>Aufbruch → koordinierter Aufstieg → Erinnerungsordnung → Finale</t>
  </si>
  <si>
    <t>place_day_1_mura_gianicolensi_2 | place_day_1_mausoleo_ossario_garibaldino | place_day_1_fontana_dell_acqua_paola | place_day_1_monumento_a_garibaldi | place_day_1_monumento_ad_anita_garibaldi</t>
  </si>
  <si>
    <t>START / ERSTER HINWEIS: Langer massiver Mauerabschnitt mit Schieß- und Verteidigungsformen. | ZWISCHENSTATION: Symmetrischer Zentralbau mit vier großen offenen Bögen. | ZWISCHENSTATION: Fünf weithin sichtbare Bogenfelder in der Hauptfassade. | ZWISCHENSTATION: Große Reiterfigur auf hohem Sockel. | ABSCHLUSS: Große Reiterfigur mit deutlich erhobener Handwaffe.</t>
  </si>
  <si>
    <t>https://turismoroma.it/es/node/31555
https://it.wikipedia.org/wiki/Mausoleo_Ossario_Garibaldino
https://it.wikipedia.org/wiki/Fontana_dell'Acqua_Paola
https://it.wikipedia.org/wiki/Monumento_a_Giuseppe_Garibaldi_(Roma)
https://it.wikipedia.org/wiki/Monumento_ad_Anita_Garibaldi</t>
  </si>
  <si>
    <t>Historisches Chiaroscuro, mobile-RPG-Questillustration für D1-Q16 „Republik auf dem Gianicolo“ (REGULAER). Szene: Anita führt eine aufsteigende Erinnerungsroute über Mauern, Ossarium und Wasserfassade. Ein Abschnitt wird ohne sichtbaren Zielmarker navigiert; jede richtige Station stärkt das Team für den Garibaldino. Schauplatz/Ortsfolge: Gianicolense-Mauern → Mausoleo Ossario Garibaldino → Fontana Dell'Acqua Paola → Monumento a Garibaldi → Monumento ad Anita Garibaldi. Klare Teamlesbarkeit, römische Materialien, gerichtetes warmes Licht, tiefe Schatten, reduzierte aber erkennbare Architektur, freie Zone für UI-Overlay, keine Schrift, kein Logo, keine modernen Gegenstände.</t>
  </si>
  <si>
    <t>npc_michelangelo_campidoglio</t>
  </si>
  <si>
    <t>Michelangelo – missmutiger Platzgeist</t>
  </si>
  <si>
    <t>Der Platzgeist verlangt, dass Sternmuster und Caesarfigur nicht nur gesehen, sondern den Funktionen Orientierung, Macht und Erinnerung zugeordnet werden.</t>
  </si>
  <si>
    <t>Formprüfung → Figurenattribut → Bedeutungszuordnung</t>
  </si>
  <si>
    <t>place_day_2_piazza_del_campidoglio | place_day_2_giulio_cesare</t>
  </si>
  <si>
    <t>START / ERSTER HINWEIS: Großes hell-dunkles Sternoval im Pflaster um die Reiterstatue. | ABSCHLUSS: Lebensgroße Bronze mit deutlich sichtbarer Schriftrolle in der linken Hand.</t>
  </si>
  <si>
    <t>https://it.wikipedia.org/wiki/Piazza_del_Campidoglio
https://www.openstreetmap.org/node/7239169954</t>
  </si>
  <si>
    <t>day=DAY_2|firstLocationEnabled|regularSlotAvailable</t>
  </si>
  <si>
    <t>Historisches Chiaroscuro, mobile-RPG-Questillustration für D2-Q01 „Stern des Kapitols“ (REGULAER). Szene: Der Platzgeist verlangt, dass Sternmuster und Caesarfigur nicht nur gesehen, sondern den Funktionen Orientierung, Macht und Erinnerung zugeordnet werden. Schauplatz/Ortsfolge: Kapitolsplatz → Giulio Cesare. Klare Teamlesbarkeit, römische Materialien, gerichtetes warmes Licht, tiefe Schatten, reduzierte aber erkennbare Architektur, freie Zone für UI-Overlay, keine Schrift, kein Logo, keine modernen Gegenstände.</t>
  </si>
  <si>
    <t>npc_vittoria_alata</t>
  </si>
  <si>
    <t>Vittoria Alata</t>
  </si>
  <si>
    <t>Vittoria behauptet, niemand schaue mehr über die Selfiesticks hinweg. Das Team zählt die Quadrigen und ordnet das Denkmal seiner Epoche zu.</t>
  </si>
  <si>
    <t>Überwältigende Silhouette → Zählung → Epochenwahl</t>
  </si>
  <si>
    <t>START / ERSTER HINWEIS: Zwei monumentale Quadrigen auf den oberen Enden des Bauwerks.</t>
  </si>
  <si>
    <t>Historisches Chiaroscuro, mobile-RPG-Questillustration für D2-Q02 „Quadrigen der Einheit“ (REGULAER). Szene: Vittoria behauptet, niemand schaue mehr über die Selfiesticks hinweg. Das Team zählt die Quadrigen und ordnet das Denkmal seiner Epoche zu. Schauplatz/Ortsfolge: Nationaldenkmal für Viktor Emanuel II.. Klare Teamlesbarkeit, römische Materialien, gerichtetes warmes Licht, tiefe Schatten, reduzierte aber erkennbare Architektur, freie Zone für UI-Overlay, keine Schrift, kein Logo, keine modernen Gegenstände.</t>
  </si>
  <si>
    <t>npc_lanista_felix</t>
  </si>
  <si>
    <t>Lanista Felix</t>
  </si>
  <si>
    <t>Felix verbindet Triumphbogen, Arena und Trainingsplatz zu einer taktischen Lektion. Die richtige Zuordnung bestimmt den Kampfvorteil gegen den Gladiator des Ludus.</t>
  </si>
  <si>
    <t>Spektakel → Analyse → Taktik → Kampf</t>
  </si>
  <si>
    <t>place_day_2_arco_di_costantino | place_day_2_colosseo | place_day_2_ludus_magnus</t>
  </si>
  <si>
    <t>START / ERSTER HINWEIS: Drei monumentale Durchgänge, vom öffentlichen Bereich beim Kolosseum sichtbar. | ZWISCHENSTATION: Drei große Reihen offener Arkaden an der hohen erhaltenen Außenwand. | ABSCHLUSS: Halb freigelegte ovale Arena unter dem heutigen Straßenniveau.</t>
  </si>
  <si>
    <t>https://en.wikipedia.org/wiki/Arch_of_Constantine
https://it.wikipedia.org/wiki/Colosseo
https://de.wikipedia.org/wiki/Ludus_Magnus</t>
  </si>
  <si>
    <t>Historisches Chiaroscuro, mobile-RPG-Questillustration für D2-Q03 „Arena und Triumph“ (REGULAER). Szene: Felix verbindet Triumphbogen, Arena und Trainingsplatz zu einer taktischen Lektion. Die richtige Zuordnung bestimmt den Kampfvorteil gegen den Gladiator des Ludus. Schauplatz/Ortsfolge: Konstantinsbogen → Kolosseum → Ludus Magnus. Klare Teamlesbarkeit, römische Materialien, gerichtetes warmes Licht, tiefe Schatten, reduzierte aber erkennbare Architektur, freie Zone für UI-Overlay, keine Schrift, kein Logo, keine modernen Gegenstände.</t>
  </si>
  <si>
    <t>npc_mercator_gaius</t>
  </si>
  <si>
    <t>Gaius Quattuorportus</t>
  </si>
  <si>
    <t>Gaius verkauft drei Erklärungen und nur eine ist sauber gekennzeichnet. Das Team vergleicht Steingesicht, Rundtempel, Architrav und vierseitigen Bogen, gibt VERITAS ein und trennt Fakt, spätere Deutung und Legende.</t>
  </si>
  <si>
    <t>Verlockende Legende → vier Formen → Quellenprüfung → Urteil</t>
  </si>
  <si>
    <t>place_day_2_bocca_della_verita | place_day_2_tempio_di_ercole_vincitore | place_day_2_arco_degli_argentari | place_day_2_arco_di_giano</t>
  </si>
  <si>
    <t>START / ERSTER HINWEIS: Großes rundes Steingesicht im äußeren Portikus von Santa Maria in Cosmedin. | ZWISCHENSTATION: Klar erkennbare runde Cella mit umlaufendem Säulenkranz. | ZWISCHENSTATION: Gerader oberer Abschluss über engem Durchgang; reiche Reliefs an den Pfeilern. | ABSCHLUSS: Vier weithin sichtbare Bogenöffnungen auf vier Seiten.</t>
  </si>
  <si>
    <t>https://it.wikipedia.org/wiki/Bocca_della_Verit%C3%A0
https://it.wikipedia.org/wiki/Tempio_di_Ercole_Vincitore
https://en.wikipedia.org/wiki/Arcus_Argentariorum
https://it.wikipedia.org/wiki/Arco_di_Giano</t>
  </si>
  <si>
    <t>Historisches Chiaroscuro, mobile-RPG-Questillustration für D2-Q04 „Handel, Götter und Wahrheit“ (REGULAER). Szene: Gaius verkauft drei Erklärungen und nur eine ist sauber gekennzeichnet. Das Team vergleicht Steingesicht, Rundtempel, Architrav und vierseitigen Bogen, gibt VERITAS ein und trennt Fakt, spätere Deutung und Legende. Schauplatz/Ortsfolge: Mund der Wahrheit → Tempel des Hercules Victor → Arco degli Argentari → Janusbogen. Klare Teamlesbarkeit, römische Materialien, gerichtetes warmes Licht, tiefe Schatten, reduzierte aber erkennbare Architektur, freie Zone für UI-Overlay, keine Schrift, kein Logo, keine modernen Gegenstände.</t>
  </si>
  <si>
    <t>npc_triton_callidus</t>
  </si>
  <si>
    <t>Triton Callidus</t>
  </si>
  <si>
    <t>Ein Triton hat den Aventin mit dem Palatin verwechselt und die Maske beleidigt. Das Team ordnet Figuren, Aussicht und Wasserauslass und gewinnt einen Bonus für die Streitwagenquest.</t>
  </si>
  <si>
    <t>Komische Verwechslung → Panoramaorientierung → Figurenvergleich → Versöhnung</t>
  </si>
  <si>
    <t>place_day_2_fontana_dei_tritoni | place_day_2_belvedere_romolo_e_remo | place_day_2_fontana_del_mascherone_di_santa_sabina</t>
  </si>
  <si>
    <t>START / ERSTER HINWEIS: Zwei große Tritonen als Träger einer Muschelschale. | ZWISCHENSTATION: Freier Panoramablick über die langgestreckte Circus-Senke zum Palatin. | ABSCHLUSS: Großes steinernes Maskengesicht mit Wasserauslass im Mund.</t>
  </si>
  <si>
    <t>https://it.wikipedia.org/wiki/Fontana_dei_Tritoni
https://www.rerumromanarum.com/2024/04/belvedere-romolo-e-remo.html
https://turismoroma.it/it/luoghi/fontana-piazza-pietro-d%E2%80%99illiria</t>
  </si>
  <si>
    <t>Historisches Chiaroscuro, mobile-RPG-Questillustration für D2-Q05 „Masken über dem Circus“ (REGULAER). Szene: Ein Triton hat den Aventin mit dem Palatin verwechselt und die Maske beleidigt. Das Team ordnet Figuren, Aussicht und Wasserauslass und gewinnt einen Bonus für die Streitwagenquest. Schauplatz/Ortsfolge: Tritonenbrunnen → Belvedere Romolo E Remo → Maskenbrunnen bei Santa Sabina. Klare Teamlesbarkeit, römische Materialien, gerichtetes warmes Licht, tiefe Schatten, reduzierte aber erkennbare Architektur, freie Zone für UI-Overlay, keine Schrift, kein Logo, keine modernen Gegenstände.</t>
  </si>
  <si>
    <t>npc_nauta_celimontanus</t>
  </si>
  <si>
    <t>Nauta Celimontanus</t>
  </si>
  <si>
    <t>Ein Kapitän sitzt mit einem Schiff aus Stein fest. Das Team erkennt Objektform und Ausrichtung und wählt den symbolischen Kurs.</t>
  </si>
  <si>
    <t>Festsitzen → Formerkennung → Kurswahl</t>
  </si>
  <si>
    <t>START / ERSTER HINWEIS: Großes steinernes Schiff als zentrales Brunnenobjekt.</t>
  </si>
  <si>
    <t>Historisches Chiaroscuro, mobile-RPG-Questillustration für D2-Q06 „Das steinerne Schiff“ (REGULAER). Szene: Ein Kapitän sitzt mit einem Schiff aus Stein fest. Das Team erkennt Objektform und Ausrichtung und wählt den symbolischen Kurs. Schauplatz/Ortsfolge: Fontana della Navicella. Klare Teamlesbarkeit, römische Materialien, gerichtetes warmes Licht, tiefe Schatten, reduzierte aber erkennbare Architektur, freie Zone für UI-Overlay, keine Schrift, kein Logo, keine modernen Gegenstände.</t>
  </si>
  <si>
    <t>npc_sixtus_vermesser</t>
  </si>
  <si>
    <t>Sixtus, Vermesser der Achsen</t>
  </si>
  <si>
    <t>Sixtus fordert, dass Basilika, Obelisk und Stadttor den Funktionen geistliche Mitte, imperiale Erinnerung und städtischer Zugang zugeordnet werden. Danach entscheidet das Team, welche Funktion geschützt wird.</t>
  </si>
  <si>
    <t>Autoritäre Aufgabe → drei Großzeichen → Funktionswahl</t>
  </si>
  <si>
    <t>place_day_2_basilica_di_san_giovanni_in_laterano | place_day_2_obelisco_lateranense | place_day_2_porta_san_giovanni</t>
  </si>
  <si>
    <t>START / ERSTER HINWEIS: Sehr große Statuengruppe auf der Dachlinie mit Christus in der Mitte. | ZWISCHENSTATION: Sehr hoher Schaft mit deutlich sichtbaren Hieroglyphen. | ABSCHLUSS: Drei große Öffnungen nebeneinander.</t>
  </si>
  <si>
    <t>https://it.wikipedia.org/wiki/Basilica_di_San_Giovanni_in_Laterano
https://it.wikipedia.org/wiki/Obelisco_Lateranense
https://en.wikipedia.org/wiki/Porta_San_Giovanni_(Rome)</t>
  </si>
  <si>
    <t>Historisches Chiaroscuro, mobile-RPG-Questillustration für D2-Q07 „Sitz der Kirche“ (REGULAER). Szene: Sixtus fordert, dass Basilika, Obelisk und Stadttor den Funktionen geistliche Mitte, imperiale Erinnerung und städtischer Zugang zugeordnet werden. Danach entscheidet das Team, welche Funktion geschützt wird. Schauplatz/Ortsfolge: Lateranbasilika → Lateranischer Obelisk → Porta San Giovanni. Klare Teamlesbarkeit, römische Materialien, gerichtetes warmes Licht, tiefe Schatten, reduzierte aber erkennbare Architektur, freie Zone für UI-Overlay, keine Schrift, kein Logo, keine modernen Gegenstände.</t>
  </si>
  <si>
    <t>npc_aurelian_murus</t>
  </si>
  <si>
    <t>Aurelianus Murus</t>
  </si>
  <si>
    <t>Zwischen Porta Latina und Porta Metronia bewegt sich ein Mauerskorpion. Das Team liest Türme und vermauerten Bogen; ein verdecktes Navigationssegment zwingt zur Rollenkommunikation.</t>
  </si>
  <si>
    <t>Grenzalarm → Toranalyse → verdeckte Navigation → Gegenmaßnahme</t>
  </si>
  <si>
    <t>place_day_2_porta_latina | place_day_2_porta_metronia</t>
  </si>
  <si>
    <t>START / ERSTER HINWEIS: Ein Torbogen zwischen zwei deutlich runden Türmen. | ABSCHLUSS: Vermauerter antiker Bogen im massiven Ziegelmauerwerk.</t>
  </si>
  <si>
    <t>https://en.wikipedia.org/wiki/Porta_Latina
https://en.wikipedia.org/wiki/Porta_Metronia</t>
  </si>
  <si>
    <t>Historisches Chiaroscuro, mobile-RPG-Questillustration für D2-Q08 „Tore der Aurelianischen Mauer“ (REGULAER). Szene: Zwischen Porta Latina und Porta Metronia bewegt sich ein Mauerskorpion. Das Team liest Türme und vermauerten Bogen; ein verdecktes Navigationssegment zwingt zur Rollenkommunikation. Schauplatz/Ortsfolge: Porta Latina → Porta Metronia. Klare Teamlesbarkeit, römische Materialien, gerichtetes warmes Licht, tiefe Schatten, reduzierte aber erkennbare Architektur, freie Zone für UI-Overlay, keine Schrift, kein Logo, keine modernen Gegenstände.</t>
  </si>
  <si>
    <t>npc_livia_strata</t>
  </si>
  <si>
    <t>Livia Strata</t>
  </si>
  <si>
    <t>Drei Zeitschichten geraten durcheinander: Basilikafassade, Obelisk und Ziegelruinen. Das Team klassifiziert Material und Form; der Code LATERES gewährt Widerstand gegen den späteren Schneeboss.</t>
  </si>
  <si>
    <t>Schichtenchaos → Materialbeobachtung → Code → Bossvorbereitung</t>
  </si>
  <si>
    <t>place_day_2_basilica_di_santa_maria_maggiore | place_day_2_obelisco_esquilino | place_day_2_thermae_traianae</t>
  </si>
  <si>
    <t>START / ERSTER HINWEIS: Monumentale Fassade mit zentraler oberer Loggia und Marienbezug; großer öffentlicher Platz davor. | ZWISCHENSTATION: Schlichter Obelisk ohne Hieroglyphen, oben mit Kreuz. | ABSCHLUSS: Sehr hohe antike Ziegelmauerreste im öffentlichen Park.</t>
  </si>
  <si>
    <t>https://www.turismoroma.it/en/places/piazza-di-santa-maria-maggiore
https://it.wikipedia.org/wiki/Obelisco_Esquilino
https://it.wikipedia.org/wiki/Terme_di_Traiano</t>
  </si>
  <si>
    <t>Historisches Chiaroscuro, mobile-RPG-Questillustration für D2-Q09 „Schichten des Esquilino“ (REGULAER). Szene: Drei Zeitschichten geraten durcheinander: Basilikafassade, Obelisk und Ziegelruinen. Das Team klassifiziert Material und Form; der Code LATERES gewährt Widerstand gegen den späteren Schneeboss. Schauplatz/Ortsfolge: Basilika Groß Sankt Marien → Obelisco Esquilino → Thermae Traianae. Klare Teamlesbarkeit, römische Materialien, gerichtetes warmes Licht, tiefe Schatten, reduzierte aber erkennbare Architektur, freie Zone für UI-Overlay, keine Schrift, kein Logo, keine modernen Gegenstände.</t>
  </si>
  <si>
    <t>npc_frontinus_aquarius</t>
  </si>
  <si>
    <t>Frontinus, Curator Aquarum</t>
  </si>
  <si>
    <t>Eine Hydra sitzt im Doppelbogen und verwechselt Wasserleitungen mit Köpfen. Das Team erkennt Tor und Aquäduktfunktion, setzt eine Bleiplombe ein und entfernt einen Hydrakopf vor dem Kampf.</t>
  </si>
  <si>
    <t>Infrastrukturstörung → Doppelbogenanalyse → Plombe → Kampf</t>
  </si>
  <si>
    <t>START / ERSTER HINWEIS: Zwei große Durchgänge, darüber mehrere gemauerte Aquäduktkanäle und monumentale Inschriften.</t>
  </si>
  <si>
    <t>QUEST_ITEM:qi_plumbum_aquarii / Bleiplombe des Wasseramts (R; questLocked; kein Kampfbonus)</t>
  </si>
  <si>
    <t>Historisches Chiaroscuro, mobile-RPG-Questillustration für D2-Q10 „Wasser über dem Tor“ (REGULAER). Szene: Eine Hydra sitzt im Doppelbogen und verwechselt Wasserleitungen mit Köpfen. Das Team erkennt Tor und Aquäduktfunktion, setzt eine Bleiplombe ein und entfernt einen Hydrakopf vor dem Kampf. Schauplatz/Ortsfolge: Porta Maggiore und Aqua Claudia. Klare Teamlesbarkeit, römische Materialien, gerichtetes warmes Licht, tiefe Schatten, reduzierte aber erkennbare Architektur, freie Zone für UI-Overlay, keine Schrift, kein Logo, keine modernen Gegenstände.</t>
  </si>
  <si>
    <t>npc_livia_lens</t>
  </si>
  <si>
    <t>Livia Lens</t>
  </si>
  <si>
    <t>Livia benötigt ein respektvolles Teamfoto mit sichtbarem Bezug zur Schweizergarde; kein Gardist muss angesprochen oder zur Pose bewegt werden.</t>
  </si>
  <si>
    <t>Sonderablauf gemäß Questablauf</t>
  </si>
  <si>
    <t>START / ERSTER HINWEIS: Runde Marmor-Brennpunktmarkierung im Pflaster zwischen Obelisk und Kolonnade; danach Blick auf die großen Säulen.</t>
  </si>
  <si>
    <t>SEPARATE_MEDIA_SLOT</t>
  </si>
  <si>
    <t>specialSlotAvailable</t>
  </si>
  <si>
    <t>Medienbedingungen erfüllt und Upload/GM-Prüfung abgeschlossen</t>
  </si>
  <si>
    <t>Gardist ist nicht garantiert verfügbar; respektvolle Distanz und Menschenmenge. | Fallbackbriefing mit sichtbarer Garde im Hintergrund vorbereiten.</t>
  </si>
  <si>
    <t>NO_COMBAT</t>
  </si>
  <si>
    <t>GeoJSON v0.8 spiegelt Quest-, Orts-, Encounter-, Timer- und Navigationsreferenzen; sichere Event-/Upload-Geofences bleiben zu prüfen.</t>
  </si>
  <si>
    <t>Historisches Chiaroscuro, mobile-RPG-Questillustration für M-D1-01 „Foto mit Schweizer Gardist“ (MEDIA_LOCAL). Szene: Livia benötigt ein respektvolles Teamfoto mit sichtbarem Bezug zur Schweizergarde; kein Gardist muss angesprochen oder zur Pose bewegt werden. Schauplatz/Ortsfolge: Petersplatz. Klare Teamlesbarkeit, römische Materialien, gerichtetes warmes Licht, tiefe Schatten, reduzierte aber erkennbare Architektur, freie Zone für UI-Overlay, keine Schrift, kein Logo, keine modernen Gegenstände.</t>
  </si>
  <si>
    <t>Das Team interpretiert eine Engelsfigur auf der Engelsbrücke frei, ohne den schmalen Weg zu blockieren.</t>
  </si>
  <si>
    <t>START / ERSTER HINWEIS: Zehn große Engelsfiguren auf beiden Balustraden; Petrus und Paulus stehen getrennt an den Brückenköpfen.</t>
  </si>
  <si>
    <t>Hohe Besucherzahl und schmale Bewegungsflächen. | Offenes Briefing beibehalten; keine exakte Pose verlangen.</t>
  </si>
  <si>
    <t>Historisches Chiaroscuro, mobile-RPG-Questillustration für M-D1-02 „Wie ein Engel“ (MEDIA_LOCAL). Szene: Das Team interpretiert eine Engelsfigur auf der Engelsbrücke frei, ohne den schmalen Weg zu blockieren. Schauplatz/Ortsfolge: Engelsbrücke. Klare Teamlesbarkeit, römische Materialien, gerichtetes warmes Licht, tiefe Schatten, reduzierte aber erkennbare Architektur, freie Zone für UI-Overlay, keine Schrift, kein Logo, keine modernen Gegenstände.</t>
  </si>
  <si>
    <t>Drei Brunnen, drei Figurenposen, drei Bilder. Das Team muss nicht gleichzeitig an allen Punkten sein; jedes Bild wird separat am zugehörigen Brunnen bestätigt.</t>
  </si>
  <si>
    <t>Menschenmenge; nur große Figuren als Vorbild verwenden. | Sehr gute Medienquest; klare Dreiteilung beibehalten.</t>
  </si>
  <si>
    <t>Historisches Chiaroscuro, mobile-RPG-Questillustration für M-D1-03 „Drei Brunnen, drei Figuren“ (MEDIA_LOCAL). Szene: Drei Brunnen, drei Figurenposen, drei Bilder. Das Team muss nicht gleichzeitig an allen Punkten sein; jedes Bild wird separat am zugehörigen Brunnen bestätigt. Schauplatz/Ortsfolge: Piazza Navona → Neptunsbrunnen → Mohrenbrunnen. Klare Teamlesbarkeit, römische Materialien, gerichtetes warmes Licht, tiefe Schatten, reduzierte aber erkennbare Architektur, freie Zone für UI-Overlay, keine Schrift, kein Logo, keine modernen Gegenstände.</t>
  </si>
  <si>
    <t>Über beide Tage entsteht eine Geschichte in maximal zwölf Bildern. Jede im Team vorhandene Klasse muss erkennbar handeln; der Abschluss erfolgt nach manueller GM-Prüfung.</t>
  </si>
  <si>
    <t>START / ERSTER HINWEIS: Zwei übereinanderliegende antike Arkadenebenen unter einem späteren Wohnpalast.</t>
  </si>
  <si>
    <t>SEPARATE_CHRONICLE_SLOT</t>
  </si>
  <si>
    <t>Bewertung benötigt klare Rubrik; darf reguläre Questslots nicht blockieren. | Als einzige bestätigte Langzeitquest umsetzen.</t>
  </si>
  <si>
    <t>ENCOUNTER_PROFILE</t>
  </si>
  <si>
    <t>Historisches Chiaroscuro, mobile-RPG-Questillustration für M-LT-01 „Roma in zwölf Bildern“ (MEDIA_LANGZEIT). Szene: Über beide Tage entsteht eine Geschichte in maximal zwölf Bildern. Jede im Team vorhandene Klasse muss erkennbar handeln; der Abschluss erfolgt nach manueller GM-Prüfung. Schauplatz/Ortsfolge: Marcellustheater. Klare Teamlesbarkeit, römische Materialien, gerichtetes warmes Licht, tiefe Schatten, reduzierte aber erkennbare Architektur, freie Zone für UI-Overlay, keine Schrift, kein Logo, keine modernen Gegenstände.</t>
  </si>
  <si>
    <t>npc_auriga_quinta</t>
  </si>
  <si>
    <t>Quinta Fulvia</t>
  </si>
  <si>
    <t>Ein Streitwagenrennen wird als zusammenhängender Akt in exakt fünf Bildern inszeniert – ohne echtes Rennen und auf einer sicheren Laufrichtung.</t>
  </si>
  <si>
    <t>START / ERSTER HINWEIS: Sehr große langgestreckte Senke der Rennbahn zwischen zwei Hügeln.</t>
  </si>
  <si>
    <t>Große offene Fläche; sichere Laufrichtung im Briefing festlegen. | Sehr starke Orts- und Medienpassung.</t>
  </si>
  <si>
    <t>Historisches Chiaroscuro, mobile-RPG-Questillustration für M-D2-01 „Streitwagenrennen“ (MEDIA_LOCAL). Szene: Ein Streitwagenrennen wird als zusammenhängender Akt in exakt fünf Bildern inszeniert – ohne echtes Rennen und auf einer sicheren Laufrichtung. Schauplatz/Ortsfolge: Circus Maximus. Klare Teamlesbarkeit, römische Materialien, gerichtetes warmes Licht, tiefe Schatten, reduzierte aber erkennbare Architektur, freie Zone für UI-Overlay, keine Schrift, kein Logo, keine modernen Gegenstände.</t>
  </si>
  <si>
    <t>Drei Bilder erzählen einen Gladiatorenkampf: Herausforderung, Wendepunkt, Gnade. Reale Schläge, Waffenbewegungen und Engstellen sind ausgeschlossen.</t>
  </si>
  <si>
    <t>START / ERSTER HINWEIS: Drei große Reihen offener Arkaden an der hohen erhaltenen Außenwand.</t>
  </si>
  <si>
    <t>Sehr hohe Besucherzahl; keine reale Kampfbewegung in Engstellen. | Posen statt dynamischer Aktionen verlangen.</t>
  </si>
  <si>
    <t>Historisches Chiaroscuro, mobile-RPG-Questillustration für M-D2-02 „Gladiatorenkampf“ (MEDIA_LOCAL). Szene: Drei Bilder erzählen einen Gladiatorenkampf: Herausforderung, Wendepunkt, Gnade. Reale Schläge, Waffenbewegungen und Engstellen sind ausgeschlossen. Schauplatz/Ortsfolge: Kolosseum. Klare Teamlesbarkeit, römische Materialien, gerichtetes warmes Licht, tiefe Schatten, reduzierte aber erkennbare Architektur, freie Zone für UI-Overlay, keine Schrift, kein Logo, keine modernen Gegenstände.</t>
  </si>
  <si>
    <t>npc_mercator_minimus</t>
  </si>
  <si>
    <t>Mercator Minimus</t>
  </si>
  <si>
    <t>Das Team produziert ein 30–60-sekündiges Souvenirreview. Der Gegenstand darf anderswo gekauft sein, kostet höchstens fünf Euro und wird am öffentlichen Außenpunkt der Trajansmärkte präsentiert.</t>
  </si>
  <si>
    <t>START / ERSTER HINWEIS: Mehrgeschossiger Ziegel-Halbkreis mit vielen Bogenöffnungen, vom öffentlichen Bereich Via IV Novembre sichtbar.</t>
  </si>
  <si>
    <t>Kauf darf nicht am Ort vorausgesetzt werden; Außenpunkt eindeutig festlegen. | Sehr gute Verbindung von Alltagsleben, Handel und Performance.</t>
  </si>
  <si>
    <t>Historisches Chiaroscuro, mobile-RPG-Questillustration für M-D2-03 „Souvenirreview“ (MEDIA_LOCAL). Szene: Das Team produziert ein 30–60-sekündiges Souvenirreview. Der Gegenstand darf anderswo gekauft sein, kostet höchstens fünf Euro und wird am öffentlichen Außenpunkt der Trajansmärkte präsentiert. Schauplatz/Ortsfolge: Trajansmärkte. Klare Teamlesbarkeit, römische Materialien, gerichtetes warmes Licht, tiefe Schatten, reduzierte aber erkennbare Architektur, freie Zone für UI-Overlay, keine Schrift, kein Logo, keine modernen Gegenstände.</t>
  </si>
  <si>
    <t>npc_tartaruga_quarta</t>
  </si>
  <si>
    <t>Die vierte Schildkröte</t>
  </si>
  <si>
    <t>Wer alle vier Schildkröten zählt, weckt die vierte Stimme und einen kurzen Wächterkampf.</t>
  </si>
  <si>
    <t>START / ERSTER HINWEIS: Vier deutlich sichtbare Schildkröten am Rand des oberen Beckens.</t>
  </si>
  <si>
    <t>NO_ACTIVE_SLOT</t>
  </si>
  <si>
    <t>hiddenTriggerDiscovered</t>
  </si>
  <si>
    <t>Hidden-Ablauf abgeschlossen</t>
  </si>
  <si>
    <t>Aktuelle Sicht der Schildkröten prüfen. | Guter versteckter Zusatz zu D1-Q13.</t>
  </si>
  <si>
    <t>Historisches Chiaroscuro, mobile-RPG-Questillustration für H-D1-01 „Die Schildkröten wachen“ (HIDDEN). Szene: Wer alle vier Schildkröten zählt, weckt die vierte Stimme und einen kurzen Wächterkampf. Schauplatz/Ortsfolge: Fontana delle Tartarughe. Klare Teamlesbarkeit, römische Materialien, gerichtetes warmes Licht, tiefe Schatten, reduzierte aber erkennbare Architektur, freie Zone für UI-Overlay, keine Schrift, kein Logo, keine modernen Gegenstände.</t>
  </si>
  <si>
    <t>npc_rattus_virgo</t>
  </si>
  <si>
    <t>Rattus Virgo</t>
  </si>
  <si>
    <t>Die verdeckten Arkaden verraten das Versteck der Kanalratte. Eine richtige Zählung schwächt ihre Ausweichfähigkeit.</t>
  </si>
  <si>
    <t>START / ERSTER HINWEIS: Drei teilweise im heutigen Bodenniveau versunkene Travertinarkaden hinter einer Absperrung.</t>
  </si>
  <si>
    <t>Arkaden sind teilweise verdeckt. | Nur aktivieren, wenn aktueller Sichtbeleg genügt.</t>
  </si>
  <si>
    <t>Historisches Chiaroscuro, mobile-RPG-Questillustration für H-D1-02 „Ratte des Aquädukts“ (HIDDEN). Szene: Die verdeckten Arkaden verraten das Versteck der Kanalratte. Eine richtige Zählung schwächt ihre Ausweichfähigkeit. Schauplatz/Ortsfolge: Acquedotto Vergine. Klare Teamlesbarkeit, römische Materialien, gerichtetes warmes Licht, tiefe Schatten, reduzierte aber erkennbare Architektur, freie Zone für UI-Overlay, keine Schrift, kein Logo, keine modernen Gegenstände.</t>
  </si>
  <si>
    <t>npc_satirelli_gemelli</t>
  </si>
  <si>
    <t>Zwei Satyrn streiten, wer auf der Felsinszenierung wohin gehört. Das Team ordnet ihre Merkmale und entscheidet, ob es zum kurzen Kampf kommt.</t>
  </si>
  <si>
    <t>START / ERSTER HINWEIS: Figürliche Gruppe kleiner Satyrwesen auf einer Felsinszenierung.</t>
  </si>
  <si>
    <t>Parköffnungszeiten. | Nur tagsüber aktivieren; sonst automatisch deaktiviert.</t>
  </si>
  <si>
    <t>Historisches Chiaroscuro, mobile-RPG-Questillustration für H-D1-03 „Die Satirelli“ (HIDDEN). Szene: Zwei Satyrn streiten, wer auf der Felsinszenierung wohin gehört. Das Team ordnet ihre Merkmale und entscheidet, ob es zum kurzen Kampf kommt. Schauplatz/Ortsfolge: Fontana dei Satirelli. Klare Teamlesbarkeit, römische Materialien, gerichtetes warmes Licht, tiefe Schatten, reduzierte aber erkennbare Architektur, freie Zone für UI-Overlay, keine Schrift, kein Logo, keine modernen Gegenstände.</t>
  </si>
  <si>
    <t>npc_porta_alchemica</t>
  </si>
  <si>
    <t>Alchemilla der Porta Magica</t>
  </si>
  <si>
    <t>Zwei Steinwächter bewachen eine alchemistische Zuordnung. Die Quest bleibt kurz und nutzt nur eindeutig sichtbare Großformen.</t>
  </si>
  <si>
    <t>START / ERSTER HINWEIS: Porta Magica mit alchemistischen Inschriften und zwei massiven Wächterfiguren.</t>
  </si>
  <si>
    <t>Parkzugang und Sicht der Wächterfiguren. | Starker Geheimtipp, wenn aktueller Sichtbeleg vorliegt.</t>
  </si>
  <si>
    <t>Historisches Chiaroscuro, mobile-RPG-Questillustration für H-D2-01 „Wächter der Porta Magica“ (HIDDEN). Szene: Zwei Steinwächter bewachen eine alchemistische Zuordnung. Die Quest bleibt kurz und nutzt nur eindeutig sichtbare Großformen. Schauplatz/Ortsfolge: Piazza Vittorio Emanuele Secondo. Klare Teamlesbarkeit, römische Materialien, gerichtetes warmes Licht, tiefe Schatten, reduzierte aber erkennbare Architektur, freie Zone für UI-Overlay, keine Schrift, kein Logo, keine modernen Gegenstände.</t>
  </si>
  <si>
    <t>npc_dante_rosa</t>
  </si>
  <si>
    <t>Dantes Wind</t>
  </si>
  <si>
    <t>Die Windrose gibt eine kurze Richtungs- und Texteingabe. Falsche Antworten wecken optional den Custode dell’Inferno.</t>
  </si>
  <si>
    <t>START / ERSTER HINWEIS: Große Rose der Winde aus Ziegel und Travertin im Gartenpflaster.</t>
  </si>
  <si>
    <t>Parköffnungszeiten. | Als Hidden Quest gut; nicht als Pflichtstation.</t>
  </si>
  <si>
    <t>Historisches Chiaroscuro, mobile-RPG-Questillustration für H-D2-02 „Dantes Windrose“ (HIDDEN). Szene: Die Windrose gibt eine kurze Richtungs- und Texteingabe. Falsche Antworten wecken optional den Custode dell’Inferno. Schauplatz/Ortsfolge: Piazza Dante. Klare Teamlesbarkeit, römische Materialien, gerichtetes warmes Licht, tiefe Schatten, reduzierte aber erkennbare Architektur, freie Zone für UI-Overlay, keine Schrift, kein Logo, keine modernen Gegenstände.</t>
  </si>
  <si>
    <t>npc_cannoniere_gianicolo</t>
  </si>
  <si>
    <t>Globaler E-Boss auf dem Gianicolo. Alle Teams kämpfen in derselben Weltinstanz; Mechaniken prüfen Deckung, Teamkoordination und rechtzeitige Reaktion.</t>
  </si>
  <si>
    <t>START / ERSTER HINWEIS: Weite, offene Aussichtsterrasse beim Garibaldi-Denkmal; geeignet als sichere Bossbühne, nicht als kleines Suchobjekt.</t>
  </si>
  <si>
    <t>EVENT_NO_SLOT</t>
  </si>
  <si>
    <t>eventActive|bossJoinRadius</t>
  </si>
  <si>
    <t>Beitragsschwelle und Eventabschluss</t>
  </si>
  <si>
    <t>Menschenmenge und sichere Aufstellfläche aktuell prüfen. | Starke thematische und räumliche Schlussposition für Tag 1.</t>
  </si>
  <si>
    <t>Historisches Chiaroscuro, mobile-RPG-Questillustration für B-D1-01 „Il Cannoniere del Gianicolo“ (WORLD_BOSS). Szene: Globaler E-Boss auf dem Gianicolo. Alle Teams kämpfen in derselben Weltinstanz; Mechaniken prüfen Deckung, Teamkoordination und rechtzeitige Reaktion. Schauplatz/Ortsfolge: Terrazza del Gianicolo. Klare Teamlesbarkeit, römische Materialien, gerichtetes warmes Licht, tiefe Schatten, reduzierte aber erkennbare Architektur, freie Zone für UI-Overlay, keine Schrift, kein Logo, keine modernen Gegenstände.</t>
  </si>
  <si>
    <t>npc_custode_neve</t>
  </si>
  <si>
    <t>Globaler L-Boss vor Santa Maria Maggiore. Die Schneegeschichte ist ausdrücklich Legendenrahmung. Questboni aus dem Esquilino schwächen Erinnerungseis und eröffnen Teamfenster.</t>
  </si>
  <si>
    <t>START / ERSTER HINWEIS: Monumentale Fassade mit zentraler oberer Loggia und Marienbezug; großer öffentlicher Platz davor.</t>
  </si>
  <si>
    <t>Sehr hohe Besucherzahl; sichere Bossfläche muss remote aktuell geprüft werden. | Inhaltlich stark, operativ riskanter als Gianicolo.</t>
  </si>
  <si>
    <t>Historisches Chiaroscuro, mobile-RPG-Questillustration für B-D2-01 „Custode della Neve“ (WORLD_BOSS). Szene: Globaler L-Boss vor Santa Maria Maggiore. Die Schneegeschichte ist ausdrücklich Legendenrahmung. Questboni aus dem Esquilino schwächen Erinnerungseis und eröffnen Teamfenster. Schauplatz/Ortsfolge: Basilika Groß Sankt Marien. Klare Teamlesbarkeit, römische Materialien, gerichtetes warmes Licht, tiefe Schatten, reduzierte aber erkennbare Architektur, freie Zone für UI-Overlay, keine Schrift, kein Logo, keine modernen Gegenstände.</t>
  </si>
  <si>
    <t>Via Romae – vollständige Questabläufe v0.8</t>
  </si>
  <si>
    <t>Sequenzielle, serverautoritativ auswertbare Schritte für alle 40 Quests. Flow-Phase und Step-Action-Type sind Authoring-Hilfen; GDD-Objective-Type bildet auf den verbindlichen Katalog ab.</t>
  </si>
  <si>
    <t>Step-ID</t>
  </si>
  <si>
    <t>Seq</t>
  </si>
  <si>
    <t>Flow-Phase</t>
  </si>
  <si>
    <t>Step-Action-Type</t>
  </si>
  <si>
    <t>Step-Kategorie</t>
  </si>
  <si>
    <t>GDD-Objective-Type</t>
  </si>
  <si>
    <t>Actor-Scope</t>
  </si>
  <si>
    <t>Location-/Kandidaten-ID</t>
  </si>
  <si>
    <t>Target-Ref</t>
  </si>
  <si>
    <t>Spieleranweisung</t>
  </si>
  <si>
    <t>Server-Erfolgsbedingung</t>
  </si>
  <si>
    <t>Bei Erfolg</t>
  </si>
  <si>
    <t>Bei Fehler / Timeout</t>
  </si>
  <si>
    <t>Pflicht</t>
  </si>
  <si>
    <t>Unlock-Bedingung</t>
  </si>
  <si>
    <t>UI-Komponente</t>
  </si>
  <si>
    <t>Analytics-Event</t>
  </si>
  <si>
    <t>Implementierungshinweis</t>
  </si>
  <si>
    <t>D1-Q01-S01</t>
  </si>
  <si>
    <t>DISCOVER</t>
  </si>
  <si>
    <t>DISCOVER_NPC</t>
  </si>
  <si>
    <t>FLOW_ACTION</t>
  </si>
  <si>
    <t>TEAM</t>
  </si>
  <si>
    <t>Entdeckt Konrad von der letzten Schildwacht ab 55 m; Interaktion wird bei stabilem 15-m-Fix verfügbar.</t>
  </si>
  <si>
    <t>npcDiscovered &amp;&amp; interactionGateOpen</t>
  </si>
  <si>
    <t>state=DIALOGUE</t>
  </si>
  <si>
    <t>UI bleibt auf Karte; GPS-Hinweis anzeigen.</t>
  </si>
  <si>
    <t>REQUIRED</t>
  </si>
  <si>
    <t>MAP_OBJECT_SHEET</t>
  </si>
  <si>
    <t>quest.discovered</t>
  </si>
  <si>
    <t>15-m-Enter/25-m-Exit-Hysterese; serverautoritativ.</t>
  </si>
  <si>
    <t>D1-Q01-S02</t>
  </si>
  <si>
    <t>DIALOGUE</t>
  </si>
  <si>
    <t>TALK_TO_NPC</t>
  </si>
  <si>
    <t>OBJECTIVE</t>
  </si>
  <si>
    <t>COMPLETE_DIALOGUE</t>
  </si>
  <si>
    <t>D1-Q01-OFFER</t>
  </si>
  <si>
    <t>Questangebot und erste Dialogoption anzeigen.</t>
  </si>
  <si>
    <t>dialogSequenceComplete('D1-Q01-OFFER')</t>
  </si>
  <si>
    <t>state=ACCEPT</t>
  </si>
  <si>
    <t>Dialog kann erneut geöffnet werden.</t>
  </si>
  <si>
    <t>quest.dialogue.offer</t>
  </si>
  <si>
    <t>Teamentscheidung wird einmal serverseitig gespeichert.</t>
  </si>
  <si>
    <t>D1-Q01-S03</t>
  </si>
  <si>
    <t>ACCEPT</t>
  </si>
  <si>
    <t>ACCEPT_QUEST</t>
  </si>
  <si>
    <t>Quest annehmen; Etappen-Timer 60 s, Startbedingung und Ablaufwirkung vor Bestätigung anzeigen.</t>
  </si>
  <si>
    <t>teamVoteResolved &amp;&amp; questSlotReserved</t>
  </si>
  <si>
    <t>state=OBJECTIVE</t>
  </si>
  <si>
    <t>Annahme abbrechbar; kein Slotverbrauch.</t>
  </si>
  <si>
    <t>QUEST_ACCEPT</t>
  </si>
  <si>
    <t>quest.accepted</t>
  </si>
  <si>
    <t>timerRef=TMR-D1-Q01-S12; Timer startet nicht bei Annahme, sondern gemäß Timer.StartsWhen.</t>
  </si>
  <si>
    <t>D1-Q01-S04</t>
  </si>
  <si>
    <t>ANSWER_QUESTION</t>
  </si>
  <si>
    <t>SUBMIT_ANSWER</t>
  </si>
  <si>
    <t>OBS-D1-Q01-1</t>
  </si>
  <si>
    <t>Die optische Achse der Kolonnade prüfen und das sichere Sammelzeichen bestätigen. Frage: Stellt euch auf eine der runden Marmorplatten auf der Querachse des Obelisken und blickt zur Kolonnade. Wie viele Säulenreihen scheinen übrig zu bleiben?</t>
  </si>
  <si>
    <t>normalizedAnswer matches 'Eine'</t>
  </si>
  <si>
    <t>stationComplete=true</t>
  </si>
  <si>
    <t>Hint 1 → Hint 2 → Fallback; Grundabschluss bleibt möglich.</t>
  </si>
  <si>
    <t>stationActive</t>
  </si>
  <si>
    <t>OBSERVATION_INPUT</t>
  </si>
  <si>
    <t>quest.observation.answered</t>
  </si>
  <si>
    <t>Evidence: Runde Marmor-Brennpunktmarkierung im Pflaster zwischen Obelisk und Kolonnade; danach Blick auf die großen Säulen. | Ampel: GELB</t>
  </si>
  <si>
    <t>D1-Q01-S05</t>
  </si>
  <si>
    <t>REACH_LOCATION</t>
  </si>
  <si>
    <t>Erreicht Passetto di Borgo.</t>
  </si>
  <si>
    <t>teamMembersInRadius &gt;= 2 &amp;&amp; stableFixes &gt;= 2</t>
  </si>
  <si>
    <t>stationActive=true</t>
  </si>
  <si>
    <t>Hinweisleiter; Ziel bleibt offen.</t>
  </si>
  <si>
    <t>previousStepComplete</t>
  </si>
  <si>
    <t>MAP_AND_QUEST</t>
  </si>
  <si>
    <t>quest.location.reached</t>
  </si>
  <si>
    <t>Standard 15-m-Zielradius; keine Innen-/Eintrittspflicht.</t>
  </si>
  <si>
    <t>D1-Q01-S06</t>
  </si>
  <si>
    <t>OBS-D1-Q01-2</t>
  </si>
  <si>
    <t>Den geschlossenen Mauerzug des Passetto erkennen und den Code FIDES aus dem Hinweis ableiten. Frage: Wo verläuft der befestigte Verbindungsgang des Passetto?</t>
  </si>
  <si>
    <t>normalizedAnswer matches 'Auf der Mauer'</t>
  </si>
  <si>
    <t>Evidence: Langer, geschlossener Maueraufbau mit kleinen Öffnungen; vom öffentlichen Straßenraum sichtbar. | Ampel: GRUEN</t>
  </si>
  <si>
    <t>D1-Q01-S07</t>
  </si>
  <si>
    <t>Erreicht Engelsburg.</t>
  </si>
  <si>
    <t>D1-Q01-S08</t>
  </si>
  <si>
    <t>OBS-D1-Q01-3</t>
  </si>
  <si>
    <t>Den Erzengel auf der Engelsburg identifizieren und die Nachhutstrategie festlegen. Frage: Welche geflügelte Figur bekrönt die Engelsburg?</t>
  </si>
  <si>
    <t>normalizedAnswer matches 'Der Erzengel Michael'</t>
  </si>
  <si>
    <t>Evidence: Große geflügelte Bronzefigur auf dem höchsten Punkt, vom öffentlichen Vorplatz sichtbar. | Ampel: GRUEN</t>
  </si>
  <si>
    <t>D1-Q01-S09</t>
  </si>
  <si>
    <t>SOLVE_PUZZLE</t>
  </si>
  <si>
    <t>PZ-D1-Q01</t>
  </si>
  <si>
    <t>Der Gang schützt nur jene, die Treue nicht mit Lautstärke verwechseln. Gebt das lateinische Losungswort für Treue ein.</t>
  </si>
  <si>
    <t>puzzleResult == CORRECT</t>
  </si>
  <si>
    <t>synthesisComplete=true</t>
  </si>
  <si>
    <t>Auswahl: FIDES | GLORIA | PECUNIA</t>
  </si>
  <si>
    <t>allRequiredStationsComplete</t>
  </si>
  <si>
    <t>PUZZLE</t>
  </si>
  <si>
    <t>quest.puzzle.solved</t>
  </si>
  <si>
    <t>Penalty: Bonus -10 %</t>
  </si>
  <si>
    <t>D1-Q01-S10</t>
  </si>
  <si>
    <t>BONUS_OBJECTIVE</t>
  </si>
  <si>
    <t>CLASS_ACTION</t>
  </si>
  <si>
    <t>ELIGIBLE_MEMBER</t>
  </si>
  <si>
    <t>Optionale Klassenaktion für SWISS_GUARD; ohne Klasse steht eine Standardalternative bereit.</t>
  </si>
  <si>
    <t>classActionComplete || fallbackActionComplete</t>
  </si>
  <si>
    <t>classBonus=true</t>
  </si>
  <si>
    <t>Quest bleibt lösbar; Bonus entfällt.</t>
  </si>
  <si>
    <t>synthesisComplete</t>
  </si>
  <si>
    <t>quest.class_action</t>
  </si>
  <si>
    <t>Keine Klasse darf die Hauptquest blockieren.</t>
  </si>
  <si>
    <t>D1-Q01-S11</t>
  </si>
  <si>
    <t>USE_ITEM</t>
  </si>
  <si>
    <t>DELIVER_ITEM</t>
  </si>
  <si>
    <t>qi_sigillum_guardiae</t>
  </si>
  <si>
    <t>Siegel der Schildwacht einsetzen: Am Abschluss einsetzen, um den gewählten Fluchtweg zu versiegeln.</t>
  </si>
  <si>
    <t>teamInventory consumed('qi_sigillum_guardiae')</t>
  </si>
  <si>
    <t>itemEffectApplied=true</t>
  </si>
  <si>
    <t>Item wird bei technischem Fehler atomar zurückgebucht.</t>
  </si>
  <si>
    <t>INVENTORY_ACTION</t>
  </si>
  <si>
    <t>quest.item.used</t>
  </si>
  <si>
    <t>Questitem nicht handelbar und nicht verlierbar.</t>
  </si>
  <si>
    <t>D1-Q01-S12</t>
  </si>
  <si>
    <t>TEAM_DECISION</t>
  </si>
  <si>
    <t>D1-Q01-COMPLETE</t>
  </si>
  <si>
    <t>Startet den 60-Sekunden-Nachhutbeschluss und stimmt über NACHHUT_HALTEN|IRRWEG_LEGEN|SCHATTEN_STELLEN ab.</t>
  </si>
  <si>
    <t>teamVoteResolved || timerState('TMR-D1-Q01-S12') == EXPIRED</t>
  </si>
  <si>
    <t>rewardVariantLocked=true; timerOutcomeApplied=true</t>
  </si>
  <si>
    <t>Nach 60 s wird NACHHUT_HALTEN gewählt; der Timerbonus entfällt, die Quest bleibt lösbar.</t>
  </si>
  <si>
    <t>DIALOGUE_VOTE</t>
  </si>
  <si>
    <t>quest.decision</t>
  </si>
  <si>
    <t>timerRef=TMR-D1-Q01-S12; START_TIMER aus Dialog; kein Bewegungsziel.</t>
  </si>
  <si>
    <t>D1-Q01-S13</t>
  </si>
  <si>
    <t>DEFEAT_ENEMY</t>
  </si>
  <si>
    <t>COMPLETE_ENCOUNTER</t>
  </si>
  <si>
    <t>CP-QE-PASSETTO</t>
  </si>
  <si>
    <t>Schatten des Passetto bekämpfen.</t>
  </si>
  <si>
    <t>combatState == WON</t>
  </si>
  <si>
    <t>encounterComplete=true</t>
  </si>
  <si>
    <t>Optionaler Zweig endet ohne Grundbelohnungsverlust.</t>
  </si>
  <si>
    <t>branchSelected</t>
  </si>
  <si>
    <t>COMBAT</t>
  </si>
  <si>
    <t>quest.combat.completed</t>
  </si>
  <si>
    <t>QUEST_ENEMY ist teambezogen; kein normaler Respawn.</t>
  </si>
  <si>
    <t>D1-Q01-S14</t>
  </si>
  <si>
    <t>COMPLETE</t>
  </si>
  <si>
    <t>Abschlussdialog und Konsequenz anzeigen.</t>
  </si>
  <si>
    <t>dialogSequenceComplete('D1-Q01-COMPLETE')</t>
  </si>
  <si>
    <t>state=REWARD</t>
  </si>
  <si>
    <t>Dialog erneut öffnen.</t>
  </si>
  <si>
    <t>allRequiredObjectivesComplete</t>
  </si>
  <si>
    <t>quest.completed</t>
  </si>
  <si>
    <t>Abschluss erst serverseitig nach allen Pflichtschritten.</t>
  </si>
  <si>
    <t>D1-Q01-S15</t>
  </si>
  <si>
    <t>REWARD</t>
  </si>
  <si>
    <t>GRANT_REWARD</t>
  </si>
  <si>
    <t>SYSTEM_ACTION</t>
  </si>
  <si>
    <t>Atomare Vergabe von Ruhm, Denaren, Loot und Variantenbonus.</t>
  </si>
  <si>
    <t>rewardTransactionCommitted</t>
  </si>
  <si>
    <t>state=COMPLETED</t>
  </si>
  <si>
    <t>Idempotenter Retry mit gleicher rewardTransactionId.</t>
  </si>
  <si>
    <t>questComplete</t>
  </si>
  <si>
    <t>quest.reward.granted</t>
  </si>
  <si>
    <t>Arbeitswerte aus Quest Master; finales Balancing separat.</t>
  </si>
  <si>
    <t>D1-Q02-S01</t>
  </si>
  <si>
    <t>Entdeckt Capitano Malatesta ab 55 m; Interaktion wird bei stabilem 15-m-Fix verfügbar.</t>
  </si>
  <si>
    <t>D1-Q02-S02</t>
  </si>
  <si>
    <t>D1-Q02-OFFER</t>
  </si>
  <si>
    <t>dialogSequenceComplete('D1-Q02-OFFER')</t>
  </si>
  <si>
    <t>D1-Q02-S03</t>
  </si>
  <si>
    <t>Quest annehmen; Voraussetzungen, Slotwirkung und Fallback vor Bestätigung anzeigen.</t>
  </si>
  <si>
    <t>Maximal drei reguläre aktive Quests pro Team.</t>
  </si>
  <si>
    <t>D1-Q02-S04</t>
  </si>
  <si>
    <t>OBS-D1-Q02-1</t>
  </si>
  <si>
    <t>Das Tier im Wappen über St.-Pellegrino bestimmen. Frage: Welches Tier erkennt ihr im Wappen über dem Torbogen?</t>
  </si>
  <si>
    <t>normalizedAnswer matches 'Einen Stier'</t>
  </si>
  <si>
    <t>Evidence: Großer Torbogen und hoch angebrachtes päpstliches Wappen mit Stiermotiv. | Ampel: GELB</t>
  </si>
  <si>
    <t>D1-Q02-S05</t>
  </si>
  <si>
    <t>Erreicht Porta Cavalleggeri.</t>
  </si>
  <si>
    <t>D1-Q02-S06</t>
  </si>
  <si>
    <t>OBS-D1-Q02-2</t>
  </si>
  <si>
    <t>Den erhaltenen Hauptbogen der Porta Cavalleggeri zählen. Frage: Wie viele historische Hauptbögen sind als Torrest sichtbar?</t>
  </si>
  <si>
    <t>normalizedAnswer matches 'Einer'</t>
  </si>
  <si>
    <t>Evidence: Ein einzelner erhaltener Mauerbogen mit päpstlichen Zeichen nahe dem Vatikan. | Ampel: GELB</t>
  </si>
  <si>
    <t>D1-Q02-S07</t>
  </si>
  <si>
    <t>Erreicht Porta Santo Spirito.</t>
  </si>
  <si>
    <t>D1-Q02-S08</t>
  </si>
  <si>
    <t>OBS-D1-Q02-3</t>
  </si>
  <si>
    <t>Säulen und Nischen an Porta Santo Spirito zuordnen und die Verteidigungsreihenfolge festlegen. Frage: Welche Kombination flankiert den großen mittleren Bogen?</t>
  </si>
  <si>
    <t>normalizedAnswer matches 'Dorische Säulen und leere Nischen'</t>
  </si>
  <si>
    <t>Evidence: Großer Mittelbogen, paarweise Säulen und deutlich erkennbare leere Nischen. | Ampel: GRUEN</t>
  </si>
  <si>
    <t>D1-Q02-S09</t>
  </si>
  <si>
    <t>PZ-D1-Q02</t>
  </si>
  <si>
    <t>Ordnet jedem Tor sein robustes Merkmal zu und wählt anschließend den besten Sammelpunkt für eine kleine Nachhut.</t>
  </si>
  <si>
    <t>Nur San Pellegrino und Santo Spirito vergleichen.</t>
  </si>
  <si>
    <t>Penalty: Kein Rüstungsbonus</t>
  </si>
  <si>
    <t>D1-Q02-S10</t>
  </si>
  <si>
    <t>Optionale Klassenaktion für CONDOTTIERE; ohne Klasse steht eine Standardalternative bereit.</t>
  </si>
  <si>
    <t>D1-Q02-S11</t>
  </si>
  <si>
    <t>CP-QE-CAVALLEGGERO</t>
  </si>
  <si>
    <t>Cavalleggero Pontificio bekämpfen.</t>
  </si>
  <si>
    <t>Quest bleibt aktiv; nach Team-Wipe Wiederbelebungsregeln.</t>
  </si>
  <si>
    <t>D1-Q02-S12</t>
  </si>
  <si>
    <t>D1-Q02-COMPLETE</t>
  </si>
  <si>
    <t>dialogSequenceComplete('D1-Q02-COMPLETE')</t>
  </si>
  <si>
    <t>D1-Q02-S13</t>
  </si>
  <si>
    <t>D1-Q03-S01</t>
  </si>
  <si>
    <t>Entdeckt Flaminia vom Dreizack ab 55 m; Interaktion wird bei stabilem 15-m-Fix verfügbar.</t>
  </si>
  <si>
    <t>D1-Q03-S02</t>
  </si>
  <si>
    <t>D1-Q03-OFFER</t>
  </si>
  <si>
    <t>dialogSequenceComplete('D1-Q03-OFFER')</t>
  </si>
  <si>
    <t>D1-Q03-S03</t>
  </si>
  <si>
    <t>D1-Q03-S04</t>
  </si>
  <si>
    <t>OBS-D1-Q03-1</t>
  </si>
  <si>
    <t>Die zwei Kuppelkirchen und die drei ausgehenden Straßen als Dreizack erkennen. Frage: Wie viele nahezu spiegelbildliche Kuppelkirchen flankieren den Beginn der Via del Corso?</t>
  </si>
  <si>
    <t>normalizedAnswer matches 'Zwei'</t>
  </si>
  <si>
    <t>Evidence: Zwei große Kuppelkirchen am südlichen Platzende und drei radial ausgehende Straßen. | Ampel: GRUEN</t>
  </si>
  <si>
    <t>D1-Q03-S05</t>
  </si>
  <si>
    <t>Erreicht Obelisco Flaminio.</t>
  </si>
  <si>
    <t>D1-Q03-S06</t>
  </si>
  <si>
    <t>OBS-D1-Q03-2</t>
  </si>
  <si>
    <t>Vier Löwenbrunnen am Obelisk zählen und Rollen für die drei Straßen wählen. Frage: Wie viele Löwenbrunnen stehen rund um den Sockel des Obelisken?</t>
  </si>
  <si>
    <t>normalizedAnswer matches 'Vier'</t>
  </si>
  <si>
    <t>Evidence: Vier monumentale Löwenbrunnen unmittelbar um den Sockel. | Ampel: GRUEN</t>
  </si>
  <si>
    <t>D1-Q03-S07</t>
  </si>
  <si>
    <t>NAVIGATION_CHALLENGE</t>
  </si>
  <si>
    <t>TEAM_SPLIT</t>
  </si>
  <si>
    <t>NAV-D1-Q03</t>
  </si>
  <si>
    <t>Jede Rolle folgt dem zugewiesenen Straßennamen 60–100 selbst gezählte Schritte südwärts, bestätigt das erste sichere Straßen-/Fassadenzeichen und kehrt zum Löwenring zurück. Danach Hinweis: ‚Sucht das Tor mit drei großen Öffnungen.‘</t>
  </si>
  <si>
    <t>alle Pflichtrollen haben token; anschließend mindestens 2 Mitglieder im 15-m-Endradius und alle Mitglieder innerhalb 35 m Teamradius</t>
  </si>
  <si>
    <t>navigationToken=true</t>
  </si>
  <si>
    <t>Normale sichtbare Route Obelisk → Porta del Popolo</t>
  </si>
  <si>
    <t>assignedRolesReady</t>
  </si>
  <si>
    <t>NAVIGATION</t>
  </si>
  <si>
    <t>quest.navigation.completed</t>
  </si>
  <si>
    <t>Nach Rollenwahl keine Zielmarke; Ziel erscheint erst innerhalb 35 m | Kein Rennen; nur Gehwege; keine Pflichtquerung; Koordinator darf abbrechen</t>
  </si>
  <si>
    <t>D1-Q03-S08</t>
  </si>
  <si>
    <t>Erreicht Porta del Popolo.</t>
  </si>
  <si>
    <t>D1-Q03-S09</t>
  </si>
  <si>
    <t>OBS-D1-Q03-3</t>
  </si>
  <si>
    <t>Die drei großen Durchgänge der Porta del Popolo bestätigen und im verdeckten Sammelradius zusammenfinden. Frage: Wie viele große Durchgänge besitzt die Porta del Popolo heute?</t>
  </si>
  <si>
    <t>normalizedAnswer matches 'Drei'</t>
  </si>
  <si>
    <t>Evidence: Drei große heutige Öffnungen, davon ein höherer Mittelbogen. | Ampel: GRUEN</t>
  </si>
  <si>
    <t>D1-Q03-S10</t>
  </si>
  <si>
    <t>PZ-D1-Q03</t>
  </si>
  <si>
    <t>Welche Form beschreibt die südlich aus der Piazza laufenden Straßen am besten?</t>
  </si>
  <si>
    <t>Silhouetten-Grafik mit drei Formen anzeigen.</t>
  </si>
  <si>
    <t>Penalty: Navigationsbonus entfällt</t>
  </si>
  <si>
    <t>D1-Q03-S11</t>
  </si>
  <si>
    <t>D1-Q03-COMPLETE</t>
  </si>
  <si>
    <t>dialogSequenceComplete('D1-Q03-COMPLETE')</t>
  </si>
  <si>
    <t>D1-Q03-S12</t>
  </si>
  <si>
    <t>D1-Q04-S01</t>
  </si>
  <si>
    <t>Entdeckt Seshat vom Pincio ab 55 m; Interaktion wird bei stabilem 15-m-Fix verfügbar.</t>
  </si>
  <si>
    <t>D1-Q04-S02</t>
  </si>
  <si>
    <t>D1-Q04-OFFER</t>
  </si>
  <si>
    <t>dialogSequenceComplete('D1-Q04-OFFER')</t>
  </si>
  <si>
    <t>D1-Q04-S03</t>
  </si>
  <si>
    <t>D1-Q04-S04</t>
  </si>
  <si>
    <t>OBS-D1-Q04-1</t>
  </si>
  <si>
    <t>Die Hieroglyphen am Antinoos-Obelisk identifizieren. Frage: Welche Art von Schriftzeichen bedeckt den Schaft?</t>
  </si>
  <si>
    <t>normalizedAnswer matches 'Hieroglyphen'</t>
  </si>
  <si>
    <t>Evidence: Hieroglyphen auf allen Schaftseiten und deutliche Obeliskform. | Ampel: GRUEN</t>
  </si>
  <si>
    <t>D1-Q04-S05</t>
  </si>
  <si>
    <t>Erreicht Fontana della Dea di Roma.</t>
  </si>
  <si>
    <t>D1-Q04-S06</t>
  </si>
  <si>
    <t>OBS-D1-Q04-2</t>
  </si>
  <si>
    <t>Wölfin und Zwillinge der Dea di Roma zuordnen und die Tessera Lupae aufnehmen. Frage: Welches Tier ist zusammen mit den Zwillingen Romulus und Remus dargestellt?</t>
  </si>
  <si>
    <t>normalizedAnswer matches 'Eine Wölfin'</t>
  </si>
  <si>
    <t>Evidence: Zentrale sitzende Göttin und gut erkennbare Wölfin mit Zwillingen im unteren Bereich. | Ampel: GRUEN</t>
  </si>
  <si>
    <t>D1-Q04-S07</t>
  </si>
  <si>
    <t>Erreicht Balconata del Pincio.</t>
  </si>
  <si>
    <t>D1-Q04-S08</t>
  </si>
  <si>
    <t>OBS-D1-Q04-3</t>
  </si>
  <si>
    <t>Piazza del Popolo vom Pincio erkennen und die Tessera vor dem Kampf einsetzen. Frage: Welcher große Platz liegt direkt unter der Aussichtsterrasse?</t>
  </si>
  <si>
    <t>normalizedAnswer matches 'Piazza del Popolo'</t>
  </si>
  <si>
    <t>Evidence: Große Balustrade mit unmittelbarem Überblick auf Piazza del Popolo. | Ampel: GRUEN</t>
  </si>
  <si>
    <t>D1-Q04-S09</t>
  </si>
  <si>
    <t>PZ-D1-Q04</t>
  </si>
  <si>
    <t>Welches sichtbare Tier verbindet die Brunnenfigur mit der Gründungserzählung Roms?</t>
  </si>
  <si>
    <t>Bildkarten Adler/Wölfin/Pferd/Delfin anzeigen.</t>
  </si>
  <si>
    <t>Penalty: Gegner behält eine Zusatzfähigkeit</t>
  </si>
  <si>
    <t>D1-Q04-S10</t>
  </si>
  <si>
    <t>qi_tessera_lupae</t>
  </si>
  <si>
    <t>Tessera der Wölfin einsetzen: Vor Kampfbeginn einsetzen; entfernt die erste Illusionsfähigkeit der Ombra.</t>
  </si>
  <si>
    <t>teamInventory consumed('qi_tessera_lupae')</t>
  </si>
  <si>
    <t>D1-Q04-S11</t>
  </si>
  <si>
    <t>CP-QE-ANTINOO</t>
  </si>
  <si>
    <t>Ombra di Antinoo bekämpfen.</t>
  </si>
  <si>
    <t>D1-Q04-S12</t>
  </si>
  <si>
    <t>D1-Q04-COMPLETE</t>
  </si>
  <si>
    <t>dialogSequenceComplete('D1-Q04-COMPLETE')</t>
  </si>
  <si>
    <t>D1-Q04-S13</t>
  </si>
  <si>
    <t>D1-Q05-S01</t>
  </si>
  <si>
    <t>Entdeckt La Barcaccia ab 55 m; Interaktion wird bei stabilem 15-m-Fix verfügbar.</t>
  </si>
  <si>
    <t>D1-Q05-S02</t>
  </si>
  <si>
    <t>D1-Q05-OFFER</t>
  </si>
  <si>
    <t>dialogSequenceComplete('D1-Q05-OFFER')</t>
  </si>
  <si>
    <t>D1-Q05-S03</t>
  </si>
  <si>
    <t>D1-Q05-S04</t>
  </si>
  <si>
    <t>OBS-D1-Q05-1</t>
  </si>
  <si>
    <t>Die große Bootsform des Brunnens bestimmen und ihre Lage zur Spanischen Treppe beschreiben. Frage: Welche Form hat der Brunnen am Fuß der Spanischen Treppe?</t>
  </si>
  <si>
    <t>normalizedAnswer matches 'Ein Boot'</t>
  </si>
  <si>
    <t>Evidence: Bootsförmiger Brunnen am Fuß der großen Freitreppe. | Ampel: GRUEN</t>
  </si>
  <si>
    <t>D1-Q05-S05</t>
  </si>
  <si>
    <t>PZ-D1-Q05</t>
  </si>
  <si>
    <t>Welche Großform besitzt der Brunnen am Fuß der Treppe?</t>
  </si>
  <si>
    <t>Richtung der Treppe bestätigen und zwei Optionen anzeigen.</t>
  </si>
  <si>
    <t>Penalty: Wissensbonus entfällt</t>
  </si>
  <si>
    <t>D1-Q05-S06</t>
  </si>
  <si>
    <t>D1-Q05-COMPLETE</t>
  </si>
  <si>
    <t>dialogSequenceComplete('D1-Q05-COMPLETE')</t>
  </si>
  <si>
    <t>D1-Q05-S07</t>
  </si>
  <si>
    <t>D1-Q06-S01</t>
  </si>
  <si>
    <t>Entdeckt Gian Lorenzo Bernini – Werkstattecho ab 55 m; Interaktion wird bei stabilem 15-m-Fix verfügbar.</t>
  </si>
  <si>
    <t>D1-Q06-S02</t>
  </si>
  <si>
    <t>D1-Q06-OFFER</t>
  </si>
  <si>
    <t>dialogSequenceComplete('D1-Q06-OFFER')</t>
  </si>
  <si>
    <t>D1-Q06-S03</t>
  </si>
  <si>
    <t>Quest annehmen; Etappen-Timer 20 s, Startbedingung und Ablaufwirkung vor Bestätigung anzeigen.</t>
  </si>
  <si>
    <t>timerRef=TMR-D1-Q06-S05; Timer startet nicht bei Annahme, sondern gemäß Timer.StartsWhen.</t>
  </si>
  <si>
    <t>D1-Q06-S04</t>
  </si>
  <si>
    <t>OBS-D1-Q06-1</t>
  </si>
  <si>
    <t>Die drei großen Brunnen der Platzachse bestätigen und Teamrollen verteilen. Frage: Wie viele große Brunnen liegen entlang der Längsachse der Piazza Navona?</t>
  </si>
  <si>
    <t>Evidence: Drei weit auseinanderliegende Großbrunnen entlang der Platzachse. | Ampel: GRUEN</t>
  </si>
  <si>
    <t>D1-Q06-S05</t>
  </si>
  <si>
    <t>NAV-D1-Q06</t>
  </si>
  <si>
    <t>Alle Rollen drücken BEREIT im 15-m-Radius ihres Brunnens. Nach dreifachem Ready startet TMR-D1-Q06-S05 für 20 Sekunden; jede Rolle bestätigt ihr sichtbares Großattribut.</t>
  </si>
  <si>
    <t>readyAt.length == 3 &amp;&amp; max(confirmTimestamps)-min(confirmTimestamps) &lt;= 20s</t>
  </si>
  <si>
    <t>navigationToken=true; syncBonus=true</t>
  </si>
  <si>
    <t>Nach 20 s sicherer Sequenzmodus mit drei Stationen; Synchronbonus entfällt, Grundquest bleibt lösbar.</t>
  </si>
  <si>
    <t>timerRef=TMR-D1-Q06-S05; nicht rennen; Countdown erst nach dreifachem Ready; serverautoritativ.</t>
  </si>
  <si>
    <t>D1-Q06-S06</t>
  </si>
  <si>
    <t>Erreicht Neptunsbrunnen.</t>
  </si>
  <si>
    <t>D1-Q06-S07</t>
  </si>
  <si>
    <t>OBS-D1-Q06-2</t>
  </si>
  <si>
    <t>Neptuns Kampf mit dem Oktopus beobachten und synchron melden. Frage: Mit welchem Meerestier ringt Neptun in der zentralen Skulptur?</t>
  </si>
  <si>
    <t>normalizedAnswer matches 'Mit einem Oktopus'</t>
  </si>
  <si>
    <t>Evidence: Große zentrale Neptunfigur im Ringkampf mit einem vielarmigen Meerestier. | Ampel: GRUEN</t>
  </si>
  <si>
    <t>D1-Q06-S08</t>
  </si>
  <si>
    <t>Erreicht Mohrenbrunnen.</t>
  </si>
  <si>
    <t>D1-Q06-S09</t>
  </si>
  <si>
    <t>OBS-D1-Q06-3</t>
  </si>
  <si>
    <t>Delfin und Tritonen am Mohrenbrunnen erkennen; anschließend Nord–Mitte–Süd ordnen. Frage: Welches Tier hält die zentrale Figur des Mohrenbrunnens fest?</t>
  </si>
  <si>
    <t>normalizedAnswer matches 'Einen Delfin'</t>
  </si>
  <si>
    <t>Evidence: Zentrale männliche Figur mit Delfin; vier Tritonen im unteren Becken. | Ampel: GRUEN</t>
  </si>
  <si>
    <t>D1-Q06-S10</t>
  </si>
  <si>
    <t>PZ-D1-Q06</t>
  </si>
  <si>
    <t>Ordnet die Figuren der richtigen Position zu: Neptun mit Oktopus, Vierströmebrunnen, Mohr mit Delfin.</t>
  </si>
  <si>
    <t>Nur die drei Positionen Nord/Mitte/Süd auswählen lassen.</t>
  </si>
  <si>
    <t>Penalty: Materialbonus entfällt</t>
  </si>
  <si>
    <t>D1-Q06-S11</t>
  </si>
  <si>
    <t>Optionale Klassenaktion für SCULPTOR; ohne Klasse steht eine Standardalternative bereit.</t>
  </si>
  <si>
    <t>D1-Q06-S12</t>
  </si>
  <si>
    <t>D1-Q06-COMPLETE</t>
  </si>
  <si>
    <t>Team stimmt über MARMOR_FUER_RUHM|BRONZE_FUER_DENARE|TRAVERTIN_FUER_SCHUTZ ab.</t>
  </si>
  <si>
    <t>teamVoteResolved</t>
  </si>
  <si>
    <t>rewardVariantLocked=true</t>
  </si>
  <si>
    <t>Bei Gleichstand entscheidet der Queststarter nach 30 s.</t>
  </si>
  <si>
    <t>Wahl verändert nur kleine Belohnungs-/Dialogvariante.</t>
  </si>
  <si>
    <t>D1-Q06-S13</t>
  </si>
  <si>
    <t>dialogSequenceComplete('D1-Q06-COMPLETE')</t>
  </si>
  <si>
    <t>D1-Q06-S14</t>
  </si>
  <si>
    <t>D1-Q07-S01</t>
  </si>
  <si>
    <t>Entdeckt Marcus Agrippa – Echo der Inschrift ab 55 m; Interaktion wird bei stabilem 15-m-Fix verfügbar.</t>
  </si>
  <si>
    <t>D1-Q07-S02</t>
  </si>
  <si>
    <t>D1-Q07-OFFER</t>
  </si>
  <si>
    <t>dialogSequenceComplete('D1-Q07-OFFER')</t>
  </si>
  <si>
    <t>D1-Q07-S03</t>
  </si>
  <si>
    <t>D1-Q07-S04</t>
  </si>
  <si>
    <t>OBS-D1-Q07-1</t>
  </si>
  <si>
    <t>Die oberste Inschriftenzeile am Pantheon lesen und AGRIPPA eingeben. Frage: Welcher Name steht in der obersten Zeile der großen Inschrift über dem Eingang?</t>
  </si>
  <si>
    <t>normalizedAnswer matches 'AGRIPPA'</t>
  </si>
  <si>
    <t>Evidence: Sehr große lateinische Inschrift über dem Portikus; vollständig vom öffentlichen Platz lesbar. | Ampel: GRUEN</t>
  </si>
  <si>
    <t>D1-Q07-S05</t>
  </si>
  <si>
    <t>Erreicht Obelisco Macuteo.</t>
  </si>
  <si>
    <t>D1-Q07-S06</t>
  </si>
  <si>
    <t>OBS-D1-Q07-2</t>
  </si>
  <si>
    <t>Den Obelisken als Teil einer Brunnenanlage erkennen und die Abschrift einsetzen. Frage: Auf welchem Bauwerk steht der Obelisco Macuteo heute?</t>
  </si>
  <si>
    <t>normalizedAnswer matches 'Auf einem Brunnen'</t>
  </si>
  <si>
    <t>Evidence: Obelisk mit Hieroglyphen, der sichtbar aus der Brunnenanlage der Piazza della Rotonda aufragt. | Ampel: GRUEN</t>
  </si>
  <si>
    <t>D1-Q07-S07</t>
  </si>
  <si>
    <t>PZ-D1-Q07</t>
  </si>
  <si>
    <t>Welcher Name steht in der obersten Zeile der großen Inschrift?</t>
  </si>
  <si>
    <t>Auswahl AGRIPPA | AUGUSTUS | HADRIANUS</t>
  </si>
  <si>
    <t>Penalty: Mumie behält Schutzschicht</t>
  </si>
  <si>
    <t>D1-Q07-S08</t>
  </si>
  <si>
    <t>qi_tabula_agrippae</t>
  </si>
  <si>
    <t>Wachstafel AGRIPPA einsetzen: Am Obelisco Macuteo einsetzen; entfernt die Schutzschicht der Mummia dell’Iseo.</t>
  </si>
  <si>
    <t>teamInventory consumed('qi_tabula_agrippae')</t>
  </si>
  <si>
    <t>D1-Q07-S09</t>
  </si>
  <si>
    <t>CP-QE-MUMMIA</t>
  </si>
  <si>
    <t>Mummia dell’Iseo bekämpfen.</t>
  </si>
  <si>
    <t>D1-Q07-S10</t>
  </si>
  <si>
    <t>D1-Q07-COMPLETE</t>
  </si>
  <si>
    <t>dialogSequenceComplete('D1-Q07-COMPLETE')</t>
  </si>
  <si>
    <t>D1-Q07-S11</t>
  </si>
  <si>
    <t>D1-Q08-S01</t>
  </si>
  <si>
    <t>Entdeckt Cassius Spiralis ab 55 m; Interaktion wird bei stabilem 15-m-Fix verfügbar.</t>
  </si>
  <si>
    <t>D1-Q08-S02</t>
  </si>
  <si>
    <t>D1-Q08-OFFER</t>
  </si>
  <si>
    <t>dialogSequenceComplete('D1-Q08-OFFER')</t>
  </si>
  <si>
    <t>D1-Q08-S03</t>
  </si>
  <si>
    <t>D1-Q08-S04</t>
  </si>
  <si>
    <t>OBS-D1-Q08-1</t>
  </si>
  <si>
    <t>Hieroglyphen und Metallkugel am Montecitorio-Obelisk erfassen. Frage: Welche Schriftzeichen bedecken den Schaft des Obelisken?</t>
  </si>
  <si>
    <t>normalizedAnswer matches 'Ägyptische Hieroglyphen'</t>
  </si>
  <si>
    <t>Evidence: Monumentaler Schaft mit Hieroglyphen und einer Metallkugel an der Spitze. | Ampel: GRUEN</t>
  </si>
  <si>
    <t>D1-Q08-S05</t>
  </si>
  <si>
    <t>Erreicht Mark-Aurel-Säule.</t>
  </si>
  <si>
    <t>D1-Q08-S06</t>
  </si>
  <si>
    <t>OBS-D1-Q08-2</t>
  </si>
  <si>
    <t>Das spiralförmige Reliefband der Mark-Aurel-Säule erkennen und beide Monumente korrekt zuordnen. Frage: In welchem Muster läuft das Reliefband um die Säule?</t>
  </si>
  <si>
    <t>normalizedAnswer matches 'Spiralförmig'</t>
  </si>
  <si>
    <t>Evidence: Breites spiralförmiges Reliefband und große Figur auf der Spitze. | Ampel: GRUEN</t>
  </si>
  <si>
    <t>D1-Q08-S07</t>
  </si>
  <si>
    <t>PZ-D1-Q08</t>
  </si>
  <si>
    <t>Welche Zuordnung ist korrekt?</t>
  </si>
  <si>
    <t>Zwei Bildsymbole per Drag-and-drop zuordnen.</t>
  </si>
  <si>
    <t>D1-Q08-S08</t>
  </si>
  <si>
    <t>D1-Q08-COMPLETE</t>
  </si>
  <si>
    <t>dialogSequenceComplete('D1-Q08-COMPLETE')</t>
  </si>
  <si>
    <t>D1-Q08-S09</t>
  </si>
  <si>
    <t>D1-Q09-S01</t>
  </si>
  <si>
    <t>Entdeckt Aqua Virgo ab 55 m; Interaktion wird bei stabilem 15-m-Fix verfügbar.</t>
  </si>
  <si>
    <t>D1-Q09-S02</t>
  </si>
  <si>
    <t>D1-Q09-OFFER</t>
  </si>
  <si>
    <t>dialogSequenceComplete('D1-Q09-OFFER')</t>
  </si>
  <si>
    <t>D1-Q09-S03</t>
  </si>
  <si>
    <t>D1-Q09-S04</t>
  </si>
  <si>
    <t>OBS-D1-Q09-1</t>
  </si>
  <si>
    <t>Die zwei Seepferde am Trevi-Brunnen zählen. Frage: Wie viele Seepferde ziehen den Wagen der zentralen Figur?</t>
  </si>
  <si>
    <t>Evidence: Zwei große Seepferde vor dem muschelförmigen Wagen der Zentralfigur. | Ampel: GELB</t>
  </si>
  <si>
    <t>D1-Q09-S05</t>
  </si>
  <si>
    <t>Erreicht Acquedotto Vergine.</t>
  </si>
  <si>
    <t>D1-Q09-S06</t>
  </si>
  <si>
    <t>OBS-D1-Q09-2</t>
  </si>
  <si>
    <t>Die erhaltenen Arkaden der Aqua Virgo prüfen; bei verdeckter Sicht den Materialfallback nutzen. Frage: Wie viele kleinere antike Arkaden sind in der Via del Nazareno nebeneinander erhalten?</t>
  </si>
  <si>
    <t>Evidence: Drei teilweise im heutigen Bodenniveau versunkene Travertinarkaden hinter einer Absperrung. | Ampel: GELB</t>
  </si>
  <si>
    <t>D1-Q09-S07</t>
  </si>
  <si>
    <t>Erreicht Tritonenbrunnen.</t>
  </si>
  <si>
    <t>D1-Q09-S08</t>
  </si>
  <si>
    <t>OBS-D1-Q09-3</t>
  </si>
  <si>
    <t>Vier Delfine am Tritonenbrunnen zählen, die Ampulle füllen und den Gegner stellen. Frage: Wie viele Delfine tragen die große Muschel?</t>
  </si>
  <si>
    <t>Evidence: Vier große Delfine, Muschelschale, Triton mit Schneckenhorn. | Ampel: GRUEN</t>
  </si>
  <si>
    <t>D1-Q09-S09</t>
  </si>
  <si>
    <t>PZ-D1-Q09</t>
  </si>
  <si>
    <t>Welche gemeinsame Funktion verbindet Arkaden und beide Brunnen?</t>
  </si>
  <si>
    <t>Arkadenfrage durch Materialvergleich Travertin/Wasser ersetzen.</t>
  </si>
  <si>
    <t>Penalty: Gegner behält Schmutzstoß</t>
  </si>
  <si>
    <t>D1-Q09-S10</t>
  </si>
  <si>
    <t>qi_ampulla_virgo</t>
  </si>
  <si>
    <t>Ampulla der Aqua Virgo einsetzen: Zu Kampfbeginn einsetzen; reinigt einen teamweiten Schmutz-/Giftstatus.</t>
  </si>
  <si>
    <t>teamInventory consumed('qi_ampulla_virgo')</t>
  </si>
  <si>
    <t>D1-Q09-S11</t>
  </si>
  <si>
    <t>CP-QE-RATTO</t>
  </si>
  <si>
    <t>Ratto dell’Acqua Virgo bekämpfen.</t>
  </si>
  <si>
    <t>D1-Q09-S12</t>
  </si>
  <si>
    <t>D1-Q09-COMPLETE</t>
  </si>
  <si>
    <t>dialogSequenceComplete('D1-Q09-COMPLETE')</t>
  </si>
  <si>
    <t>D1-Q09-S13</t>
  </si>
  <si>
    <t>D1-Q10-S01</t>
  </si>
  <si>
    <t>Entdeckt Skanderbeg – steinernes Echo ab 55 m; Interaktion wird bei stabilem 15-m-Fix verfügbar.</t>
  </si>
  <si>
    <t>D1-Q10-S02</t>
  </si>
  <si>
    <t>D1-Q10-OFFER</t>
  </si>
  <si>
    <t>dialogSequenceComplete('D1-Q10-OFFER')</t>
  </si>
  <si>
    <t>D1-Q10-S03</t>
  </si>
  <si>
    <t>D1-Q10-S04</t>
  </si>
  <si>
    <t>OBS-D1-Q10-1</t>
  </si>
  <si>
    <t>Den Namen am Porträtrelief lesen; bei Unlesbarkeit direkt am Obelisk starten. Frage: Welcher Name steht beim Porträtrelief am Palazzo Scanderbeg?</t>
  </si>
  <si>
    <t>normalizedAnswer matches 'Scanderbeg'</t>
  </si>
  <si>
    <t>Evidence: Steinernes Porträtrelief mit lesbarem Namen an der Hausfassade. | Ampel: GELB</t>
  </si>
  <si>
    <t>D1-Q10-S05</t>
  </si>
  <si>
    <t>Erreicht Obelisco del Quirinale.</t>
  </si>
  <si>
    <t>D1-Q10-S06</t>
  </si>
  <si>
    <t>OBS-D1-Q10-2</t>
  </si>
  <si>
    <t>Die zwei monumentalen Pferdegruppen am Quirinal zählen. Frage: Wie viele monumentale Pferde flankieren den Obelisken?</t>
  </si>
  <si>
    <t>Evidence: Zwei monumentale Pferdegruppen flankieren den Obelisken. | Ampel: GRUEN</t>
  </si>
  <si>
    <t>D1-Q10-S07</t>
  </si>
  <si>
    <t>Erreicht Quirinalspalast.</t>
  </si>
  <si>
    <t>D1-Q10-S08</t>
  </si>
  <si>
    <t>OBS-D1-Q10-3</t>
  </si>
  <si>
    <t>Den Quirinalspalast als heutigen Amtssitz einordnen und Loyalität wählen. Frage: Welche heutige staatliche Institution nutzt den Quirinalspalast?</t>
  </si>
  <si>
    <t>normalizedAnswer matches 'Der Präsident der Italienischen Republik'</t>
  </si>
  <si>
    <t>Evidence: Monumentale lange Palastfassade und Hauptportal an der öffentlich zugänglichen Piazza del Quirinale. | Ampel: GRUEN</t>
  </si>
  <si>
    <t>D1-Q10-S09</t>
  </si>
  <si>
    <t>PZ-D1-Q10</t>
  </si>
  <si>
    <t>Welche heutige Institution nutzt den Quirinalspalast?</t>
  </si>
  <si>
    <t>Die Frage wird als reine Wissensauswahl angezeigt; keine Annäherung an Wachen.</t>
  </si>
  <si>
    <t>Penalty: Belohnungswahl ohne Zusatzbonus</t>
  </si>
  <si>
    <t>D1-Q10-S10</t>
  </si>
  <si>
    <t>D1-Q10-COMPLETE</t>
  </si>
  <si>
    <t>Team stimmt über LOYALE_GARDE|FREIE_KOMPANIE|DIENST_DER_REPUBLIK ab.</t>
  </si>
  <si>
    <t>D1-Q10-S11</t>
  </si>
  <si>
    <t>CP-QE-CORAZZIERE</t>
  </si>
  <si>
    <t>Corazziere del Colle bekämpfen.</t>
  </si>
  <si>
    <t>D1-Q10-S12</t>
  </si>
  <si>
    <t>dialogSequenceComplete('D1-Q10-COMPLETE')</t>
  </si>
  <si>
    <t>D1-Q10-S13</t>
  </si>
  <si>
    <t>D1-Q11-S01</t>
  </si>
  <si>
    <t>Entdeckt Lucia, Laternenhüterin der Säule ab 55 m; Interaktion wird bei stabilem 15-m-Fix verfügbar.</t>
  </si>
  <si>
    <t>D1-Q11-S02</t>
  </si>
  <si>
    <t>D1-Q11-OFFER</t>
  </si>
  <si>
    <t>dialogSequenceComplete('D1-Q11-OFFER')</t>
  </si>
  <si>
    <t>D1-Q11-S03</t>
  </si>
  <si>
    <t>D1-Q11-S04</t>
  </si>
  <si>
    <t>OBS-D1-Q11-1</t>
  </si>
  <si>
    <t>Maria auf der Spitze und die vier großen Sockelfiguren erkennen; anschließend den Code MARIA eingeben. Frage: Welche religiöse Figur steht auf der Spitze der Säule?</t>
  </si>
  <si>
    <t>normalizedAnswer matches 'Maria'</t>
  </si>
  <si>
    <t>Evidence: Große Marienstatue auf der Spitze und vier sitzende Sockelfiguren. | Ampel: GRUEN</t>
  </si>
  <si>
    <t>D1-Q11-S05</t>
  </si>
  <si>
    <t>PZ-D1-Q11</t>
  </si>
  <si>
    <t>Gebt den Namen der Figur auf der Spitze ein und wählt, wo die vier weiteren Großfiguren sitzen.</t>
  </si>
  <si>
    <t>Nur Zahl der Sockelfiguren: vier.</t>
  </si>
  <si>
    <t>D1-Q11-S06</t>
  </si>
  <si>
    <t>D1-Q11-COMPLETE</t>
  </si>
  <si>
    <t>dialogSequenceComplete('D1-Q11-COMPLETE')</t>
  </si>
  <si>
    <t>D1-Q11-S07</t>
  </si>
  <si>
    <t>D1-Q12-S01</t>
  </si>
  <si>
    <t>Entdeckt Giordano Bruno – dunkles Echo ab 55 m; Interaktion wird bei stabilem 15-m-Fix verfügbar.</t>
  </si>
  <si>
    <t>D1-Q12-S02</t>
  </si>
  <si>
    <t>D1-Q12-OFFER</t>
  </si>
  <si>
    <t>dialogSequenceComplete('D1-Q12-OFFER')</t>
  </si>
  <si>
    <t>D1-Q12-S03</t>
  </si>
  <si>
    <t>Quest annehmen; Etappen-Timer 120 s, Startbedingung und Ablaufwirkung vor Bestätigung anzeigen.</t>
  </si>
  <si>
    <t>timerRef=TMR-D1-Q12-S11; Timer startet nicht bei Annahme, sondern gemäß Timer.StartsWhen.</t>
  </si>
  <si>
    <t>D1-Q12-S04</t>
  </si>
  <si>
    <t>OBS-D1-Q12-1</t>
  </si>
  <si>
    <t>Die Kreisöffnung der Ponte Sisto als Stimme der Verbindung erfassen. Frage: Welche geometrische Form hat die Öffnung zwischen den beiden mittleren Brückenbögen?</t>
  </si>
  <si>
    <t>normalizedAnswer matches 'Einen Kreis'</t>
  </si>
  <si>
    <t>Evidence: Große kreisrunde Öffnung zwischen den beiden mittleren Brückenbögen. | Ampel: GRUEN</t>
  </si>
  <si>
    <t>D1-Q12-S05</t>
  </si>
  <si>
    <t>Erreicht Palazzo Farnese.</t>
  </si>
  <si>
    <t>D1-Q12-S06</t>
  </si>
  <si>
    <t>OBS-D1-Q12-2</t>
  </si>
  <si>
    <t>Die Farnese-Lilie als Stimme institutioneller Macht erkennen. Frage: Welches heraldische Symbol wiederholt sich im Farnese-Wappen?</t>
  </si>
  <si>
    <t>normalizedAnswer matches 'Die Lilie'</t>
  </si>
  <si>
    <t>Evidence: Großes päpstliches Wappen über dem Mittelportal und wiederkehrende Lilienmotive. | Ampel: GELB</t>
  </si>
  <si>
    <t>D1-Q12-S07</t>
  </si>
  <si>
    <t>Erreicht Campo de' Fiori.</t>
  </si>
  <si>
    <t>D1-Q12-S08</t>
  </si>
  <si>
    <t>OBS-D1-Q12-3</t>
  </si>
  <si>
    <t>Brunos geschlossenes Buch als Stimme des Widerspruchs identifizieren. Frage: Welchen Gegenstand hält Giordano Bruno unter seinen gekreuzten Händen?</t>
  </si>
  <si>
    <t>normalizedAnswer matches 'Ein geschlossenes Buch'</t>
  </si>
  <si>
    <t>Evidence: Monumentale dunkle Bronzefigur; geschlossenes Buch direkt unter den gekreuzten Händen. | Ampel: GRUEN</t>
  </si>
  <si>
    <t>D1-Q12-S09</t>
  </si>
  <si>
    <t>Erreicht Largo di Torre Argentina.</t>
  </si>
  <si>
    <t>D1-Q12-S10</t>
  </si>
  <si>
    <t>OBS-D1-Q12-4</t>
  </si>
  <si>
    <t>Vier Tempel am Largo als Stimme der republikanischen Erinnerung erfassen und die Stimmen ordnen. Frage: Wie viele republikanische Tempel sind im Areal zusammengefasst?</t>
  </si>
  <si>
    <t>Evidence: Vier klar getrennte Tempelkomplexe im tiefer liegenden Areal. | Ampel: GELB</t>
  </si>
  <si>
    <t>D1-Q12-S11</t>
  </si>
  <si>
    <t>PZ-D1-Q12</t>
  </si>
  <si>
    <t>Startet am Largo die 120-Sekunden-Debatte und ordnet die vier Orte ihren Stimmen zu: Verbindung, institutionelle Macht, Widerspruch, republikanische Erinnerung.</t>
  </si>
  <si>
    <t>synthesisComplete=true; timerBonus=timerState('TMR-D1-Q12-S11') == COMPLETED</t>
  </si>
  <si>
    <t>Bei Ablauf entfällt der Entscheidungsbonus; Zuordnung und Abschluss bleiben ohne Zeitdruck offen.</t>
  </si>
  <si>
    <t>timerRef=TMR-D1-Q12-S11; START_TIMER erst nach vier Ortsbeobachtungen; keine Bewegung im Zeitfenster.</t>
  </si>
  <si>
    <t>D1-Q12-S12</t>
  </si>
  <si>
    <t>D1-Q12-COMPLETE</t>
  </si>
  <si>
    <t>Team stimmt über STIMME_DER_BRUECKE|STIMME_DES_MARKTES|STIMME_DER_RUINEN ab.</t>
  </si>
  <si>
    <t>D1-Q12-S13</t>
  </si>
  <si>
    <t>dialogSequenceComplete('D1-Q12-COMPLETE')</t>
  </si>
  <si>
    <t>D1-Q12-S14</t>
  </si>
  <si>
    <t>D1-Q13-S01</t>
  </si>
  <si>
    <t>Entdeckt Marcella Scaena ab 55 m; Interaktion wird bei stabilem 15-m-Fix verfügbar.</t>
  </si>
  <si>
    <t>D1-Q13-S02</t>
  </si>
  <si>
    <t>D1-Q13-OFFER</t>
  </si>
  <si>
    <t>dialogSequenceComplete('D1-Q13-OFFER')</t>
  </si>
  <si>
    <t>D1-Q13-S03</t>
  </si>
  <si>
    <t>D1-Q13-S04</t>
  </si>
  <si>
    <t>OBS-D1-Q13-1</t>
  </si>
  <si>
    <t>Die einzelne Engelsfigur an Sant’Andrea links erkennen. Frage: Auf welcher Seite der Fassade sitzt die einzelne große Engelsfigur?</t>
  </si>
  <si>
    <t>normalizedAnswer matches 'Links'</t>
  </si>
  <si>
    <t>Evidence: Einzelne große Engelsfigur auf der linken Fassadenseite, wenn man vor der Kirche steht. | Ampel: GELB</t>
  </si>
  <si>
    <t>D1-Q13-S05</t>
  </si>
  <si>
    <t>Erreicht Fontana delle Tartarughe.</t>
  </si>
  <si>
    <t>D1-Q13-S06</t>
  </si>
  <si>
    <t>OBS-D1-Q13-2</t>
  </si>
  <si>
    <t>Vier Schildkröten zählen und den optionalen Wächtertrigger markieren. Frage: Wie viele Schildkröten klettern zum oberen Becken?</t>
  </si>
  <si>
    <t>Evidence: Vier deutlich sichtbare Schildkröten am Rand des oberen Beckens. | Ampel: GRUEN</t>
  </si>
  <si>
    <t>D1-Q13-S07</t>
  </si>
  <si>
    <t>Erreicht Marcellustheater.</t>
  </si>
  <si>
    <t>D1-Q13-S08</t>
  </si>
  <si>
    <t>OBS-D1-Q13-3</t>
  </si>
  <si>
    <t>Zwei antike Arkadengeschosse am Marcellustheater erkennen und die drei Orte zeitlich ordnen. Frage: Wie viele übereinanderliegende antike Arkadengeschosse sind von außen klar sichtbar?</t>
  </si>
  <si>
    <t>Evidence: Zwei übereinanderliegende antike Arkadenebenen unter einem späteren Wohnpalast. | Ampel: GRUEN</t>
  </si>
  <si>
    <t>D1-Q13-S09</t>
  </si>
  <si>
    <t>PZ-D1-Q13</t>
  </si>
  <si>
    <t>Ordnet die drei städtischen Bühnen von der ältesten zur jüngsten Schicht.</t>
  </si>
  <si>
    <t>Nur Marcellustheater als älteste Schicht bestätigen.</t>
  </si>
  <si>
    <t>Penalty: Chronik-Dramaturgiebonus entfällt</t>
  </si>
  <si>
    <t>D1-Q13-S10</t>
  </si>
  <si>
    <t>CP-QE-TARTARUGHE</t>
  </si>
  <si>
    <t>Custode delle Tartarughe bekämpfen.</t>
  </si>
  <si>
    <t>D1-Q13-S11</t>
  </si>
  <si>
    <t>D1-Q13-COMPLETE</t>
  </si>
  <si>
    <t>dialogSequenceComplete('D1-Q13-COMPLETE')</t>
  </si>
  <si>
    <t>D1-Q13-S12</t>
  </si>
  <si>
    <t>D1-Q14-S01</t>
  </si>
  <si>
    <t>Entdeckt Tiberinus Medicus ab 55 m; Interaktion wird bei stabilem 15-m-Fix verfügbar.</t>
  </si>
  <si>
    <t>D1-Q14-S02</t>
  </si>
  <si>
    <t>D1-Q14-OFFER</t>
  </si>
  <si>
    <t>dialogSequenceComplete('D1-Q14-OFFER')</t>
  </si>
  <si>
    <t>D1-Q14-S03</t>
  </si>
  <si>
    <t>D1-Q14-S04</t>
  </si>
  <si>
    <t>OBS-D1-Q14-1</t>
  </si>
  <si>
    <t>Vom bestätigten öffentlichen Blickpunkt die Schiffsbugform erkennen; den Code NAVIS eingeben und das Heilzeichen einsetzen. Frage: Welche Form ahmt die antike Travertinverkleidung an der Inselspitze nach?</t>
  </si>
  <si>
    <t>normalizedAnswer matches 'Den Bug eines Schiffes'</t>
  </si>
  <si>
    <t>Evidence: Travertinreste einer Schiffsspitze und Asklepios-Relief am östlichen Inselende. | Ampel: GELB</t>
  </si>
  <si>
    <t>D1-Q14-S05</t>
  </si>
  <si>
    <t>PZ-D1-Q14</t>
  </si>
  <si>
    <t>Welches lateinische Wort für Schiff öffnet die Heilkammer?</t>
  </si>
  <si>
    <t>Auswahl NAVIS | TERRA | PORTA</t>
  </si>
  <si>
    <t>Penalty: Heilbonus halbiert</t>
  </si>
  <si>
    <t>D1-Q14-S06</t>
  </si>
  <si>
    <t>qi_virga_aesculapii</t>
  </si>
  <si>
    <t>Stab des Heilwegs einsetzen: Nach richtiger Lösung einsetzen; heilt das Team außerhalb des Kampfes und gewährt einen kurzen Resistenzbonus.</t>
  </si>
  <si>
    <t>teamInventory consumed('qi_virga_aesculapii')</t>
  </si>
  <si>
    <t>D1-Q14-S07</t>
  </si>
  <si>
    <t>D1-Q14-COMPLETE</t>
  </si>
  <si>
    <t>dialogSequenceComplete('D1-Q14-COMPLETE')</t>
  </si>
  <si>
    <t>D1-Q14-S08</t>
  </si>
  <si>
    <t>D1-Q15-S01</t>
  </si>
  <si>
    <t>Entdeckt Cecilia – Stimme im Mosaik ab 55 m; Interaktion wird bei stabilem 15-m-Fix verfügbar.</t>
  </si>
  <si>
    <t>D1-Q15-S02</t>
  </si>
  <si>
    <t>D1-Q15-OFFER</t>
  </si>
  <si>
    <t>dialogSequenceComplete('D1-Q15-OFFER')</t>
  </si>
  <si>
    <t>D1-Q15-S03</t>
  </si>
  <si>
    <t>D1-Q15-S04</t>
  </si>
  <si>
    <t>OBS-D1-Q15-1</t>
  </si>
  <si>
    <t>Am öffentlichen Außenpunkt die Widmung an Cecilia und ihren Musikbezug erfassen. Frage: Welche Kunst wird traditionell von der hier verehrten heiligen Cecilia beschützt?</t>
  </si>
  <si>
    <t>normalizedAnswer matches 'Die Musik'</t>
  </si>
  <si>
    <t>Evidence: Kirchenname und Widmung am äußeren Zugang; Innenhofbrunnen nur optional, weil der Hof zeitabhängig sein kann. | Ampel: GELB</t>
  </si>
  <si>
    <t>D1-Q15-S05</t>
  </si>
  <si>
    <t>Erreicht Santa Maria in Trastevere.</t>
  </si>
  <si>
    <t>D1-Q15-S06</t>
  </si>
  <si>
    <t>OBS-D1-Q15-2</t>
  </si>
  <si>
    <t>Das Fassadenmosaik von Santa Maria in Trastevere erkennen und Fakt, Tradition und Fiktion trennen. Frage: Welche zwei Hauptfiguren sitzen im Zentrum des großen Fassadenmosaiks?</t>
  </si>
  <si>
    <t>normalizedAnswer matches 'Maria und Christus'</t>
  </si>
  <si>
    <t>Evidence: Großes goldenes Mosaik hoch an der Fassade; vom Platz sichtbar. | Ampel: GRUEN</t>
  </si>
  <si>
    <t>D1-Q15-S07</t>
  </si>
  <si>
    <t>PZ-D1-Q15</t>
  </si>
  <si>
    <t>Ordnet die Aussagen den Kategorien SICHTBAR, VERIFIZIERTER FAKT oder FIKTIONALE RAHMUNG zu.</t>
  </si>
  <si>
    <t>Nur zwei Aussagen klassifizieren.</t>
  </si>
  <si>
    <t>Penalty: Quellenbonus entfällt</t>
  </si>
  <si>
    <t>D1-Q15-S08</t>
  </si>
  <si>
    <t>Optionale Klassenaktion für CLERIC; ohne Klasse steht eine Standardalternative bereit.</t>
  </si>
  <si>
    <t>D1-Q15-S09</t>
  </si>
  <si>
    <t>D1-Q15-COMPLETE</t>
  </si>
  <si>
    <t>Team stimmt über LEGENDE_VORAN|FAKTEN_VORAN|BEIDES_GETRENNT ab.</t>
  </si>
  <si>
    <t>D1-Q15-S10</t>
  </si>
  <si>
    <t>dialogSequenceComplete('D1-Q15-COMPLETE')</t>
  </si>
  <si>
    <t>D1-Q15-S11</t>
  </si>
  <si>
    <t>D1-Q16-S01</t>
  </si>
  <si>
    <t>Entdeckt Anita Garibaldi – Reiterecho ab 55 m; Interaktion wird bei stabilem 15-m-Fix verfügbar.</t>
  </si>
  <si>
    <t>D1-Q16-S02</t>
  </si>
  <si>
    <t>D1-Q16-OFFER</t>
  </si>
  <si>
    <t>dialogSequenceComplete('D1-Q16-OFFER')</t>
  </si>
  <si>
    <t>D1-Q16-S03</t>
  </si>
  <si>
    <t>D1-Q16-S04</t>
  </si>
  <si>
    <t>OBS-D1-Q16-1</t>
  </si>
  <si>
    <t>An den Gianicolense-Mauern den sicheren Startpunkt bestätigen. Frage: Aus welchem Material besteht der sichtbare Hauptkörper der Mauer überwiegend?</t>
  </si>
  <si>
    <t>normalizedAnswer matches 'Aus Ziegelmauerwerk'</t>
  </si>
  <si>
    <t>Evidence: Langer massiver Mauerabschnitt mit Schieß- und Verteidigungsformen. | Ampel: GRUEN</t>
  </si>
  <si>
    <t>D1-Q16-S05</t>
  </si>
  <si>
    <t>Erreicht Mausoleo Ossario Garibaldino.</t>
  </si>
  <si>
    <t>D1-Q16-S06</t>
  </si>
  <si>
    <t>OBS-D1-Q16-2</t>
  </si>
  <si>
    <t>Das Ossarium als Erinnerungspunkt erfassen. Frage: Wie viele offene Bogenfronten umgeben den zentralen Teil des Ossariums?</t>
  </si>
  <si>
    <t>Evidence: Symmetrischer Zentralbau mit vier großen offenen Bögen. | Ampel: GRUEN</t>
  </si>
  <si>
    <t>D1-Q16-S07</t>
  </si>
  <si>
    <t>Erreicht Fontana Dell'Acqua Paola.</t>
  </si>
  <si>
    <t>D1-Q16-S08</t>
  </si>
  <si>
    <t>OBS-D1-Q16-3</t>
  </si>
  <si>
    <t>Die Wasserfassade der Acqua Paola erreichen und den verdeckten Navigationsabschnitt starten. Frage: Wie viele große Bogenöffnungen gliedern die Hauptfassade?</t>
  </si>
  <si>
    <t>normalizedAnswer matches 'Fünf'</t>
  </si>
  <si>
    <t>Evidence: Fünf weithin sichtbare Bogenfelder in der Hauptfassade. | Ampel: GRUEN</t>
  </si>
  <si>
    <t>D1-Q16-S09</t>
  </si>
  <si>
    <t>NAV-D1-Q16</t>
  </si>
  <si>
    <t>Vom Wasserbogen auf dem freigegebenen Gehweg bergauf; nicht der Straße folgen, die abwärts vom Panorama wegführt; beim ersten freien Blick auf die große Reiterfigur zusammenfinden.</t>
  </si>
  <si>
    <t>alle Rollenhinweise bestätigt; mindestens 2 im 15-m-Zielradius; übrige Teammitglieder innerhalb 35 m</t>
  </si>
  <si>
    <t>Zielmarker und Standardroute werden eingeblendet</t>
  </si>
  <si>
    <t>Fahnenträger sieht Kompasskorridor; Gefährten sehen nur Textteile; Zielmarker bis 30 m verborgen | Steigung; langsamstes Mitglied bestimmt Tempo; Boundary Damage pausiert im Segment</t>
  </si>
  <si>
    <t>D1-Q16-S10</t>
  </si>
  <si>
    <t>Erreicht Monumento a Garibaldi.</t>
  </si>
  <si>
    <t>D1-Q16-S11</t>
  </si>
  <si>
    <t>OBS-D1-Q16-4</t>
  </si>
  <si>
    <t>Am Garibaldi-Denkmal im unsichtbaren Sammelradius zusammenfinden. Frage: Auf welchem Tier sitzt Giuseppe Garibaldi?</t>
  </si>
  <si>
    <t>normalizedAnswer matches 'Auf einem Pferd'</t>
  </si>
  <si>
    <t>Evidence: Große Reiterfigur auf hohem Sockel. | Ampel: GRUEN</t>
  </si>
  <si>
    <t>D1-Q16-S12</t>
  </si>
  <si>
    <t>Erreicht Monumento ad Anita Garibaldi.</t>
  </si>
  <si>
    <t>D1-Q16-S13</t>
  </si>
  <si>
    <t>OBS-D1-Q16-5</t>
  </si>
  <si>
    <t>Anitas Reiterfigur erkennen, die Reihenfolge bestätigen und den Garibaldino stellen. Frage: Welche Waffe hält Anita Garibaldi in der erhobenen Hand?</t>
  </si>
  <si>
    <t>normalizedAnswer matches 'Eine Pistole'</t>
  </si>
  <si>
    <t>Evidence: Große Reiterfigur mit deutlich erhobener Handwaffe. | Ampel: GRUEN</t>
  </si>
  <si>
    <t>D1-Q16-S14</t>
  </si>
  <si>
    <t>PZ-D1-Q16</t>
  </si>
  <si>
    <t>Ordnet die fünf Stationen in der tatsächlich begangenen Route.</t>
  </si>
  <si>
    <t>Auf vier Stationen kürzen; Acqua Paola bleibt enthalten.</t>
  </si>
  <si>
    <t>Penalty: Ein gemeinsamer Startbuff entfällt</t>
  </si>
  <si>
    <t>D1-Q16-S15</t>
  </si>
  <si>
    <t>CP-QE-GARIBALDINO</t>
  </si>
  <si>
    <t>Garibaldino delle Mura bekämpfen.</t>
  </si>
  <si>
    <t>D1-Q16-S16</t>
  </si>
  <si>
    <t>D1-Q16-COMPLETE</t>
  </si>
  <si>
    <t>dialogSequenceComplete('D1-Q16-COMPLETE')</t>
  </si>
  <si>
    <t>D1-Q16-S17</t>
  </si>
  <si>
    <t>D2-Q01-S01</t>
  </si>
  <si>
    <t>Entdeckt Michelangelo – missmutiger Platzgeist ab 55 m; Interaktion wird bei stabilem 15-m-Fix verfügbar.</t>
  </si>
  <si>
    <t>D2-Q01-S02</t>
  </si>
  <si>
    <t>D2-Q01-OFFER</t>
  </si>
  <si>
    <t>dialogSequenceComplete('D2-Q01-OFFER')</t>
  </si>
  <si>
    <t>D2-Q01-S03</t>
  </si>
  <si>
    <t>D2-Q01-S04</t>
  </si>
  <si>
    <t>OBS-D2-Q01-1</t>
  </si>
  <si>
    <t>Das Stern-im-Oval-Muster des Kapitols erkennen. Frage: Welches geometrische Motiv prägt das Pflaster rund um die Reiterstatue?</t>
  </si>
  <si>
    <t>normalizedAnswer matches 'Ein Stern in einem Oval'</t>
  </si>
  <si>
    <t>Evidence: Großes hell-dunkles Sternoval im Pflaster um die Reiterstatue. | Ampel: GRUEN</t>
  </si>
  <si>
    <t>D2-Q01-S05</t>
  </si>
  <si>
    <t>Erreicht Giulio Cesare.</t>
  </si>
  <si>
    <t>D2-Q01-S06</t>
  </si>
  <si>
    <t>OBS-D2-Q01-2</t>
  </si>
  <si>
    <t>Die Caesarfigur identifizieren und beide Zeichen den Bedeutungen zuordnen. Frage: Welchen Gegenstand hält Caesar in der linken Hand?</t>
  </si>
  <si>
    <t>normalizedAnswer matches 'Eine Schriftrolle'</t>
  </si>
  <si>
    <t>Evidence: Lebensgroße Bronze mit deutlich sichtbarer Schriftrolle in der linken Hand. | Ampel: GELB</t>
  </si>
  <si>
    <t>D2-Q01-S07</t>
  </si>
  <si>
    <t>PZ-D2-Q01</t>
  </si>
  <si>
    <t>Welche Zuordnung ist am überzeugendsten?</t>
  </si>
  <si>
    <t>Nur das Stern-im-Oval-Muster verwenden.</t>
  </si>
  <si>
    <t>Penalty: Dialogbonus entfällt</t>
  </si>
  <si>
    <t>D2-Q01-S08</t>
  </si>
  <si>
    <t>D2-Q01-COMPLETE</t>
  </si>
  <si>
    <t>dialogSequenceComplete('D2-Q01-COMPLETE')</t>
  </si>
  <si>
    <t>D2-Q01-S09</t>
  </si>
  <si>
    <t>D2-Q02-S01</t>
  </si>
  <si>
    <t>Entdeckt Vittoria Alata ab 55 m; Interaktion wird bei stabilem 15-m-Fix verfügbar.</t>
  </si>
  <si>
    <t>D2-Q02-S02</t>
  </si>
  <si>
    <t>D2-Q02-OFFER</t>
  </si>
  <si>
    <t>dialogSequenceComplete('D2-Q02-OFFER')</t>
  </si>
  <si>
    <t>D2-Q02-S03</t>
  </si>
  <si>
    <t>D2-Q02-S04</t>
  </si>
  <si>
    <t>OBS-D2-Q02-1</t>
  </si>
  <si>
    <t>Die zwei monumentalen Quadrigen an den oberen Enden zählen und das Denkmal dem modernen Nationalstaat zuordnen. Frage: Wie viele große Quadrigen stehen auf den beiden oberen Enden des Nationaldenkmals?</t>
  </si>
  <si>
    <t>Evidence: Zwei monumentale Quadrigen auf den oberen Enden des Bauwerks. | Ampel: GRUEN</t>
  </si>
  <si>
    <t>D2-Q02-S05</t>
  </si>
  <si>
    <t>PZ-D2-Q02</t>
  </si>
  <si>
    <t>Wie viele monumentale Quadrigen krönen das Denkmal?</t>
  </si>
  <si>
    <t>Zentrale Reiterfigur statt Dachdetails bestätigen.</t>
  </si>
  <si>
    <t>Penalty: Schnellbonus entfällt</t>
  </si>
  <si>
    <t>D2-Q02-S06</t>
  </si>
  <si>
    <t>D2-Q02-COMPLETE</t>
  </si>
  <si>
    <t>dialogSequenceComplete('D2-Q02-COMPLETE')</t>
  </si>
  <si>
    <t>D2-Q02-S07</t>
  </si>
  <si>
    <t>D2-Q03-S01</t>
  </si>
  <si>
    <t>Entdeckt Lanista Felix ab 55 m; Interaktion wird bei stabilem 15-m-Fix verfügbar.</t>
  </si>
  <si>
    <t>D2-Q03-S02</t>
  </si>
  <si>
    <t>D2-Q03-OFFER</t>
  </si>
  <si>
    <t>dialogSequenceComplete('D2-Q03-OFFER')</t>
  </si>
  <si>
    <t>D2-Q03-S03</t>
  </si>
  <si>
    <t>D2-Q03-S04</t>
  </si>
  <si>
    <t>OBS-D2-Q03-1</t>
  </si>
  <si>
    <t>Die großen Durchgänge des Konstantinsbogens erfassen. Frage: Wie viele Durchgänge besitzt der Konstantinsbogen?</t>
  </si>
  <si>
    <t>Evidence: Drei monumentale Durchgänge, vom öffentlichen Bereich beim Kolosseum sichtbar. | Ampel: GRUEN</t>
  </si>
  <si>
    <t>D2-Q03-S05</t>
  </si>
  <si>
    <t>Erreicht Kolosseum.</t>
  </si>
  <si>
    <t>D2-Q03-S06</t>
  </si>
  <si>
    <t>OBS-D2-Q03-2</t>
  </si>
  <si>
    <t>Die Außenarkaden des Kolosseums als Arena-Silhouette lesen. Frage: Wie viele übereinanderliegende Reihen offener Arkaden sind an der hohen Außenwand sichtbar?</t>
  </si>
  <si>
    <t>Evidence: Drei große Reihen offener Arkaden an der hohen erhaltenen Außenwand. | Ampel: GRUEN</t>
  </si>
  <si>
    <t>D2-Q03-S07</t>
  </si>
  <si>
    <t>Erreicht Ludus Magnus.</t>
  </si>
  <si>
    <t>D2-Q03-S08</t>
  </si>
  <si>
    <t>OBS-D2-Q03-3</t>
  </si>
  <si>
    <t>Die ovale Trainingsarena des Ludus Magnus erkennen und Funktionen zuordnen. Frage: Welche Grundform hat die sichtbare Trainingsarena?</t>
  </si>
  <si>
    <t>normalizedAnswer matches 'Oval'</t>
  </si>
  <si>
    <t>Evidence: Halb freigelegte ovale Arena unter dem heutigen Straßenniveau. | Ampel: GRUEN</t>
  </si>
  <si>
    <t>D2-Q03-S09</t>
  </si>
  <si>
    <t>PZ-D2-Q03</t>
  </si>
  <si>
    <t>Ordnet die Funktionen: Triumph, Spektakel, Training.</t>
  </si>
  <si>
    <t>Nur Konstantinsbogen und Ludus Magnus verwenden.</t>
  </si>
  <si>
    <t>Penalty: Kein Initiativbonus</t>
  </si>
  <si>
    <t>D2-Q03-S10</t>
  </si>
  <si>
    <t>CP-QE-LUDUS</t>
  </si>
  <si>
    <t>Gladiator des Ludus bekämpfen.</t>
  </si>
  <si>
    <t>D2-Q03-S11</t>
  </si>
  <si>
    <t>D2-Q03-COMPLETE</t>
  </si>
  <si>
    <t>dialogSequenceComplete('D2-Q03-COMPLETE')</t>
  </si>
  <si>
    <t>D2-Q03-S12</t>
  </si>
  <si>
    <t>D2-Q04-S01</t>
  </si>
  <si>
    <t>Entdeckt Gaius Quattuorportus ab 55 m; Interaktion wird bei stabilem 15-m-Fix verfügbar.</t>
  </si>
  <si>
    <t>D2-Q04-S02</t>
  </si>
  <si>
    <t>D2-Q04-OFFER</t>
  </si>
  <si>
    <t>dialogSequenceComplete('D2-Q04-OFFER')</t>
  </si>
  <si>
    <t>D2-Q04-S03</t>
  </si>
  <si>
    <t>Quest annehmen; Etappen-Timer 90 s, Startbedingung und Ablaufwirkung vor Bestätigung anzeigen.</t>
  </si>
  <si>
    <t>timerRef=TMR-D2-Q04-S11; Timer startet nicht bei Annahme, sondern gemäß Timer.StartsWhen.</t>
  </si>
  <si>
    <t>D2-Q04-S04</t>
  </si>
  <si>
    <t>OBS-D2-Q04-1</t>
  </si>
  <si>
    <t>Den Mund als zentrale Öffnung der Bocca aus Distanz erkennen. Frage: Welcher Gesichtsteil bildet die große zentrale Öffnung?</t>
  </si>
  <si>
    <t>normalizedAnswer matches 'Der Mund'</t>
  </si>
  <si>
    <t>Evidence: Großes rundes Steingesicht im äußeren Portikus von Santa Maria in Cosmedin. | Ampel: GELB</t>
  </si>
  <si>
    <t>D2-Q04-S05</t>
  </si>
  <si>
    <t>Erreicht Tempel des Hercules Victor.</t>
  </si>
  <si>
    <t>D2-Q04-S06</t>
  </si>
  <si>
    <t>OBS-D2-Q04-2</t>
  </si>
  <si>
    <t>Die runde Form des Hercules-Tempels bestimmen. Frage: Welche Grundform hat der Tempel?</t>
  </si>
  <si>
    <t>normalizedAnswer matches 'Rund'</t>
  </si>
  <si>
    <t>Evidence: Klar erkennbare runde Cella mit umlaufendem Säulenkranz. | Ampel: GRUEN</t>
  </si>
  <si>
    <t>D2-Q04-S07</t>
  </si>
  <si>
    <t>Erreicht Arco degli Argentari.</t>
  </si>
  <si>
    <t>D2-Q04-S08</t>
  </si>
  <si>
    <t>OBS-D2-Q04-3</t>
  </si>
  <si>
    <t>Den geraden Architrav des Argentari-Bogens erfassen. Frage: Wie ist der obere Abschluss des Durchgangs geformt?</t>
  </si>
  <si>
    <t>normalizedAnswer matches 'Gerade, als Architrav'</t>
  </si>
  <si>
    <t>Evidence: Gerader oberer Abschluss über engem Durchgang; reiche Reliefs an den Pfeilern. | Ampel: GRUEN</t>
  </si>
  <si>
    <t>D2-Q04-S09</t>
  </si>
  <si>
    <t>Erreicht Janusbogen.</t>
  </si>
  <si>
    <t>D2-Q04-S10</t>
  </si>
  <si>
    <t>OBS-D2-Q04-4</t>
  </si>
  <si>
    <t>Die vier Öffnungsseiten des Janusbogens zählen und VERITAS eingeben. Frage: Nach wie vielen Seiten öffnet sich das Monument mit großen Durchgängen?</t>
  </si>
  <si>
    <t>Evidence: Vier weithin sichtbare Bogenöffnungen auf vier Seiten. | Ampel: GRUEN</t>
  </si>
  <si>
    <t>D2-Q04-S11</t>
  </si>
  <si>
    <t>PZ-D2-Q04</t>
  </si>
  <si>
    <t>Startet am Janusbogen die 90-Sekunden-Wahrheitsprüfung und gebt das lateinische Lösungswort ein.</t>
  </si>
  <si>
    <t>synthesisComplete=true; knowledgeBonus=timerState('TMR-D2-Q04-S11') == COMPLETED</t>
  </si>
  <si>
    <t>Bei Ablauf entfällt der Wissensbonus und VERITAS|FORTUNA|AQUA wird als Fallback geöffnet.</t>
  </si>
  <si>
    <t>timerRef=TMR-D2-Q04-S11; START_TIMER erst nach allen vier Beobachtungen; stationär.</t>
  </si>
  <si>
    <t>D2-Q04-S12</t>
  </si>
  <si>
    <t>CP-QE-GIANO</t>
  </si>
  <si>
    <t>Custode di Giano bekämpfen.</t>
  </si>
  <si>
    <t>D2-Q04-S13</t>
  </si>
  <si>
    <t>D2-Q04-COMPLETE</t>
  </si>
  <si>
    <t>dialogSequenceComplete('D2-Q04-COMPLETE')</t>
  </si>
  <si>
    <t>D2-Q04-S14</t>
  </si>
  <si>
    <t>D2-Q05-S01</t>
  </si>
  <si>
    <t>Entdeckt Triton Callidus ab 55 m; Interaktion wird bei stabilem 15-m-Fix verfügbar.</t>
  </si>
  <si>
    <t>D2-Q05-S02</t>
  </si>
  <si>
    <t>D2-Q05-OFFER</t>
  </si>
  <si>
    <t>dialogSequenceComplete('D2-Q05-OFFER')</t>
  </si>
  <si>
    <t>D2-Q05-S03</t>
  </si>
  <si>
    <t>D2-Q05-S04</t>
  </si>
  <si>
    <t>OBS-D2-Q05-1</t>
  </si>
  <si>
    <t>Die zwei Tritonen am Brunnen zählen. Frage: Wie viele Tritonen tragen die obere Schale?</t>
  </si>
  <si>
    <t>Evidence: Zwei große Tritonen als Träger einer Muschelschale. | Ampel: GRUEN</t>
  </si>
  <si>
    <t>D2-Q05-S05</t>
  </si>
  <si>
    <t>Erreicht Belvedere Romolo E Remo.</t>
  </si>
  <si>
    <t>D2-Q05-S06</t>
  </si>
  <si>
    <t>OBS-D2-Q05-2</t>
  </si>
  <si>
    <t>Vom Belvedere den Palatin gegenüber dem Circus bestimmen. Frage: Welcher Hügel liegt auf der gegenüberliegenden Seite des Circus Maximus?</t>
  </si>
  <si>
    <t>normalizedAnswer matches 'Der Palatin'</t>
  </si>
  <si>
    <t>Evidence: Freier Panoramablick über die langgestreckte Circus-Senke zum Palatin. | Ampel: GRUEN</t>
  </si>
  <si>
    <t>D2-Q05-S07</t>
  </si>
  <si>
    <t>Erreicht Maskenbrunnen bei Santa Sabina.</t>
  </si>
  <si>
    <t>D2-Q05-S08</t>
  </si>
  <si>
    <t>OBS-D2-Q05-3</t>
  </si>
  <si>
    <t>Am Maskenbrunnen den Wasserauslass im Mund erkennen und die drei Beobachtungen zuordnen. Frage: Aus welchem Gesichtsteil tritt das Wasser?</t>
  </si>
  <si>
    <t>normalizedAnswer matches 'Aus dem Mund'</t>
  </si>
  <si>
    <t>Evidence: Großes steinernes Maskengesicht mit Wasserauslass im Mund. | Ampel: GRUEN</t>
  </si>
  <si>
    <t>D2-Q05-S09</t>
  </si>
  <si>
    <t>PZ-D2-Q05</t>
  </si>
  <si>
    <t>Welche Folge passt zur Route?</t>
  </si>
  <si>
    <t>Bei gesperrtem Brunnenbereich nur Panorama und Maskenform verwenden.</t>
  </si>
  <si>
    <t>Penalty: Kein Medienquest-Bonus</t>
  </si>
  <si>
    <t>D2-Q05-S10</t>
  </si>
  <si>
    <t>CP-QE-MASCHERONE</t>
  </si>
  <si>
    <t>Mascherone dell’Aventino bekämpfen.</t>
  </si>
  <si>
    <t>D2-Q05-S11</t>
  </si>
  <si>
    <t>D2-Q05-COMPLETE</t>
  </si>
  <si>
    <t>dialogSequenceComplete('D2-Q05-COMPLETE')</t>
  </si>
  <si>
    <t>D2-Q05-S12</t>
  </si>
  <si>
    <t>D2-Q06-S01</t>
  </si>
  <si>
    <t>Entdeckt Nauta Celimontanus ab 55 m; Interaktion wird bei stabilem 15-m-Fix verfügbar.</t>
  </si>
  <si>
    <t>D2-Q06-S02</t>
  </si>
  <si>
    <t>D2-Q06-OFFER</t>
  </si>
  <si>
    <t>dialogSequenceComplete('D2-Q06-OFFER')</t>
  </si>
  <si>
    <t>D2-Q06-S03</t>
  </si>
  <si>
    <t>D2-Q06-S04</t>
  </si>
  <si>
    <t>OBS-D2-Q06-1</t>
  </si>
  <si>
    <t>Die Navicella als Schiff erkennen und ihre Ausrichtung vom öffentlichen Außenpunkt bestimmen. Frage: Welche Objektform besitzt die zentrale Skulptur?</t>
  </si>
  <si>
    <t>normalizedAnswer matches 'Ein Schiff'</t>
  </si>
  <si>
    <t>Evidence: Großes steinernes Schiff als zentrales Brunnenobjekt. | Ampel: GRUEN</t>
  </si>
  <si>
    <t>D2-Q06-S05</t>
  </si>
  <si>
    <t>PZ-D2-Q06</t>
  </si>
  <si>
    <t>Nur Ausrichtung Bug/Heck auswählen.</t>
  </si>
  <si>
    <t>D2-Q06-S06</t>
  </si>
  <si>
    <t>D2-Q06-COMPLETE</t>
  </si>
  <si>
    <t>dialogSequenceComplete('D2-Q06-COMPLETE')</t>
  </si>
  <si>
    <t>D2-Q06-S07</t>
  </si>
  <si>
    <t>D2-Q07-S01</t>
  </si>
  <si>
    <t>Entdeckt Sixtus, Vermesser der Achsen ab 55 m; Interaktion wird bei stabilem 15-m-Fix verfügbar.</t>
  </si>
  <si>
    <t>D2-Q07-S02</t>
  </si>
  <si>
    <t>D2-Q07-OFFER</t>
  </si>
  <si>
    <t>dialogSequenceComplete('D2-Q07-OFFER')</t>
  </si>
  <si>
    <t>D2-Q07-S03</t>
  </si>
  <si>
    <t>D2-Q07-S04</t>
  </si>
  <si>
    <t>OBS-D2-Q07-1</t>
  </si>
  <si>
    <t>Christus im Zentrum der Fassadenstatuen erkennen. Frage: Welche Figur steht im Zentrum der Statuengruppe auf der Hauptfassade?</t>
  </si>
  <si>
    <t>normalizedAnswer matches 'Christus'</t>
  </si>
  <si>
    <t>Evidence: Sehr große Statuengruppe auf der Dachlinie mit Christus in der Mitte. | Ampel: GRUEN</t>
  </si>
  <si>
    <t>D2-Q07-S05</t>
  </si>
  <si>
    <t>Erreicht Lateranischer Obelisk.</t>
  </si>
  <si>
    <t>D2-Q07-S06</t>
  </si>
  <si>
    <t>OBS-D2-Q07-2</t>
  </si>
  <si>
    <t>Hieroglyphen am Lateranobelisk identifizieren. Frage: Welche Art von Schriftzeichen ist auf dem Obelisken zu sehen?</t>
  </si>
  <si>
    <t>Evidence: Sehr hoher Schaft mit deutlich sichtbaren Hieroglyphen. | Ampel: GRUEN</t>
  </si>
  <si>
    <t>D2-Q07-S07</t>
  </si>
  <si>
    <t>Erreicht Porta San Giovanni.</t>
  </si>
  <si>
    <t>D2-Q07-S08</t>
  </si>
  <si>
    <t>OBS-D2-Q07-3</t>
  </si>
  <si>
    <t>Drei Durchgänge der Porta San Giovanni zählen und Funktionen zuordnen. Frage: Wie viele große Durchgänge besitzt die Porta San Giovanni?</t>
  </si>
  <si>
    <t>Evidence: Drei große Öffnungen nebeneinander. | Ampel: GRUEN</t>
  </si>
  <si>
    <t>D2-Q07-S09</t>
  </si>
  <si>
    <t>PZ-D2-Q07</t>
  </si>
  <si>
    <t>Ordnet die Funktionen: geistliche Mitte, imperiale Erinnerung, städtischer Zugang.</t>
  </si>
  <si>
    <t>Basilika und Obelisk genügen bei Verkehrssperre.</t>
  </si>
  <si>
    <t>Penalty: Schutzwahl ohne Bonus</t>
  </si>
  <si>
    <t>D2-Q07-S10</t>
  </si>
  <si>
    <t>D2-Q07-COMPLETE</t>
  </si>
  <si>
    <t>Team stimmt über GLAUBE_SCHUETZEN|ERINNERUNG_SCHUETZEN|ZUGANG_SCHUETZEN ab.</t>
  </si>
  <si>
    <t>D2-Q07-S11</t>
  </si>
  <si>
    <t>dialogSequenceComplete('D2-Q07-COMPLETE')</t>
  </si>
  <si>
    <t>D2-Q07-S12</t>
  </si>
  <si>
    <t>D2-Q08-S01</t>
  </si>
  <si>
    <t>Entdeckt Aurelianus Murus ab 55 m; Interaktion wird bei stabilem 15-m-Fix verfügbar.</t>
  </si>
  <si>
    <t>D2-Q08-S02</t>
  </si>
  <si>
    <t>D2-Q08-OFFER</t>
  </si>
  <si>
    <t>dialogSequenceComplete('D2-Q08-OFFER')</t>
  </si>
  <si>
    <t>D2-Q08-S03</t>
  </si>
  <si>
    <t>D2-Q08-S04</t>
  </si>
  <si>
    <t>OBS-D2-Q08-1</t>
  </si>
  <si>
    <t>Zwei runde Türme der Porta Latina erfassen und Rollen verteilen. Frage: Wie viele runde Türme flankieren den Durchgang?</t>
  </si>
  <si>
    <t>Evidence: Ein Torbogen zwischen zwei deutlich runden Türmen. | Ampel: GRUEN</t>
  </si>
  <si>
    <t>D2-Q08-S05</t>
  </si>
  <si>
    <t>NAV-D2-Q08</t>
  </si>
  <si>
    <t>Folgt der Mauerlinie auf Gehwegen. An jedem serverseitigen Zwischenkorridor wird ein neuer Textteil freigeschaltet. Das Endziel ist nicht die moderne Verkehrsöffnung, sondern der markierte antike zugemauerte Bogen.</t>
  </si>
  <si>
    <t>ordered corridor checkpoints complete; mindestens 2 im 15-m-Endradius; safety confirmations complete</t>
  </si>
  <si>
    <t>Porta Latina wird zur vollständigen Kurzquest; Metronia entfällt</t>
  </si>
  <si>
    <t>Nur Start und grobe Mauerlinie; Ziel erst innerhalb 40 m sichtbar | Keine Abkürzungen über Fahrbahnen; Segment deaktivierbar bei Verkehrslage</t>
  </si>
  <si>
    <t>D2-Q08-S06</t>
  </si>
  <si>
    <t>Erreicht Porta Metronia.</t>
  </si>
  <si>
    <t>D2-Q08-S07</t>
  </si>
  <si>
    <t>OBS-D2-Q08-2</t>
  </si>
  <si>
    <t>Dem Mauerpfad mit getrennten Hinweisen folgen; Zielmarker bleibt verborgen. Frage: Ist der historische Torbogen offen oder zugemauert?</t>
  </si>
  <si>
    <t>normalizedAnswer matches 'Zugemauert'</t>
  </si>
  <si>
    <t>Evidence: Vermauerter antiker Bogen im massiven Ziegelmauerwerk. | Ampel: GELB</t>
  </si>
  <si>
    <t>D2-Q08-S08</t>
  </si>
  <si>
    <t>PZ-D2-Q08</t>
  </si>
  <si>
    <t>Ordnet die sichtbaren Zustände: flankierter offener Durchgang und zugemauerter antiker Bogen.</t>
  </si>
  <si>
    <t>Porta Latina als Kurzquest; Metronia deaktivieren.</t>
  </si>
  <si>
    <t>Penalty: Skorpion behält Verteidigung</t>
  </si>
  <si>
    <t>D2-Q08-S09</t>
  </si>
  <si>
    <t>CP-QE-SCORPIONE</t>
  </si>
  <si>
    <t>Scorpione delle Mura bekämpfen.</t>
  </si>
  <si>
    <t>D2-Q08-S10</t>
  </si>
  <si>
    <t>D2-Q08-COMPLETE</t>
  </si>
  <si>
    <t>dialogSequenceComplete('D2-Q08-COMPLETE')</t>
  </si>
  <si>
    <t>D2-Q08-S11</t>
  </si>
  <si>
    <t>D2-Q09-S01</t>
  </si>
  <si>
    <t>Entdeckt Livia Strata ab 55 m; Interaktion wird bei stabilem 15-m-Fix verfügbar.</t>
  </si>
  <si>
    <t>D2-Q09-S02</t>
  </si>
  <si>
    <t>D2-Q09-OFFER</t>
  </si>
  <si>
    <t>dialogSequenceComplete('D2-Q09-OFFER')</t>
  </si>
  <si>
    <t>D2-Q09-S03</t>
  </si>
  <si>
    <t>D2-Q09-S04</t>
  </si>
  <si>
    <t>OBS-D2-Q09-1</t>
  </si>
  <si>
    <t>Die zentrale obere Loggia der Basilika aus sicherer Distanz erfassen. Frage: Wie viele große Öffnungen besitzt die zentrale obere Loggia der Hauptfassade?</t>
  </si>
  <si>
    <t>Evidence: Monumentale Fassade mit zentraler oberer Loggia und Marienbezug; großer öffentlicher Platz davor. | Ampel: GELB</t>
  </si>
  <si>
    <t>D2-Q09-S05</t>
  </si>
  <si>
    <t>Erreicht Obelisco Esquilino.</t>
  </si>
  <si>
    <t>D2-Q09-S06</t>
  </si>
  <si>
    <t>OBS-D2-Q09-2</t>
  </si>
  <si>
    <t>Kreuz und schlichten Schaft des Esquilino-Obelisken erkennen. Frage: Welches Symbol krönt die Spitze des Obelisken?</t>
  </si>
  <si>
    <t>normalizedAnswer matches 'Ein Kreuz'</t>
  </si>
  <si>
    <t>Evidence: Schlichter Obelisk ohne Hieroglyphen, oben mit Kreuz. | Ampel: GRUEN</t>
  </si>
  <si>
    <t>D2-Q09-S07</t>
  </si>
  <si>
    <t>Erreicht Thermae Traianae.</t>
  </si>
  <si>
    <t>D2-Q09-S08</t>
  </si>
  <si>
    <t>OBS-D2-Q09-3</t>
  </si>
  <si>
    <t>Die hohen Ziegelreste der Trajansthermen identifizieren und LATERES eingeben. Frage: Welches Baumaterial dominiert die sichtbaren Thermenruinen?</t>
  </si>
  <si>
    <t>normalizedAnswer matches 'Ziegel'</t>
  </si>
  <si>
    <t>Evidence: Sehr hohe antike Ziegelmauerreste im öffentlichen Park. | Ampel: GRUEN</t>
  </si>
  <si>
    <t>D2-Q09-S09</t>
  </si>
  <si>
    <t>PZ-D2-Q09</t>
  </si>
  <si>
    <t>Wie lautet das lateinische Wort für Ziegel, das die älteste sichtbare Materialspur markiert?</t>
  </si>
  <si>
    <t>Auswahl LATERES | MARMOR | AQUA</t>
  </si>
  <si>
    <t>Penalty: Bosswiderstand entfällt</t>
  </si>
  <si>
    <t>D2-Q09-S10</t>
  </si>
  <si>
    <t>CP-QE-VAPORE</t>
  </si>
  <si>
    <t>Vapore delle Terme bekämpfen.</t>
  </si>
  <si>
    <t>D2-Q09-S11</t>
  </si>
  <si>
    <t>D2-Q09-COMPLETE</t>
  </si>
  <si>
    <t>dialogSequenceComplete('D2-Q09-COMPLETE')</t>
  </si>
  <si>
    <t>D2-Q09-S12</t>
  </si>
  <si>
    <t>D2-Q10-S01</t>
  </si>
  <si>
    <t>Entdeckt Frontinus, Curator Aquarum ab 55 m; Interaktion wird bei stabilem 15-m-Fix verfügbar.</t>
  </si>
  <si>
    <t>D2-Q10-S02</t>
  </si>
  <si>
    <t>D2-Q10-OFFER</t>
  </si>
  <si>
    <t>dialogSequenceComplete('D2-Q10-OFFER')</t>
  </si>
  <si>
    <t>D2-Q10-S03</t>
  </si>
  <si>
    <t>timerRef=TMR-D2-Q10-S05; Timer startet nicht bei Annahme, sondern gemäß Timer.StartsWhen.</t>
  </si>
  <si>
    <t>D2-Q10-S04</t>
  </si>
  <si>
    <t>OBS-D2-Q10-1</t>
  </si>
  <si>
    <t>Zwei große Durchgänge sowie die darüberliegenden Wasserkanäle von einem sicheren Gehwegpunkt erfassen. Frage: Wie viele große Durchgänge besitzt der antike Doppelbogen?</t>
  </si>
  <si>
    <t>Evidence: Zwei große Durchgänge, darüber mehrere gemauerte Aquäduktkanäle und monumentale Inschriften. | Ampel: GRUEN</t>
  </si>
  <si>
    <t>D2-Q10-S05</t>
  </si>
  <si>
    <t>PZ-D2-Q10</t>
  </si>
  <si>
    <t>Startet vom sicheren Gehweg die 120-Sekunden-Diagnose und bestimmt die Doppelfunktion des Bauwerks.</t>
  </si>
  <si>
    <t>synthesisComplete=true; encounterModifier=timerState('TMR-D2-Q10-S05') == COMPLETED ? HEAD_SEALED : EXTRA_ACTIVE_HEAD</t>
  </si>
  <si>
    <t>Bei Ablauf behält die Hydra einen Zusatzkopf; Diagnose und Kampf bleiben lösbar.</t>
  </si>
  <si>
    <t>timerRef=TMR-D2-Q10-S05; START_TIMER nach Standortprüfung; keine Straßenquerung.</t>
  </si>
  <si>
    <t>D2-Q10-S06</t>
  </si>
  <si>
    <t>qi_plumbum_aquarii</t>
  </si>
  <si>
    <t>Bleiplombe des Wasseramts einsetzen: Vor dem Kampf einsetzen; versiegelt einen falschen Leitungszweig und entfernt eine Mehrfachangriffsoption.</t>
  </si>
  <si>
    <t>teamInventory consumed('qi_plumbum_aquarii')</t>
  </si>
  <si>
    <t>D2-Q10-S07</t>
  </si>
  <si>
    <t>CP-QE-IDRA</t>
  </si>
  <si>
    <t>Idra dell’Aqua Claudia bekämpfen.</t>
  </si>
  <si>
    <t>D2-Q10-S08</t>
  </si>
  <si>
    <t>D2-Q10-COMPLETE</t>
  </si>
  <si>
    <t>dialogSequenceComplete('D2-Q10-COMPLETE')</t>
  </si>
  <si>
    <t>D2-Q10-S09</t>
  </si>
  <si>
    <t>M-D1-01-S01</t>
  </si>
  <si>
    <t>Sonderquest Foto mit Schweizer Gardist entdecken.</t>
  </si>
  <si>
    <t>Trigger bleibt erneut verfügbar.</t>
  </si>
  <si>
    <t>Hidden ohne Slot; Medien/Boss mit separater Kapazität.</t>
  </si>
  <si>
    <t>M-D1-01-S02</t>
  </si>
  <si>
    <t>M-D1-01-OFFER</t>
  </si>
  <si>
    <t>Questangebot anzeigen.</t>
  </si>
  <si>
    <t>dialogSequenceComplete('M-D1-01-OFFER')</t>
  </si>
  <si>
    <t>Dialog wiederholbar.</t>
  </si>
  <si>
    <t>M-D1-01-S03</t>
  </si>
  <si>
    <t>Sonderquest annehmen beziehungsweise Bossbeitritt bestätigen.</t>
  </si>
  <si>
    <t>Keine reguläre Slotwirkung.</t>
  </si>
  <si>
    <t>Hidden Quests zählen nicht zum regulären Limit.</t>
  </si>
  <si>
    <t>M-D1-01-S04</t>
  </si>
  <si>
    <t>Mindestens zwei Teammitglieder betreten den 15-m-Pickup-Radius am Petersplatz.</t>
  </si>
  <si>
    <t>teamMembersInRadius &gt;= 2</t>
  </si>
  <si>
    <t>objectiveComplete=true</t>
  </si>
  <si>
    <t>Keine Strafe; Radius erneut betreten.</t>
  </si>
  <si>
    <t>QUEST_OBJECTIVE</t>
  </si>
  <si>
    <t>quest.objective.completed</t>
  </si>
  <si>
    <t>M-D1-01-S05</t>
  </si>
  <si>
    <t>TAKE_PHOTO</t>
  </si>
  <si>
    <t>SUBMIT_MEDIA</t>
  </si>
  <si>
    <t>Ein Teamfoto mit erkennbaren Klassenrollen und respektvollem Garde-/Ortsbezug aufnehmen.</t>
  </si>
  <si>
    <t>onePhoto &amp;&amp; allPresentRolesVisible &amp;&amp; safetyAcknowledged</t>
  </si>
  <si>
    <t>Neuaufnahme möglich.</t>
  </si>
  <si>
    <t>MEDIA_CAPTURE</t>
  </si>
  <si>
    <t>M-D1-01-S06</t>
  </si>
  <si>
    <t>UPLOAD_MEDIA</t>
  </si>
  <si>
    <t>Foto innerhalb desselben 15-m-Radius hochladen.</t>
  </si>
  <si>
    <t>upload.locationVerified &amp;&amp; media.type == PHOTO</t>
  </si>
  <si>
    <t>Upload bleibt lokal vorgemerkt; erneuter Versuch im Radius.</t>
  </si>
  <si>
    <t>M-D1-01-S07</t>
  </si>
  <si>
    <t>M-D1-01-COMPLETE</t>
  </si>
  <si>
    <t>Abschlussdialog beziehungsweise Eventresultat anzeigen.</t>
  </si>
  <si>
    <t>dialogSequenceComplete('M-D1-01-COMPLETE')</t>
  </si>
  <si>
    <t>Erneut anzeigen.</t>
  </si>
  <si>
    <t>M-D1-01-S08</t>
  </si>
  <si>
    <t>Belohnung atomar vergeben; Medien-/Bosswertung gegebenenfalls als PENDING_REVIEW markieren.</t>
  </si>
  <si>
    <t>rewardTransactionCommitted || rewardStatus == PENDING_REVIEW</t>
  </si>
  <si>
    <t>Idempotenter Retry.</t>
  </si>
  <si>
    <t>M-D1-02-S01</t>
  </si>
  <si>
    <t>Sonderquest Wie ein Engel entdecken.</t>
  </si>
  <si>
    <t>M-D1-02-S02</t>
  </si>
  <si>
    <t>M-D1-02-OFFER</t>
  </si>
  <si>
    <t>dialogSequenceComplete('M-D1-02-OFFER')</t>
  </si>
  <si>
    <t>M-D1-02-S03</t>
  </si>
  <si>
    <t>M-D1-02-S04</t>
  </si>
  <si>
    <t>Das Team erreicht den 15-m-Pickup-Radius an der Engelsbrücke.</t>
  </si>
  <si>
    <t>Erneut annähern.</t>
  </si>
  <si>
    <t>M-D1-02-S05</t>
  </si>
  <si>
    <t>Eine sichere kreative Teaminterpretation eines Brückenengels aufnehmen.</t>
  </si>
  <si>
    <t>onePhoto &amp;&amp; creativePose &amp;&amp; walkwayUnblocked</t>
  </si>
  <si>
    <t>M-D1-02-S06</t>
  </si>
  <si>
    <t>Foto im 15-m-Radius hochladen.</t>
  </si>
  <si>
    <t>Erneuter Upload möglich.</t>
  </si>
  <si>
    <t>M-D1-02-S07</t>
  </si>
  <si>
    <t>M-D1-02-COMPLETE</t>
  </si>
  <si>
    <t>dialogSequenceComplete('M-D1-02-COMPLETE')</t>
  </si>
  <si>
    <t>M-D1-02-S08</t>
  </si>
  <si>
    <t>M-D1-03-S01</t>
  </si>
  <si>
    <t>Sonderquest Drei Brunnen, drei Figuren entdecken.</t>
  </si>
  <si>
    <t>M-D1-03-S02</t>
  </si>
  <si>
    <t>M-D1-03-OFFER</t>
  </si>
  <si>
    <t>dialogSequenceComplete('M-D1-03-OFFER')</t>
  </si>
  <si>
    <t>M-D1-03-S03</t>
  </si>
  <si>
    <t>M-D1-03-S04</t>
  </si>
  <si>
    <t>VISIT_MULTIPLE_LOCATIONS</t>
  </si>
  <si>
    <t>Piazza Navona, Neptunsbrunnen und Mohrenbrunnen besuchen.</t>
  </si>
  <si>
    <t>visitedLocationIds == 3</t>
  </si>
  <si>
    <t>Fehlende Station bleibt offen.</t>
  </si>
  <si>
    <t>M-D1-03-S05</t>
  </si>
  <si>
    <t>Je Station eine andere große Figurenpose nachstellen.</t>
  </si>
  <si>
    <t>photoCount == 3 &amp;&amp; uniqueStationIds == 3</t>
  </si>
  <si>
    <t>Betroffenes Bild neu aufnehmen.</t>
  </si>
  <si>
    <t>M-D1-03-S06</t>
  </si>
  <si>
    <t>Jedes Bild im 15-m-Radius seiner Station hochladen.</t>
  </si>
  <si>
    <t>allUploads.locationVerified</t>
  </si>
  <si>
    <t>Nur nicht verifizierte Uploads wiederholen.</t>
  </si>
  <si>
    <t>M-D1-03-S07</t>
  </si>
  <si>
    <t>M-D1-03-COMPLETE</t>
  </si>
  <si>
    <t>dialogSequenceComplete('M-D1-03-COMPLETE')</t>
  </si>
  <si>
    <t>M-D1-03-S08</t>
  </si>
  <si>
    <t>M-LT-01-S01</t>
  </si>
  <si>
    <t>Sonderquest Roma in zwölf Bildern entdecken.</t>
  </si>
  <si>
    <t>M-LT-01-S02</t>
  </si>
  <si>
    <t>M-LT-01-OFFER</t>
  </si>
  <si>
    <t>dialogSequenceComplete('M-LT-01-OFFER')</t>
  </si>
  <si>
    <t>M-LT-01-S03</t>
  </si>
  <si>
    <t>M-LT-01-S04</t>
  </si>
  <si>
    <t>Chronik am öffentlichen Außenpunkt des Marcellustheaters aufnehmen.</t>
  </si>
  <si>
    <t>Pickup später erneut möglich.</t>
  </si>
  <si>
    <t>M-LT-01-S05</t>
  </si>
  <si>
    <t>COLLECT_MEDIA</t>
  </si>
  <si>
    <t>Über beide Tage 6–12 Fotos sammeln; jede vorhandene Klasse übernimmt mindestens eine erkennbare Handlung.</t>
  </si>
  <si>
    <t>photoCount &gt;= 6 &amp;&amp; photoCount &lt;= 12 &amp;&amp; representedClasses == teamClasses</t>
  </si>
  <si>
    <t>Bis Abgabeschluss bearbeitbar.</t>
  </si>
  <si>
    <t>M-LT-01-S06</t>
  </si>
  <si>
    <t>SUBMIT_FOR_REVIEW</t>
  </si>
  <si>
    <t>Bilderfolge mit festgelegter Reihenfolge zur GM-Prüfung einreichen.</t>
  </si>
  <si>
    <t>gmReview.status == APPROVED</t>
  </si>
  <si>
    <t>Einmalige Revision vor Frist möglich.</t>
  </si>
  <si>
    <t>M-LT-01-S07</t>
  </si>
  <si>
    <t>M-LT-01-COMPLETE</t>
  </si>
  <si>
    <t>dialogSequenceComplete('M-LT-01-COMPLETE')</t>
  </si>
  <si>
    <t>M-LT-01-S08</t>
  </si>
  <si>
    <t>M-D2-01-S01</t>
  </si>
  <si>
    <t>Sonderquest Streitwagenrennen entdecken.</t>
  </si>
  <si>
    <t>M-D2-01-S02</t>
  </si>
  <si>
    <t>M-D2-01-OFFER</t>
  </si>
  <si>
    <t>dialogSequenceComplete('M-D2-01-OFFER')</t>
  </si>
  <si>
    <t>M-D2-01-S03</t>
  </si>
  <si>
    <t>M-D2-01-S04</t>
  </si>
  <si>
    <t>Sicheren Medienkorridor am Circus Maximus betreten.</t>
  </si>
  <si>
    <t>teamMembersInRadius &gt;= 2 &amp;&amp; corridorStatus == OPEN</t>
  </si>
  <si>
    <t>Quest pausiert bei gesperrtem Korridor.</t>
  </si>
  <si>
    <t>M-D2-01-S05</t>
  </si>
  <si>
    <t>Exakt fünf Bilder in der Reihenfolge Start–Angriff–Wendung–Beinahe-Sturz–Sieg aufnehmen.</t>
  </si>
  <si>
    <t>photoCount == 5 &amp;&amp; orderedActs == 5</t>
  </si>
  <si>
    <t>Einzelbilder ersetzbar.</t>
  </si>
  <si>
    <t>M-D2-01-S06</t>
  </si>
  <si>
    <t>Alle fünf Bilder im 15-m-Abgaberadius hochladen.</t>
  </si>
  <si>
    <t>M-D2-01-S07</t>
  </si>
  <si>
    <t>M-D2-01-COMPLETE</t>
  </si>
  <si>
    <t>dialogSequenceComplete('M-D2-01-COMPLETE')</t>
  </si>
  <si>
    <t>M-D2-01-S08</t>
  </si>
  <si>
    <t>M-D2-02-S01</t>
  </si>
  <si>
    <t>Sonderquest Gladiatorenkampf entdecken.</t>
  </si>
  <si>
    <t>M-D2-02-S02</t>
  </si>
  <si>
    <t>M-D2-02-OFFER</t>
  </si>
  <si>
    <t>dialogSequenceComplete('M-D2-02-OFFER')</t>
  </si>
  <si>
    <t>M-D2-02-S03</t>
  </si>
  <si>
    <t>M-D2-02-S04</t>
  </si>
  <si>
    <t>Öffentlichen Kolosseum-Außenpunkt erreichen.</t>
  </si>
  <si>
    <t>M-D2-02-S05</t>
  </si>
  <si>
    <t>Drei statische Bilder: Herausforderung, Wendepunkt, Gnade.</t>
  </si>
  <si>
    <t>photoCount == 3 &amp;&amp; safetyAcknowledged</t>
  </si>
  <si>
    <t>M-D2-02-S06</t>
  </si>
  <si>
    <t>Bildserie im 15-m-Radius hochladen.</t>
  </si>
  <si>
    <t>Erneut hochladen.</t>
  </si>
  <si>
    <t>M-D2-02-S07</t>
  </si>
  <si>
    <t>M-D2-02-COMPLETE</t>
  </si>
  <si>
    <t>dialogSequenceComplete('M-D2-02-COMPLETE')</t>
  </si>
  <si>
    <t>M-D2-02-S08</t>
  </si>
  <si>
    <t>M-D2-03-S01</t>
  </si>
  <si>
    <t>Sonderquest Souvenirreview entdecken.</t>
  </si>
  <si>
    <t>M-D2-03-S02</t>
  </si>
  <si>
    <t>M-D2-03-OFFER</t>
  </si>
  <si>
    <t>dialogSequenceComplete('M-D2-03-OFFER')</t>
  </si>
  <si>
    <t>M-D2-03-S03</t>
  </si>
  <si>
    <t>Sonderquest annehmen; Etappen-Timer 60 s, Startbedingung und Ablaufwirkung vor Bestätigung anzeigen.</t>
  </si>
  <si>
    <t>timerRef=TMR-M-D2-03-S05; Start gemäß Timer.StartsWhen.</t>
  </si>
  <si>
    <t>M-D2-03-S04</t>
  </si>
  <si>
    <t>Öffentlichen Außenpunkt der Trajansmärkte erreichen.</t>
  </si>
  <si>
    <t>M-D2-03-S05</t>
  </si>
  <si>
    <t>TAKE_VIDEO</t>
  </si>
  <si>
    <t>Startet die Aufnahme bewusst und nehmt ein 30–60 Sekunden langes Review eines Souvenirs bis maximal 5 EUR auf.</t>
  </si>
  <si>
    <t>durationSec &gt;= 30 &amp;&amp; durationSec &lt;= 60 &amp;&amp; declaredPriceEur &lt;= 5</t>
  </si>
  <si>
    <t>objectiveComplete=true; timerState=COMPLETED</t>
  </si>
  <si>
    <t>Bei 60 s Auto-Stopp; bei weniger als 30 s oder Abbruch Neuaufnahme mit neuer attemptId möglich.</t>
  </si>
  <si>
    <t>timerRef=TMR-M-D2-03-S05; serverTime/deadlineAt; Upload ist separater, wiederholbarer Schritt.</t>
  </si>
  <si>
    <t>M-D2-03-S06</t>
  </si>
  <si>
    <t>Video im 15-m-Radius hochladen.</t>
  </si>
  <si>
    <t>upload.locationVerified &amp;&amp; media.type == VIDEO</t>
  </si>
  <si>
    <t>M-D2-03-S07</t>
  </si>
  <si>
    <t>M-D2-03-COMPLETE</t>
  </si>
  <si>
    <t>dialogSequenceComplete('M-D2-03-COMPLETE')</t>
  </si>
  <si>
    <t>M-D2-03-S08</t>
  </si>
  <si>
    <t>H-D1-01-S01</t>
  </si>
  <si>
    <t>Sonderquest Die Schildkröten wachen entdecken.</t>
  </si>
  <si>
    <t>H-D1-01-S02</t>
  </si>
  <si>
    <t>H-D1-01-OFFER</t>
  </si>
  <si>
    <t>dialogSequenceComplete('H-D1-01-OFFER')</t>
  </si>
  <si>
    <t>H-D1-01-S03</t>
  </si>
  <si>
    <t>H-D1-01-S04</t>
  </si>
  <si>
    <t>PZ-H-D1-01</t>
  </si>
  <si>
    <t>puzzleComplete=true</t>
  </si>
  <si>
    <t>Vier Positionen antippen.</t>
  </si>
  <si>
    <t>questAccepted</t>
  </si>
  <si>
    <t>Penalty: Kein Erstschlagbonus</t>
  </si>
  <si>
    <t>H-D1-01-S05</t>
  </si>
  <si>
    <t>Custode delle Tartarughe in der teambezogenen Instanz besiegen.</t>
  </si>
  <si>
    <t>Hidden Quest bleibt aktiv; Wiederbelebungsregeln gelten.</t>
  </si>
  <si>
    <t>puzzleComplete</t>
  </si>
  <si>
    <t>Kein normaler Respawn.</t>
  </si>
  <si>
    <t>H-D1-01-S06</t>
  </si>
  <si>
    <t>H-D1-01-COMPLETE</t>
  </si>
  <si>
    <t>dialogSequenceComplete('H-D1-01-COMPLETE')</t>
  </si>
  <si>
    <t>H-D1-01-S07</t>
  </si>
  <si>
    <t>H-D1-02-S01</t>
  </si>
  <si>
    <t>Sonderquest Ratte des Aquädukts entdecken.</t>
  </si>
  <si>
    <t>H-D1-02-S02</t>
  </si>
  <si>
    <t>H-D1-02-OFFER</t>
  </si>
  <si>
    <t>dialogSequenceComplete('H-D1-02-OFFER')</t>
  </si>
  <si>
    <t>H-D1-02-S03</t>
  </si>
  <si>
    <t>H-D1-02-S04</t>
  </si>
  <si>
    <t>PZ-H-D1-02</t>
  </si>
  <si>
    <t>Wie viele kleinere antike Arkaden sind nebeneinander erhalten?</t>
  </si>
  <si>
    <t>Materialfrage statt Zählung.</t>
  </si>
  <si>
    <t>Penalty: Ratte behält Ausweichen</t>
  </si>
  <si>
    <t>H-D1-02-S05</t>
  </si>
  <si>
    <t>Ratto dell’Acqua Virgo in der teambezogenen Instanz besiegen.</t>
  </si>
  <si>
    <t>H-D1-02-S06</t>
  </si>
  <si>
    <t>H-D1-02-COMPLETE</t>
  </si>
  <si>
    <t>dialogSequenceComplete('H-D1-02-COMPLETE')</t>
  </si>
  <si>
    <t>H-D1-02-S07</t>
  </si>
  <si>
    <t>H-D1-03-S01</t>
  </si>
  <si>
    <t>Sonderquest Die Satirelli entdecken.</t>
  </si>
  <si>
    <t>H-D1-03-S02</t>
  </si>
  <si>
    <t>H-D1-03-OFFER</t>
  </si>
  <si>
    <t>dialogSequenceComplete('H-D1-03-OFFER')</t>
  </si>
  <si>
    <t>H-D1-03-S03</t>
  </si>
  <si>
    <t>H-D1-03-S04</t>
  </si>
  <si>
    <t>PZ-H-D1-03</t>
  </si>
  <si>
    <t>Ordnet Flöte und Traubenranke den beiden markierten Satyrpositionen zu.</t>
  </si>
  <si>
    <t>Welche mythologischen Wesen seht ihr? Satyrn.</t>
  </si>
  <si>
    <t>Penalty: Kampf startet ohne Verwirrungsdebuff</t>
  </si>
  <si>
    <t>H-D1-03-S05</t>
  </si>
  <si>
    <t>CP-QE-SATIRELLI</t>
  </si>
  <si>
    <t>I Satirelli Gemelli in der teambezogenen Instanz besiegen.</t>
  </si>
  <si>
    <t>H-D1-03-S06</t>
  </si>
  <si>
    <t>H-D1-03-COMPLETE</t>
  </si>
  <si>
    <t>dialogSequenceComplete('H-D1-03-COMPLETE')</t>
  </si>
  <si>
    <t>H-D1-03-S07</t>
  </si>
  <si>
    <t>H-D2-01-S01</t>
  </si>
  <si>
    <t>Sonderquest Wächter der Porta Magica entdecken.</t>
  </si>
  <si>
    <t>H-D2-01-S02</t>
  </si>
  <si>
    <t>H-D2-01-OFFER</t>
  </si>
  <si>
    <t>dialogSequenceComplete('H-D2-01-OFFER')</t>
  </si>
  <si>
    <t>H-D2-01-S03</t>
  </si>
  <si>
    <t>H-D2-01-S04</t>
  </si>
  <si>
    <t>PZ-H-D2-01</t>
  </si>
  <si>
    <t>Setzt die drei alchemistischen Schritte in die vorgegebene Reihenfolge: Stein – Metall – Licht.</t>
  </si>
  <si>
    <t>Nur Anzahl der Wächter: zwei.</t>
  </si>
  <si>
    <t>Penalty: Bonusloot entfällt</t>
  </si>
  <si>
    <t>H-D2-01-S05</t>
  </si>
  <si>
    <t>H-D2-01-COMPLETE</t>
  </si>
  <si>
    <t>dialogSequenceComplete('H-D2-01-COMPLETE')</t>
  </si>
  <si>
    <t>H-D2-01-S06</t>
  </si>
  <si>
    <t>H-D2-02-S01</t>
  </si>
  <si>
    <t>Sonderquest Dantes Windrose entdecken.</t>
  </si>
  <si>
    <t>H-D2-02-S02</t>
  </si>
  <si>
    <t>H-D2-02-OFFER</t>
  </si>
  <si>
    <t>dialogSequenceComplete('H-D2-02-OFFER')</t>
  </si>
  <si>
    <t>H-D2-02-S03</t>
  </si>
  <si>
    <t>H-D2-02-S04</t>
  </si>
  <si>
    <t>PZ-H-D2-02</t>
  </si>
  <si>
    <t>Bestimmt Norden auf der Windrose und gebt das italienische Wort für Ausgang ein.</t>
  </si>
  <si>
    <t>Nur Norden auf einer Vier-Richtungs-Auswahl markieren.</t>
  </si>
  <si>
    <t>Penalty: Optionaler Gegner wird aggressiver</t>
  </si>
  <si>
    <t>H-D2-02-S05</t>
  </si>
  <si>
    <t>CP-QE-INFERNO</t>
  </si>
  <si>
    <t>Custode dell’Inferno in der teambezogenen Instanz besiegen.</t>
  </si>
  <si>
    <t>H-D2-02-S06</t>
  </si>
  <si>
    <t>H-D2-02-COMPLETE</t>
  </si>
  <si>
    <t>dialogSequenceComplete('H-D2-02-COMPLETE')</t>
  </si>
  <si>
    <t>H-D2-02-S07</t>
  </si>
  <si>
    <t>B-D1-01-S01</t>
  </si>
  <si>
    <t>Sonderquest Il Cannoniere del Gianicolo entdecken.</t>
  </si>
  <si>
    <t>B-D1-01-S02</t>
  </si>
  <si>
    <t>B-D1-01-OFFER</t>
  </si>
  <si>
    <t>dialogSequenceComplete('B-D1-01-OFFER')</t>
  </si>
  <si>
    <t>B-D1-01-S03</t>
  </si>
  <si>
    <t>B-D1-01-S04</t>
  </si>
  <si>
    <t>BOSS_PARTICIPATION</t>
  </si>
  <si>
    <t>Im 30-m-Beitrittsradius anmelden und mindestens eine vollständige Phase aktiv teilnehmen.</t>
  </si>
  <si>
    <t>participationPhases &gt;= 1 &amp;&amp; contributionQualified</t>
  </si>
  <si>
    <t>Team kann erneut beitreten, solange Boss aktiv.</t>
  </si>
  <si>
    <t>B-D1-01-S05</t>
  </si>
  <si>
    <t>B-D1-01-COMPLETE</t>
  </si>
  <si>
    <t>dialogSequenceComplete('B-D1-01-COMPLETE')</t>
  </si>
  <si>
    <t>B-D1-01-S06</t>
  </si>
  <si>
    <t>B-D2-01-S01</t>
  </si>
  <si>
    <t>Sonderquest Custode della Neve entdecken.</t>
  </si>
  <si>
    <t>B-D2-01-S02</t>
  </si>
  <si>
    <t>B-D2-01-OFFER</t>
  </si>
  <si>
    <t>dialogSequenceComplete('B-D2-01-OFFER')</t>
  </si>
  <si>
    <t>B-D2-01-S03</t>
  </si>
  <si>
    <t>B-D2-01-S04</t>
  </si>
  <si>
    <t>Im 30-m-Beitrittsradius anmelden, Mechanikfenster bedienen und Beitragsschwelle erreichen.</t>
  </si>
  <si>
    <t>contributionQualified &amp;&amp; bossState == DEFEATED</t>
  </si>
  <si>
    <t>Bei Team-Wipe erneuter Beitritt möglich, solange Event aktiv.</t>
  </si>
  <si>
    <t>B-D2-01-S05</t>
  </si>
  <si>
    <t>B-D2-01-COMPLETE</t>
  </si>
  <si>
    <t>dialogSequenceComplete('B-D2-01-COMPLETE')</t>
  </si>
  <si>
    <t>B-D2-01-S06</t>
  </si>
  <si>
    <t>Via Romae – Dialogbäume v0.8</t>
  </si>
  <si>
    <t>Linearer Stamm mit kurzen Seitenästen: Angebot, Zwischenreaktion, Abschluss. Jede Auswahl besitzt eine maschinenlesbare Effect-JSON und führt in den Hauptpfad zurück.</t>
  </si>
  <si>
    <t>Sequenz-ID</t>
  </si>
  <si>
    <t>Node-ID</t>
  </si>
  <si>
    <t>Phase</t>
  </si>
  <si>
    <t>Order</t>
  </si>
  <si>
    <t>Speaker-ID</t>
  </si>
  <si>
    <t>Speaker</t>
  </si>
  <si>
    <t>Momentane Stimmung</t>
  </si>
  <si>
    <t>Bedingung</t>
  </si>
  <si>
    <t>NPC-Text</t>
  </si>
  <si>
    <t>Option 1 ID</t>
  </si>
  <si>
    <t>Option 1</t>
  </si>
  <si>
    <t>Antwort 1</t>
  </si>
  <si>
    <t>Effect JSON 1</t>
  </si>
  <si>
    <t>Option 2 ID</t>
  </si>
  <si>
    <t>Option 2</t>
  </si>
  <si>
    <t>Antwort 2</t>
  </si>
  <si>
    <t>Effect JSON 2</t>
  </si>
  <si>
    <t>Option 3 ID</t>
  </si>
  <si>
    <t>Option 3</t>
  </si>
  <si>
    <t>Antwort 3</t>
  </si>
  <si>
    <t>Effect JSON 3</t>
  </si>
  <si>
    <t>Default Next</t>
  </si>
  <si>
    <t>Easter-Egg</t>
  </si>
  <si>
    <t>Node-Zeichen</t>
  </si>
  <si>
    <t>Sequenz-Zeichen</t>
  </si>
  <si>
    <t>D1-Q01-N1</t>
  </si>
  <si>
    <t>OFFER</t>
  </si>
  <si>
    <t>angespannt und wachsam</t>
  </si>
  <si>
    <t>questActive || phase==OFFER</t>
  </si>
  <si>
    <t>Halt. Der Passetto schweigt zu laut. Jemand hat die alte Fluchtlinie markiert – entweder ein Verbündeter oder ein sehr ordentlicher Verräter. Prüft den Weg. An der Engelsburg habt ihr für den Nachhutbeschluss 60 Sekunden; danach sichere ich automatisch die Langsamsten, und der Zeitbonus entfällt.</t>
  </si>
  <si>
    <t>ACCEPT_DUTY</t>
  </si>
  <si>
    <t>Wir sichern den Weg. Zeigt uns die erste Spur.</t>
  </si>
  <si>
    <t>Gut. Keine Heldenpose, bevor die Ausgänge gezählt sind.</t>
  </si>
  <si>
    <t>{"accept":true}</t>
  </si>
  <si>
    <t>ASK_HISTORY</t>
  </si>
  <si>
    <t>Warum führt der Gang zur Engelsburg?</t>
  </si>
  <si>
    <t>Weil Mauern manchmal schneller urteilen als Höflinge. Die Fakten findet ihr am Weg – nicht in meinem Pathos.</t>
  </si>
  <si>
    <t>{"loreHint":true}</t>
  </si>
  <si>
    <t>SWISS_GUARD_OATH</t>
  </si>
  <si>
    <t>[Schweizergarde] Ich übernehme die Vorhut.</t>
  </si>
  <si>
    <t>Dann führe, aber zähle dein Team. Eine leere Formation beeindruckt nur Tauben.</t>
  </si>
  <si>
    <t>{"classCheck":"SWISS_GUARD","buff":"route_guard"}</t>
  </si>
  <si>
    <t>D1-Q01-MID</t>
  </si>
  <si>
    <t>Max. 1000 Zeichen pro Interaktionssequenz; historischer Inhalt nur aus Fact-Set.</t>
  </si>
  <si>
    <t>D1-Q01-N2</t>
  </si>
  <si>
    <t>MID</t>
  </si>
  <si>
    <t>Der Mauerzug stimmt. Jetzt fehlt die Losung. Wer FIDES nur nachplappert, bewacht höchstens eine Garderobe. Der Entscheidungs-Countdown beginnt erst, wenn ihr ihn am Ziel ausdrücklich startet.</t>
  </si>
  <si>
    <t>REQUEST_HINT</t>
  </si>
  <si>
    <t>Gebt uns einen Hinweis.</t>
  </si>
  <si>
    <t>Ein Hinweis grenzt ein, löst aber nicht. Öffnet Stufe eins.</t>
  </si>
  <si>
    <t>{"openHint":1}</t>
  </si>
  <si>
    <t>START_NACHHUT_TIMER</t>
  </si>
  <si>
    <t>Wir starten den 60-Sekunden-Beschluss.</t>
  </si>
  <si>
    <t>Dann zählt jetzt jede klare Stimme. Ohne Beschluss sichere ich nach Ablauf die Langsamsten; die Quest geht weiter, der Zeitbonus nicht.</t>
  </si>
  <si>
    <t>{"startTimer":"TMR-D1-Q01-S12","openObjective":true}</t>
  </si>
  <si>
    <t>CHECK_FACTS</t>
  </si>
  <si>
    <t>Welche Aussagen sind belegt?</t>
  </si>
  <si>
    <t>Öffnet die Faktenkarte. Fiktionale Rahmung ist dort getrennt markiert.</t>
  </si>
  <si>
    <t>{"openFactCard":true}</t>
  </si>
  <si>
    <t>D1-Q01-N3</t>
  </si>
  <si>
    <t>Der Weg ist offen. Nun die unangenehme Frage: Wer bleibt zurück, wenn die Menge drängt? Eine gute Antwort schützt Menschen; eine glänzende Antwort schützt nur den Erzähler.</t>
  </si>
  <si>
    <t>NACHHUT_HALTEN</t>
  </si>
  <si>
    <t>Wir halten die Nachhut und schützen die Langsamsten.</t>
  </si>
  <si>
    <t>Konrad nickt. ‚Schutz vor Ruhm. Gute Reihenfolge.‘</t>
  </si>
  <si>
    <t>{"decision":"NACHHUT_HALTEN","rewardVariant":"protection"}</t>
  </si>
  <si>
    <t>IRRWEG_LEGEN</t>
  </si>
  <si>
    <t>Wir legen eine falsche Spur und vermeiden den Kampf.</t>
  </si>
  <si>
    <t>Konrad lächelt knapp. ‚Eine kluge Lüge mit ehrlichem Zweck.‘</t>
  </si>
  <si>
    <t>{"decision":"IRRWEG_LEGEN","rewardVariant":"denarii"}</t>
  </si>
  <si>
    <t>SCHATTEN_STELLEN</t>
  </si>
  <si>
    <t>Wir stellen den Schatten direkt.</t>
  </si>
  <si>
    <t>‚Dann endet der Dialog und beginnt die Pflicht.‘</t>
  </si>
  <si>
    <t>{"decision":"SCHATTEN_STELLEN","startCombat":"CP-QE-PASSETTO"}</t>
  </si>
  <si>
    <t>END</t>
  </si>
  <si>
    <t>D1-Q02-N1</t>
  </si>
  <si>
    <t>spöttisch gelangweilt</t>
  </si>
  <si>
    <t>Drei Tore, drei Temperamente. Eines prahlt, eines überlebt als Narbe, eines könnte eine Nachhut tragen. Bringt mir ihre Merkmale – und verschont mich mit dem Satz: ‚Auf der Karte sah es nah aus.‘</t>
  </si>
  <si>
    <t>ACCEPT_WAGER</t>
  </si>
  <si>
    <t>Wir nehmen die Wette an.</t>
  </si>
  <si>
    <t>Endlich. Mein Ruf langweilt sich bereits.</t>
  </si>
  <si>
    <t>ASK_TACTICS</t>
  </si>
  <si>
    <t>Welche Merkmale zählen taktisch?</t>
  </si>
  <si>
    <t>Bögen, Flanken, freie Rückwege. Goldverzierungen stoppen keine Lanze.</t>
  </si>
  <si>
    <t>{"hint":"TACTICAL"}</t>
  </si>
  <si>
    <t>CONDOTTIERE_APPRAISAL</t>
  </si>
  <si>
    <t>[Condottiere] Ich prüfe Engpass und Rückzug.</t>
  </si>
  <si>
    <t>Ha! Wenigstens eine Person spricht meine Sprache.</t>
  </si>
  <si>
    <t>{"classCheck":"CONDOTTIERE","buff":"armor_opening"}</t>
  </si>
  <si>
    <t>D1-Q02-MID</t>
  </si>
  <si>
    <t>D1-Q02-N2</t>
  </si>
  <si>
    <t>Ein Tor ist kein Gemälde. Man liest Öffnung, Flanke, Rückweg. Wer nur das Wappen bewundert, wird sehr dekorativ besiegt.</t>
  </si>
  <si>
    <t>OPEN_OBJECTIVE</t>
  </si>
  <si>
    <t>Wir sind bereit für die Aufgabe.</t>
  </si>
  <si>
    <t>Dann öffnet die aktuelle Interaktion und bestätigt als Team.</t>
  </si>
  <si>
    <t>{"openObjective":true}</t>
  </si>
  <si>
    <t>D1-Q02-N3</t>
  </si>
  <si>
    <t>Eure Aufstellung ist beinahe vernünftig. Der Cavalleggero Pontificio hält sie trotzdem für eine persönliche Beleidigung. Das ist ausgezeichnet.</t>
  </si>
  <si>
    <t>CLOSE_HUMBLE</t>
  </si>
  <si>
    <t>Wir dokumentieren die Lösung.</t>
  </si>
  <si>
    <t>Sauber abgeschlossen.</t>
  </si>
  <si>
    <t>{"closeDialogue":true}</t>
  </si>
  <si>
    <t>OPEN_FACTS</t>
  </si>
  <si>
    <t>Was sollten wir historisch behalten?</t>
  </si>
  <si>
    <t>Öffnet die verifizierten Fakten und Quellen dieser Quest.</t>
  </si>
  <si>
    <t>PREVIEW_REWARD</t>
  </si>
  <si>
    <t>Und was erhalten wir?</t>
  </si>
  <si>
    <t>Die Belohnungsvorschau zeigt Arbeitswerte; der Server vergibt atomar.</t>
  </si>
  <si>
    <t>{"openRewardPreview":true}</t>
  </si>
  <si>
    <t>D1-Q03-N1</t>
  </si>
  <si>
    <t>spielerisch ungeduldig</t>
  </si>
  <si>
    <t>Rom gibt euch drei Straßen und erwartet, dass ihr die falsche nehmt. Unhöflich, aber traditionsreich. Teilt die Blickrichtungen, sammelt drei Wegzeichen und findet euch am Tor wieder – ohne leuchtenden Punkt, der euch bemuttert.</t>
  </si>
  <si>
    <t>ACCEPT_TRIDENT</t>
  </si>
  <si>
    <t>Wir teilen die drei Richtungen auf.</t>
  </si>
  <si>
    <t>Gut. Drei Mitglieder übernehmen Spitzen; ein viertes darf koordinieren, nicht dirigieren.</t>
  </si>
  <si>
    <t>ASK_REGROUP</t>
  </si>
  <si>
    <t>Wie finden wir zurück?</t>
  </si>
  <si>
    <t>Mit Hinweisen, nicht mit einem sichtbaren Zielmarker. Das Tor verrät sich erst aus der Nähe.</t>
  </si>
  <si>
    <t>{"navigationBrief":true}</t>
  </si>
  <si>
    <t>JOKE_PIGEONS</t>
  </si>
  <si>
    <t>Dürfen die Tauben eine Straße übernehmen?</t>
  </si>
  <si>
    <t>Nur wenn eine Taube im Team registriert ist. Das Formular ist absurd lang.</t>
  </si>
  <si>
    <t>{"cosmetic":"pigeon_joke"}</t>
  </si>
  <si>
    <t>D1-Q03-MID</t>
  </si>
  <si>
    <t>D1-Q03-N2</t>
  </si>
  <si>
    <t>Die Löwen wissen, wer wo steht. Ihr hoffentlich auch. Wenn jemand ‚Ich bin bei der Kirche‘ sagt, schuldet das Team der Stadt einen Denar an Präzision.</t>
  </si>
  <si>
    <t>D1-Q03-N3</t>
  </si>
  <si>
    <t>Drei Wege, ein Team. Ihr seid wieder vollständig – erstaunlich. Die Piazza verliert ihre Wette und ich meine schlechte Laune.</t>
  </si>
  <si>
    <t>D1-Q04-N1</t>
  </si>
  <si>
    <t>kühl besorgt</t>
  </si>
  <si>
    <t>Jemand hat meine Bilder vertauscht. Zeichen wurden zu Zähnen, Erinnerung zu Hunger. Ordnet Obelisk, Wölfin und Aussicht, bevor Antinoos’ Schatten merkt, dass Verwirrung eine Waffe ist.</t>
  </si>
  <si>
    <t>ACCEPT_MEMORY</t>
  </si>
  <si>
    <t>Wir setzen die Bilder wieder zusammen.</t>
  </si>
  <si>
    <t>Dann beginnt mit den Zeichen, nicht mit Vermutungen.</t>
  </si>
  <si>
    <t>ASK_ANTINOUS</t>
  </si>
  <si>
    <t>Warum Antinoos?</t>
  </si>
  <si>
    <t>Weil Erinnerung und Verehrung lange Schatten werfen. Die belegten Details stehen in euren Faktenkarten.</t>
  </si>
  <si>
    <t>SCULPTOR_GRAIN</t>
  </si>
  <si>
    <t>[Bildhauer] Ich lese Werkzeugspuren und Material.</t>
  </si>
  <si>
    <t>Nützlich. Doch verwechselt Material nicht mit Bedeutung.</t>
  </si>
  <si>
    <t>{"classCheck":"SCULPTOR","bonusHint":true}</t>
  </si>
  <si>
    <t>D1-Q04-MID</t>
  </si>
  <si>
    <t>D1-Q04-N2</t>
  </si>
  <si>
    <t>Die Wölfin ist kein Schmuckstück. Nehmt ihre Tessera. Ein richtig benanntes Bild ist schwerer zu fälschen.</t>
  </si>
  <si>
    <t>D1-Q04-N3</t>
  </si>
  <si>
    <t>Der Schatten hat nur noch eine Geschichte, hinter der er sich verstecken kann. Tretet ein – und lasst euch nicht von seiner schönsten Lüge treffen.</t>
  </si>
  <si>
    <t>D1-Q05-N1</t>
  </si>
  <si>
    <t>theatralisch gekränkt</t>
  </si>
  <si>
    <t>Bevor ihr fragt: Ich bin nicht gesunken. Ich liege dramatisch niedrig. Erkennt meine Form, nennt meine große Nachbarin aus Stufen – und ich verzeihe Rom vielleicht den nächsten Reiseführer.</t>
  </si>
  <si>
    <t>ACCEPT_BOAT</t>
  </si>
  <si>
    <t>Wir untersuchen deine Form.</t>
  </si>
  <si>
    <t>Sagt es ruhig mit Ehrfurcht. Oder wenigstens deutlich.</t>
  </si>
  <si>
    <t>ASK_SUNKEN</t>
  </si>
  <si>
    <t>Bist du wirklich nicht gesunken?</t>
  </si>
  <si>
    <t>Nein. Ich bin ästhetisch abgesenkt. Das ist teurer.</t>
  </si>
  <si>
    <t>{"cosmetic":"barcaccia_pride"}</t>
  </si>
  <si>
    <t>SCULPTOR_FORM</t>
  </si>
  <si>
    <t>[Bildhauer] Die Silhouette entscheidet.</t>
  </si>
  <si>
    <t>Ah! Eine Stimme der Vernunft zwischen tausend Selfies.</t>
  </si>
  <si>
    <t>{"classCheck":"SCULPTOR","bonusLore":true}</t>
  </si>
  <si>
    <t>D1-Q05-MID</t>
  </si>
  <si>
    <t>D1-Q05-N2</t>
  </si>
  <si>
    <t>Bug, Heck, niedriger Wasserspiegel. Wer jetzt ‚Badewanne‘ wählt, wird aus meinem Logbuch gestrichen.</t>
  </si>
  <si>
    <t>D1-Q05-N3</t>
  </si>
  <si>
    <t>Ein Boot! Endlich Fachleute. Ihr dürft weiterziehen; ich bleibe hier und trage den gesamten Barock auf meinen Schultern. Im Liegen.</t>
  </si>
  <si>
    <t>D1-Q06-N1</t>
  </si>
  <si>
    <t>kreativ gereizt</t>
  </si>
  <si>
    <t>Eine Piazza ist eine Bühne, kein Möbelhaus. Drei Brunnen, drei Blickpunkte, ein Takt. Wenn alle an ihrem Brunnen BEREIT drücken, laufen 20 Sekunden. Verpasst ihr das Fenster, geht es sicher nacheinander weiter; nur der Synchronbonus entfällt. Wer dafür rennt, arbeitet morgen an Sockeln.</t>
  </si>
  <si>
    <t>ACCEPT_WORKSHOP</t>
  </si>
  <si>
    <t>Wir übernehmen die drei Brunnen.</t>
  </si>
  <si>
    <t>Ausgezeichnet. Drei Augenpaare, ein Takt.</t>
  </si>
  <si>
    <t>ASK_SYNC</t>
  </si>
  <si>
    <t>Wie genau synchron?</t>
  </si>
  <si>
    <t>Erst melden alle ‚bereit‘. Dann läuft ein ruhiges Zwanzig-Sekunden-Fenster. Niemand sprintet.</t>
  </si>
  <si>
    <t>SCULPTOR_DIRECT</t>
  </si>
  <si>
    <t>[Bildhauer] Ich übernehme die Zuordnung.</t>
  </si>
  <si>
    <t>Dann beweise Geschmack und lasse die anderen trotzdem sehen.</t>
  </si>
  <si>
    <t>{"classCheck":"SCULPTOR","bonus":"master_hint"}</t>
  </si>
  <si>
    <t>D1-Q06-MID</t>
  </si>
  <si>
    <t>D1-Q06-N2</t>
  </si>
  <si>
    <t>Nord, Mitte, Süd – und niemand rennt. Erst die Positionen, dann dreimal BEREIT, dann 20 Sekunden. Große Kunst entsteht durch Timing, nicht durch verstauchte Knöchel.</t>
  </si>
  <si>
    <t>PREPARE_SYNC_TIMER</t>
  </si>
  <si>
    <t>Wir verteilen uns und melden dreimal BEREIT.</t>
  </si>
  <si>
    <t>Gut. Erst nach dem dritten BEREIT beginnen 20 Sekunden. Verpasst ihr sie, wechselt die Aufgabe ohne Scheitern in den Sequenzmodus.</t>
  </si>
  <si>
    <t>{"prepareTimer":"TMR-D1-Q06-S05","openObjective":true}</t>
  </si>
  <si>
    <t>D1-Q06-N3</t>
  </si>
  <si>
    <t>Die Werkstatt hört auf euch. Wählt ihr Marmor für Ruhm, Bronze für klingende Denare oder Travertin für standhaften Schutz?</t>
  </si>
  <si>
    <t>MARMOR_FUER_RUHM</t>
  </si>
  <si>
    <t>Marmor: Das Werk soll lange sprechen.</t>
  </si>
  <si>
    <t>Bernini strahlt. ‚Teuer, schwer, unvernünftig – also Kunst.‘</t>
  </si>
  <si>
    <t>{"decision":"MARMOR_FUER_RUHM","rewardVariant":"score"}</t>
  </si>
  <si>
    <t>BRONZE_FUER_DENARE</t>
  </si>
  <si>
    <t>Bronze: Die Werkstatt braucht klingende Mittel.</t>
  </si>
  <si>
    <t>‚Pragmatisch. Ich verzeihe es, weil Bronze glänzt.‘</t>
  </si>
  <si>
    <t>{"decision":"BRONZE_FUER_DENARE","rewardVariant":"denarii"}</t>
  </si>
  <si>
    <t>TRAVERTIN_FUER_SCHUTZ</t>
  </si>
  <si>
    <t>Travertin: Standhaftigkeit vor Glanz.</t>
  </si>
  <si>
    <t>‚Römisch, robust, weniger eitel als ich.‘</t>
  </si>
  <si>
    <t>{"decision":"TRAVERTIN_FUER_SCHUTZ","rewardVariant":"defense_buff"}</t>
  </si>
  <si>
    <t>D1-Q07-N1</t>
  </si>
  <si>
    <t>skeptisch</t>
  </si>
  <si>
    <t>Mein Name steht groß genug dort oben. Trotzdem lesen Menschen zuerst ihre Benachrichtigungen. Schreibt ihn korrekt ab und prüft, worauf der Obelisk heute steht.</t>
  </si>
  <si>
    <t>ACCEPT_INSCRIPTION</t>
  </si>
  <si>
    <t>Wir fertigen die Abschrift an.</t>
  </si>
  <si>
    <t>Gut. Blick nach oben, Füße auf dem öffentlichen Platz.</t>
  </si>
  <si>
    <t>ASK_BUILDER</t>
  </si>
  <si>
    <t>Warum ist dein Name so groß?</t>
  </si>
  <si>
    <t>Damit spätere Teams diese Frage nicht stellen müssen. Offensichtlich vergeblich.</t>
  </si>
  <si>
    <t>{"cosmetic":"agrippa_dry"}</t>
  </si>
  <si>
    <t>CLERIC_LATIN</t>
  </si>
  <si>
    <t>[Ordensperson] Ich prüfe die lateinische Form.</t>
  </si>
  <si>
    <t>Prüfen ist erlaubt. Hinzuerfinden nicht.</t>
  </si>
  <si>
    <t>{"classCheck":"CLERIC","bonusHint":true}</t>
  </si>
  <si>
    <t>D1-Q07-MID</t>
  </si>
  <si>
    <t>D1-Q07-N2</t>
  </si>
  <si>
    <t>Sieben Buchstaben. Keine kreative Orthografie. Architektur verzeiht vieles; Inschriften weniger.</t>
  </si>
  <si>
    <t>D1-Q07-N3</t>
  </si>
  <si>
    <t>Die Tafel stimmt. Die Mumie verliert ihren Schutz. Das ist keine Magie – es ist saubere Dokumentation mit erfreulichen Nebenwirkungen.</t>
  </si>
  <si>
    <t>D1-Q08-N1</t>
  </si>
  <si>
    <t>überarbeitet</t>
  </si>
  <si>
    <t>Katastrophe. Zwei Akten, zwei Kaiser, drei Schreiberfehler und ein Praktikant, der ‚Säule ist Säule‘ notiert hat. Ordnet die Bildsprachen, bevor die Verwaltung Geschichte erfindet.</t>
  </si>
  <si>
    <t>ACCEPT_ARCHIVE</t>
  </si>
  <si>
    <t>Wir ordnen die beiden Akten.</t>
  </si>
  <si>
    <t>Endlich Menschen mit Spaltenverständnis.</t>
  </si>
  <si>
    <t>ASK_PURPOSE</t>
  </si>
  <si>
    <t>Sollen wir auch den Zweck zuordnen?</t>
  </si>
  <si>
    <t>Ja. Markiert Erinnerung, Zeitzeichen und Herrschaftsbild – ohne historische Behauptungen außerhalb der Faktenkarten.</t>
  </si>
  <si>
    <t>JOKE_COLUMN</t>
  </si>
  <si>
    <t>Kann die Säule nicht einfach rollen?</t>
  </si>
  <si>
    <t>Nur wenn ihr die gesamte römische Bürokratie darunterlegt.</t>
  </si>
  <si>
    <t>{"cosmetic":"archive_joke"}</t>
  </si>
  <si>
    <t>D1-Q08-MID</t>
  </si>
  <si>
    <t>D1-Q08-N2</t>
  </si>
  <si>
    <t>Hieroglyphen wandern nicht von selbst auf Reliefsäulen. Meistens. In Rom sollte man das einschränken.</t>
  </si>
  <si>
    <t>D1-Q08-N3</t>
  </si>
  <si>
    <t>Geordnet. Der Obelisk spricht in Zeichen, die Säule in einer Spirale aus Bildern. Ich kann wieder unzufrieden auf professionellem Niveau sein.</t>
  </si>
  <si>
    <t>D1-Q09-N1</t>
  </si>
  <si>
    <t>empört und alarmiert</t>
  </si>
  <si>
    <t>Mein Wasserweg wurde beleidigt. Am Trevi prahlt Stein, in der Via del Nazareno kauert die Leitung, am Triton bläst jemand Muschelhorn – und dazwischen nagt eine Ratte an meinem Ruf.</t>
  </si>
  <si>
    <t>ACCEPT_WATER</t>
  </si>
  <si>
    <t>Wir verfolgen den Wasserweg.</t>
  </si>
  <si>
    <t>Dann zählt Großformen; ignoriert Münzen und Gedränge.</t>
  </si>
  <si>
    <t>ASK_RAT</t>
  </si>
  <si>
    <t>Wie groß ist diese Ratte?</t>
  </si>
  <si>
    <t>Groß genug für eine eigene Meinung zur Hygiene.</t>
  </si>
  <si>
    <t>{"cosmetic":"rat_scale"}</t>
  </si>
  <si>
    <t>CLERIC_CLEANSE</t>
  </si>
  <si>
    <t>[Ordensperson] Ich segne die Ampulle.</t>
  </si>
  <si>
    <t>Wenn es euch fokussiert: gern. Die Leitung verlangt trotzdem richtige Antworten.</t>
  </si>
  <si>
    <t>{"classCheck":"CLERIC","buff":"status_resist"}</t>
  </si>
  <si>
    <t>D1-Q09-MID</t>
  </si>
  <si>
    <t>D1-Q09-N2</t>
  </si>
  <si>
    <t>Füllt die Ampulle erst, wenn ihr den Weg verstanden habt. Wasser ohne Plan ist nur eine Pfütze mit Ambitionen.</t>
  </si>
  <si>
    <t>D1-Q09-N3</t>
  </si>
  <si>
    <t>Sauberer Verlauf, volle Ampulle. Jetzt zur Ratte. Zwei außerordentlich gelassene Retter namens Alex und Lorenz würden vermutlich schon Handtücher verteilen.</t>
  </si>
  <si>
    <t>EASTER_EGG_SUBTLE</t>
  </si>
  <si>
    <t>D1-Q10-N1</t>
  </si>
  <si>
    <t>misstrauisch</t>
  </si>
  <si>
    <t>Ein Name an einer Fassade, zwei Pferde aus Stein, ein Palast voller Gegenwart. Wer Macht verstehen will, muss erkennen, wem sie gerade dient.</t>
  </si>
  <si>
    <t>ACCEPT_POWER</t>
  </si>
  <si>
    <t>Wir prüfen die drei Machtzeichen.</t>
  </si>
  <si>
    <t>Dann schaut genau und redet erst danach.</t>
  </si>
  <si>
    <t>ASK_LOYALTY</t>
  </si>
  <si>
    <t>Welche Loyalität erwartest du?</t>
  </si>
  <si>
    <t>Keine blinde. Blindheit ist für Banner im Wind.</t>
  </si>
  <si>
    <t>CONDOTTIERE_CODE</t>
  </si>
  <si>
    <t>[Condottiere] Vertrag vor Pathos.</t>
  </si>
  <si>
    <t>Vernünftig. Prüft dennoch, wer den Vertrag durchsetzen kann.</t>
  </si>
  <si>
    <t>{"classCheck":"CONDOTTIERE","bonus":"contract_insight"}</t>
  </si>
  <si>
    <t>D1-Q10-MID</t>
  </si>
  <si>
    <t>D1-Q10-N2</t>
  </si>
  <si>
    <t>Pferde sind ehrlich: Sie tragen, was man ihnen auflädt. Institutionen sind komplizierter.</t>
  </si>
  <si>
    <t>D1-Q10-N3</t>
  </si>
  <si>
    <t>Nun wählt. Dient ihr einem Herrn, eurer eigenen Kompanie oder der Republik? Keine Antwort ist kostenlos; jede verrät euren Stil.</t>
  </si>
  <si>
    <t>LOYALE_GARDE</t>
  </si>
  <si>
    <t>Wir dienen loyal einer klaren Pflicht.</t>
  </si>
  <si>
    <t>Skanderbeg prüft den Blick. ‚Dann wählt die Pflicht, nicht den Beifall.‘</t>
  </si>
  <si>
    <t>{"decision":"LOYALE_GARDE","rewardVariant":"protection"}</t>
  </si>
  <si>
    <t>FREIE_KOMPANIE</t>
  </si>
  <si>
    <t>Wir bleiben eine freie Kompanie.</t>
  </si>
  <si>
    <t>‚Freiheit ist teuer. Wenigstens wisst ihr das.‘</t>
  </si>
  <si>
    <t>{"decision":"FREIE_KOMPANIE","rewardVariant":"denarii"}</t>
  </si>
  <si>
    <t>DIENST_DER_REPUBLIK</t>
  </si>
  <si>
    <t>Wir dienen dem Gemeinwohl der Republik.</t>
  </si>
  <si>
    <t>‚Ein großer Anspruch. Tragt ihn ohne Pose.‘</t>
  </si>
  <si>
    <t>{"decision":"DIENST_DER_REPUBLIK","rewardVariant":"score"}</t>
  </si>
  <si>
    <t>D1-Q11-N1</t>
  </si>
  <si>
    <t>ruhig prüfend</t>
  </si>
  <si>
    <t>Manche Zeichen sind so groß, dass niemand sie mehr betrachtet. Nennt mir die Figur an der Spitze und findet die vier stillen Begleiter am Sockel.</t>
  </si>
  <si>
    <t>ACCEPT_SIGN</t>
  </si>
  <si>
    <t>Wir betrachten die Säule aufmerksam.</t>
  </si>
  <si>
    <t>Dann beginnt oben und endet unten.</t>
  </si>
  <si>
    <t>ASK_MEANING</t>
  </si>
  <si>
    <t>Geht es um Glauben oder Stadtgeschichte?</t>
  </si>
  <si>
    <t>Um beides – aber die Aufgabe prüft nur Sichtbares und das verifizierte Fact-Set.</t>
  </si>
  <si>
    <t>CLERIC_REFLECT</t>
  </si>
  <si>
    <t>[Ordensperson] Ich formuliere die Deutung behutsam.</t>
  </si>
  <si>
    <t>Das ist mir lieber als eine laute Gewissheit.</t>
  </si>
  <si>
    <t>{"classCheck":"CLERIC","bonusLore":true}</t>
  </si>
  <si>
    <t>D1-Q11-MID</t>
  </si>
  <si>
    <t>D1-Q11-N2</t>
  </si>
  <si>
    <t>Nicht jede Antwort braucht eine Abhandlung. Manchmal reichen fünf Buchstaben und ein ehrlicher Blick.</t>
  </si>
  <si>
    <t>D1-Q11-N3</t>
  </si>
  <si>
    <t>Ihr habt gesehen, ohne zu drängen. Das ist selten genug, um belohnt zu werden.</t>
  </si>
  <si>
    <t>D1-Q12-N1</t>
  </si>
  <si>
    <t>finster amüsiert</t>
  </si>
  <si>
    <t>Rom redet gleichzeitig: Brücken verbinden, Paläste befehlen, Märkte widersprechen, Ruinen warten geduldig. Sammelt vier Stimmen. Am Largo könnt ihr eine 120-Sekunden-Debatte starten; läuft sie aus, bleibt die Lösung offen, aber der Entscheidungsbonus verstummt.</t>
  </si>
  <si>
    <t>ACCEPT_VOICES</t>
  </si>
  <si>
    <t>Wir sammeln die vier Stimmen.</t>
  </si>
  <si>
    <t>Dann hört auch auf Stein. Er unterbricht selten, erinnert aber lange.</t>
  </si>
  <si>
    <t>ASK_TRUTH</t>
  </si>
  <si>
    <t>Welche Stimme sagt die Wahrheit?</t>
  </si>
  <si>
    <t>Keine allein. Deshalb seid ihr unterwegs.</t>
  </si>
  <si>
    <t>BOLD_BOOK</t>
  </si>
  <si>
    <t>Wir beginnen beim geschlossenen Buch.</t>
  </si>
  <si>
    <t>Natürlich. Menschen lieben Bücher besonders, wenn sie sie nicht öffnen müssen.</t>
  </si>
  <si>
    <t>{"bonusRoute":"campo_first"}</t>
  </si>
  <si>
    <t>D1-Q12-MID</t>
  </si>
  <si>
    <t>D1-Q12-N2</t>
  </si>
  <si>
    <t>Ein Symbol ohne Kontext ist Dekoration. Eine Macht ohne Widerspruch ist gefährlicher. Sobald ihr am Largo bereit seid, habt ihr 120 Sekunden für Zuordnung und Beschluss – kein Schritt davon verlangt Eile im Verkehr.</t>
  </si>
  <si>
    <t>START_VOICES_TIMER</t>
  </si>
  <si>
    <t>Wir starten die 120-Sekunden-Debatte.</t>
  </si>
  <si>
    <t>Dann ordnet und entscheidet. Nach Ablauf bleiben beide Schritte offen; nur der Entscheidungsbonus verstummt.</t>
  </si>
  <si>
    <t>{"startTimer":"TMR-D1-Q12-S11","openObjective":true}</t>
  </si>
  <si>
    <t>D1-Q12-N3</t>
  </si>
  <si>
    <t>Ihr habt vier Stimmen gehört. Welche bekommt den letzten Satz: Verbindung, öffentlicher Widerspruch oder Erinnerung?</t>
  </si>
  <si>
    <t>STIMME_DER_BRUECKE</t>
  </si>
  <si>
    <t>Verbindung bekommt den letzten Satz.</t>
  </si>
  <si>
    <t>Bruno: ‚Dann baut Übergänge, keine Kulissen.‘</t>
  </si>
  <si>
    <t>{"decision":"STIMME_DER_BRUECKE","rewardVariant":"team_buff"}</t>
  </si>
  <si>
    <t>STIMME_DES_MARKTES</t>
  </si>
  <si>
    <t>Öffentlicher Widerspruch bleibt hörbar.</t>
  </si>
  <si>
    <t>‚Unbequem. Also wahrscheinlich nötig.‘</t>
  </si>
  <si>
    <t>{"decision":"STIMME_DES_MARKTES","rewardVariant":"denarii"}</t>
  </si>
  <si>
    <t>STIMME_DER_RUINEN</t>
  </si>
  <si>
    <t>Erinnerung soll das Schlusswort haben.</t>
  </si>
  <si>
    <t>‚Ruinen sprechen langsam. Hört trotzdem zu.‘</t>
  </si>
  <si>
    <t>{"decision":"STIMME_DER_RUINEN","rewardVariant":"score"}</t>
  </si>
  <si>
    <t>D1-Q13-N1</t>
  </si>
  <si>
    <t>hektisch begeistert</t>
  </si>
  <si>
    <t>Der erste Akt trägt Säulen, der zweite Schildkröten, der dritte einen einsamen Engel. Irgendjemand hat die Reihenfolge vertauscht. Vermutlich ein Kritiker.</t>
  </si>
  <si>
    <t>ACCEPT_STAGE</t>
  </si>
  <si>
    <t>Wir ordnen die drei Akte.</t>
  </si>
  <si>
    <t>Dann Positionen einnehmen. Publikum ist optional, Präzision nicht.</t>
  </si>
  <si>
    <t>ASK_TURTLES</t>
  </si>
  <si>
    <t>Was ist mit den Schildkröten?</t>
  </si>
  <si>
    <t>Sie sind Nebendarsteller mit Gewerkschaft. Behandelt sie respektvoll.</t>
  </si>
  <si>
    <t>{"hiddenHint":"H-D1-01"}</t>
  </si>
  <si>
    <t>SCULPTOR_STAGE</t>
  </si>
  <si>
    <t>[Bildhauer] Ich lese Material und Stil.</t>
  </si>
  <si>
    <t>Sehr gut. Aber keine Vorlesung länger als der Applaus.</t>
  </si>
  <si>
    <t>D1-Q13-MID</t>
  </si>
  <si>
    <t>D1-Q13-N2</t>
  </si>
  <si>
    <t>Vier Schildkröten. Zählt ruhig. Wenn eine blinzelt, habt ihr entweder Hidden Content gefunden oder braucht Wasser.</t>
  </si>
  <si>
    <t>D1-Q13-N3</t>
  </si>
  <si>
    <t>Antike, Renaissance, Barock – der Vorhang fällt endlich in der richtigen Reihenfolge. Eure Bilderchronik erhält einen saubereren Spannungsbogen.</t>
  </si>
  <si>
    <t>D1-Q14-N1</t>
  </si>
  <si>
    <t>besorgt, aber kontrolliert</t>
  </si>
  <si>
    <t>Die Insel hält sich für ein Schiff und die Stadt hält das für normal. Diagnose: typisch Rom. Findet den steinernen Bug, nennt das Schiff beim alten Wort und bringt die Heilspur zurück.</t>
  </si>
  <si>
    <t>ACCEPT_HEALING</t>
  </si>
  <si>
    <t>Wir untersuchen die Schiffsform.</t>
  </si>
  <si>
    <t>Langsam und mit Blick auf den Weg. Heilung beginnt selten im Sprint.</t>
  </si>
  <si>
    <t>ASK_SYMBOL</t>
  </si>
  <si>
    <t>Warum verbindet sich Heilung mit einem Schiff?</t>
  </si>
  <si>
    <t>Die historische Verbindung steht in euren Faktenkarten; die magische Diagnose ist meine Fiktion.</t>
  </si>
  <si>
    <t>CLERIC_CARE</t>
  </si>
  <si>
    <t>[Ordensperson] Ich begleite die Heilung.</t>
  </si>
  <si>
    <t>Dann erinnere das Team: Hilfe ist eine Handlung, kein Titel.</t>
  </si>
  <si>
    <t>{"classCheck":"CLERIC","buff":"healing_boost"}</t>
  </si>
  <si>
    <t>D1-Q14-MID</t>
  </si>
  <si>
    <t>D1-Q14-N2</t>
  </si>
  <si>
    <t>Der Blickwinkel ist Teil der Diagnose. Wenn ihr nur Mauer seht, wechselt den öffentlichen Standpunkt – nicht die Absperrung.</t>
  </si>
  <si>
    <t>D1-Q14-N3</t>
  </si>
  <si>
    <t>NAVIS. Der Puls der Insel wird ruhig. Am Stab hängt ein kleiner Knoten mit der Aufschrift ‚SLRG Pfäffikon ZH‘ – zeitlich unmöglich, technisch ausgezeichnet.</t>
  </si>
  <si>
    <t>D1-Q15-N1</t>
  </si>
  <si>
    <t>nachdenklich</t>
  </si>
  <si>
    <t>Eine Melodie darf ausschmücken. Eine Quelle muss unterscheiden. Folgt meiner Erinnerung von Cecilia nach Santa Maria und entscheidet, wie ihr Legende und belegte Spur nebeneinander erzählt.</t>
  </si>
  <si>
    <t>ACCEPT_VOICE</t>
  </si>
  <si>
    <t>Wir folgen den sichtbaren Spuren.</t>
  </si>
  <si>
    <t>Dann bleibt draußen und lasst die Fassaden sprechen.</t>
  </si>
  <si>
    <t>ASK_LEGEND</t>
  </si>
  <si>
    <t>Dürfen Legenden Teil der Quest bleiben?</t>
  </si>
  <si>
    <t>Ja, wenn sie als Legenden benannt werden. Ehrlichkeit hat einen guten Klang.</t>
  </si>
  <si>
    <t>CLERIC_DISCERN</t>
  </si>
  <si>
    <t>[Ordensperson] Ich kennzeichne Glaube, Tradition und Beleg.</t>
  </si>
  <si>
    <t>Genau diese Sorgfalt brauche ich.</t>
  </si>
  <si>
    <t>{"classCheck":"CLERIC","bonus":"source_clarity"}</t>
  </si>
  <si>
    <t>D1-Q15-MID</t>
  </si>
  <si>
    <t>D1-Q15-N2</t>
  </si>
  <si>
    <t>Hört auf die sichtbaren Dinge: Name, Fassade, Mosaik. Meine Stimme dagegen ist Spiel – auch wenn sie hoffentlich gut klingt.</t>
  </si>
  <si>
    <t>D1-Q15-N3</t>
  </si>
  <si>
    <t>Wählt eure Erzählweise. Wer Fakt und Legende trennt, nimmt keiner Seite die Würde.</t>
  </si>
  <si>
    <t>LEGENDE_VORAN</t>
  </si>
  <si>
    <t>Wir beginnen mit der Legende und kennzeichnen sie.</t>
  </si>
  <si>
    <t>Cecilia: ‚Dann öffnet mit Staunen und schließt mit Klarheit.‘</t>
  </si>
  <si>
    <t>{"decision":"LEGENDE_VORAN","rewardVariant":"story"}</t>
  </si>
  <si>
    <t>FAKTEN_VORAN</t>
  </si>
  <si>
    <t>Wir beginnen mit belegten Fakten.</t>
  </si>
  <si>
    <t>‚Festes Fundament. Vergesst die Menschen darin nicht.‘</t>
  </si>
  <si>
    <t>{"decision":"FAKTEN_VORAN","rewardVariant":"knowledge"}</t>
  </si>
  <si>
    <t>BEIDES_GETRENNT</t>
  </si>
  <si>
    <t>Wir erzählen beides, sichtbar getrennt.</t>
  </si>
  <si>
    <t>‚Das ist die schwierigste und fairste Stimme.‘</t>
  </si>
  <si>
    <t>{"decision":"BEIDES_GETRENNT","rewardVariant":"balanced"}</t>
  </si>
  <si>
    <t>D1-Q16-N1</t>
  </si>
  <si>
    <t>entschlossen unter Druck</t>
  </si>
  <si>
    <t>Der Hügel belohnt keine Eile, nur Zusammenhalt. Folgt Mauern, Gefallenen, Wasser und Reitern. Ein Stück des Weges nimmt euch die Karte – dann zeigt sich, wer führt und wer nur dem blauen Punkt folgt.</t>
  </si>
  <si>
    <t>ACCEPT_ASCENT</t>
  </si>
  <si>
    <t>Wir steigen als Team auf.</t>
  </si>
  <si>
    <t>Dann zählt euch an jeder Station. Niemand wird zur Fußnote.</t>
  </si>
  <si>
    <t>ASK_HIDDEN_ROUTE</t>
  </si>
  <si>
    <t>Was passiert ohne Kartenmarker?</t>
  </si>
  <si>
    <t>Ihr bekommt getrennte Hinweise und einen Sicherheitsfallback nach zwei Fehlern.</t>
  </si>
  <si>
    <t>CONDOTTIERE_FORMATION</t>
  </si>
  <si>
    <t>[Condottiere] Ich teile Vorhut und Nachhut.</t>
  </si>
  <si>
    <t>Gut. Aber der langsamste Schritt bestimmt das Tempo.</t>
  </si>
  <si>
    <t>{"classCheck":"CONDOTTIERE","buff":"formation"}</t>
  </si>
  <si>
    <t>D1-Q16-MID</t>
  </si>
  <si>
    <t>D1-Q16-N2</t>
  </si>
  <si>
    <t>Ab Acqua Paola sieht nur die Fahnenträgerin den nächsten Hinweis. Die anderen erhalten Richtung und Schrittkorridor. Kein Rennen; wer ankommt, wartet.</t>
  </si>
  <si>
    <t>D1-Q16-N3</t>
  </si>
  <si>
    <t>Ihr seid vollständig. Gut. Der Garibaldino der Mauern möchte prüfen, ob eure Erinnerung auch unter Druck hält.</t>
  </si>
  <si>
    <t>D2-Q01-N1</t>
  </si>
  <si>
    <t>mürrisch konzentriert</t>
  </si>
  <si>
    <t>Der Platz ist kein Teppich. Das Muster lenkt Blick und Bewegung; die Figur beansprucht Erinnerung. Ordnet beides, bevor jemand ‚schön symmetrisch‘ sagt und damit fertig ist.</t>
  </si>
  <si>
    <t>ACCEPT_PATTERN</t>
  </si>
  <si>
    <t>Wir lesen Platz und Figur zusammen.</t>
  </si>
  <si>
    <t>Dann beginnt am Boden. Genies schauen gelegentlich hinunter.</t>
  </si>
  <si>
    <t>ASK_CAESAR</t>
  </si>
  <si>
    <t>Geht es um den historischen Caesar?</t>
  </si>
  <si>
    <t>Nur um Aussagen aus dem hinterlegten Fact-Set und die sichtbare Figur.</t>
  </si>
  <si>
    <t>SCULPTOR_PROPORTION</t>
  </si>
  <si>
    <t>[Bildhauer] Ich prüfe Achsen und Proportionen.</t>
  </si>
  <si>
    <t>Endlich ein brauchbarer Satz.</t>
  </si>
  <si>
    <t>D2-Q01-MID</t>
  </si>
  <si>
    <t>D2-Q01-N2</t>
  </si>
  <si>
    <t>Form ist Entscheidung. Selbst ein Stern kann befehlen, wohin ihr schaut.</t>
  </si>
  <si>
    <t>D2-Q01-N3</t>
  </si>
  <si>
    <t>Ihr habt Macht und Orientierung getrennt. Das ist mehr, als viele Auftraggeber je schaffen.</t>
  </si>
  <si>
    <t>D2-Q02-N1</t>
  </si>
  <si>
    <t>triumphal, aber gelangweilt</t>
  </si>
  <si>
    <t>Hebt den Blick. Noch höher. Über Fahnen, Köpfe und Telefone. Zählt meine Wagen und sagt mir, ob ihr hier Antike seht – oder eine spätere Vorstellung davon.</t>
  </si>
  <si>
    <t>ACCEPT_QUADRIGA</t>
  </si>
  <si>
    <t>Wir zählen von der sicheren Außenfläche.</t>
  </si>
  <si>
    <t>Sehr gut. Keine Treppenbesteigung nötig.</t>
  </si>
  <si>
    <t>ASK_EPOCH</t>
  </si>
  <si>
    <t>Ist die Darstellung antik?</t>
  </si>
  <si>
    <t>Das Motiv blickt zur Antike; das Denkmal gehört in eine spätere Epoche. Nutzt das Fact-Set.</t>
  </si>
  <si>
    <t>JOKE_BUS</t>
  </si>
  <si>
    <t>Zählt ein offener Doppeldecker?</t>
  </si>
  <si>
    <t>Nur wenn er von bronzenen Pferden gezogen wird.</t>
  </si>
  <si>
    <t>{"cosmetic":"bus_quadriga"}</t>
  </si>
  <si>
    <t>D2-Q02-MID</t>
  </si>
  <si>
    <t>D2-Q02-N2</t>
  </si>
  <si>
    <t>Zwei. Falls ihr drei zählt, ist eine davon vermutlich ein Reisebus.</t>
  </si>
  <si>
    <t>D2-Q02-N3</t>
  </si>
  <si>
    <t>Richtig gesehen, richtig eingeordnet. Monumentalität ist am erträglichsten, wenn sie präzise bleibt.</t>
  </si>
  <si>
    <t>D2-Q03-N1</t>
  </si>
  <si>
    <t>kampflustig</t>
  </si>
  <si>
    <t>Jeder sieht das Kolosseum. Kämpfer sehen den Weg darum herum: Triumph vor der Menge, Training unter Staub, dann erst die Arena. Lest den Kreislauf, sonst liest der Gladiator euch.</t>
  </si>
  <si>
    <t>ACCEPT_ARENA</t>
  </si>
  <si>
    <t>Wir lesen den Kampfkreislauf.</t>
  </si>
  <si>
    <t>Gut. Augen offen, Ellbogen bei euch.</t>
  </si>
  <si>
    <t>ASK_TACTIC</t>
  </si>
  <si>
    <t>Welche Taktik bringt Initiative?</t>
  </si>
  <si>
    <t>Wer Training korrekt erkennt, darf den ersten Telegraphen früher sehen.</t>
  </si>
  <si>
    <t>{"combatHint":true}</t>
  </si>
  <si>
    <t>CONDOTTIERE_DISCIPLINE</t>
  </si>
  <si>
    <t>[Condottiere] Formation schlägt Show.</t>
  </si>
  <si>
    <t>Endlich sagt es jemand vor einer Arena.</t>
  </si>
  <si>
    <t>{"classCheck":"CONDOTTIERE","buff":"initiative"}</t>
  </si>
  <si>
    <t>D2-Q03-MID</t>
  </si>
  <si>
    <t>D2-Q03-N2</t>
  </si>
  <si>
    <t>Form verrät Funktion. Oval für Bewegung, Bogen für Durchzug, große Ränge für Publikum.</t>
  </si>
  <si>
    <t>D2-Q03-N3</t>
  </si>
  <si>
    <t>Taktik steht. Der Gladiator kommt. Ruhige Aktionen, klare Ziele – echte Kampfbewegungen bleiben im Display, nicht auf dem Gehweg.</t>
  </si>
  <si>
    <t>D2-Q04-N1</t>
  </si>
  <si>
    <t>geschäftig und misstrauisch</t>
  </si>
  <si>
    <t>Ich verkaufe Wahrheit, Legende und spätere Erklärung. Gleicher Preis, sehr unterschiedliche Haltbarkeit. Prüft vier Monumente. Am Janusbogen dürft ihr eine 90-Sekunden-Wahrheitsprüfung starten; nach Ablauf öffnet sich der Fallback, der Wissensbonus ist dann verkauft.</t>
  </si>
  <si>
    <t>ACCEPT_TRADE</t>
  </si>
  <si>
    <t>Wir prüfen deine Erklärungen.</t>
  </si>
  <si>
    <t>Ausgezeichnet. Rückgabe ausgeschlossen, Erkenntnis möglich.</t>
  </si>
  <si>
    <t>Dürfen wir die Legende behalten?</t>
  </si>
  <si>
    <t>Natürlich. Schreibt nur nicht ‚historischer Fakt‘ auf die Verpackung.</t>
  </si>
  <si>
    <t>CONDOTTIERE_BARGAIN</t>
  </si>
  <si>
    <t>[Condottiere] Erst Beleg, dann Bezahlung.</t>
  </si>
  <si>
    <t>Ihr ruiniert den Handel. Ich mag euch.</t>
  </si>
  <si>
    <t>{"classCheck":"CONDOTTIERE","bonusDenarii":true}</t>
  </si>
  <si>
    <t>D2-Q04-MID</t>
  </si>
  <si>
    <t>D2-Q04-N2</t>
  </si>
  <si>
    <t>Rund ist rund, vierseitig ist vierseitig. Erst die Form, dann die Behauptung. Wenn ihr am Janusbogen BEREIT seid, laufen 90 Sekunden. Händlerregel: Zeitdruck erst nach Einverständnis.</t>
  </si>
  <si>
    <t>START_VERITAS_TIMER</t>
  </si>
  <si>
    <t>Wir starten die 90-Sekunden-Prüfung.</t>
  </si>
  <si>
    <t>Ab jetzt läuft die Uhr. Danach öffnet sich der Fallback, aber der Wissensbonus ist – bedauerlicherweise – verkauft.</t>
  </si>
  <si>
    <t>{"startTimer":"TMR-D2-Q04-S11","openObjective":true}</t>
  </si>
  <si>
    <t>D2-Q04-N3</t>
  </si>
  <si>
    <t>VERITAS. Ärgerlich korrekt. Ihr dürft entscheiden, welche Erklärung ins Protokoll kommt – sauber etikettiert, versteht sich.</t>
  </si>
  <si>
    <t>D2-Q05-N1</t>
  </si>
  <si>
    <t>laut begeistert</t>
  </si>
  <si>
    <t>Zwei Tritonen tragen eine Schale, ein Hügel schaut über den Circus, und eine Maske spuckt Wasser, aber keine brauchbaren Wegbeschreibungen. Bringt Ordnung hinein!</t>
  </si>
  <si>
    <t>ACCEPT_MASKS</t>
  </si>
  <si>
    <t>Wir klären Hügel und Brunnenwesen.</t>
  </si>
  <si>
    <t>Ha! Endlich Landmenschen mit Richtungssinn.</t>
  </si>
  <si>
    <t>ASK_PALATINE</t>
  </si>
  <si>
    <t>Wie erkennen wir den Palatin?</t>
  </si>
  <si>
    <t>Nutzt den bestätigten Panoramablick über die lange Circus-Senke.</t>
  </si>
  <si>
    <t>{"hint":"PANORAMA"}</t>
  </si>
  <si>
    <t>JOKE_SWIM</t>
  </si>
  <si>
    <t>Können Tritonen überhaupt verloren gehen?</t>
  </si>
  <si>
    <t>Nur sehr stilvoll.</t>
  </si>
  <si>
    <t>{"cosmetic":"triton_lost"}</t>
  </si>
  <si>
    <t>D2-Q05-MID</t>
  </si>
  <si>
    <t>D2-Q05-N2</t>
  </si>
  <si>
    <t>Gegenüber liegt der Palatin. Ich wusste das. Ich prüfte nur euch. Sehr überzeugend, nicht wahr?</t>
  </si>
  <si>
    <t>D2-Q05-N3</t>
  </si>
  <si>
    <t>Alles zugeordnet! Selbst die Maske schweigt zufrieden. In Pfäffikon erzählt man übrigens, Alex und Lorenz könnten sogar einen Triton retten, ohne dass dessen Frisur leidet. Übertrieben – aber cool.</t>
  </si>
  <si>
    <t>D2-Q06-N1</t>
  </si>
  <si>
    <t>gelangweilt vor Anker</t>
  </si>
  <si>
    <t>Besatzung gesucht. Anforderungen: Augen, Richtungssinn, keine Angst vor einem Schiff, das seit Jahrhunderten nicht vom Fleck kommt.</t>
  </si>
  <si>
    <t>ACCEPT_SHIP</t>
  </si>
  <si>
    <t>Wir übernehmen die Navigation.</t>
  </si>
  <si>
    <t>Dann Bug bestimmen und Fantasie an Bord.</t>
  </si>
  <si>
    <t>ASK_DESTINATION</t>
  </si>
  <si>
    <t>Wohin soll das Schiff?</t>
  </si>
  <si>
    <t>Zur nächsten guten Geschichte. Geografisch bleibt es exakt hier.</t>
  </si>
  <si>
    <t>{"cosmetic":"stone_voyage"}</t>
  </si>
  <si>
    <t>SWISS_GUARD_WATCH</t>
  </si>
  <si>
    <t>[Schweizergarde] Ich halte Ausguck.</t>
  </si>
  <si>
    <t>Gut. Meldet feindliche Tauben sofort.</t>
  </si>
  <si>
    <t>{"classCheck":"SWISS_GUARD","bonus":"lookout"}</t>
  </si>
  <si>
    <t>D2-Q06-MID</t>
  </si>
  <si>
    <t>D2-Q06-N2</t>
  </si>
  <si>
    <t>Form zuerst, Kurs danach. Wer ‚Tempel‘ wählt, wird zum Schiffspriester ernannt und bekommt keine Kajüte.</t>
  </si>
  <si>
    <t>D2-Q06-N3</t>
  </si>
  <si>
    <t>Kurs steht. Wir fahren keinen Zentimeter, aber wir tun es mit bemerkenswerter Autorität.</t>
  </si>
  <si>
    <t>D2-Q07-N1</t>
  </si>
  <si>
    <t>streng</t>
  </si>
  <si>
    <t>Drei Monumente, drei Zuständigkeiten. Wer alles ‚Macht‘ nennt, hat nichts verstanden. Trennt geistliche Mitte, imperiale Erinnerung und städtischen Zugang.</t>
  </si>
  <si>
    <t>ACCEPT_LATERAN</t>
  </si>
  <si>
    <t>Wir trennen die drei Funktionen.</t>
  </si>
  <si>
    <t>Gut. Beginnt bei der sichtbaren Mitte der Fassade.</t>
  </si>
  <si>
    <t>ASK_AUTHORITY</t>
  </si>
  <si>
    <t>Warum müssen wir eine Funktion wählen?</t>
  </si>
  <si>
    <t>Weil Ressourcen knapp sind. Selbst Symbole konkurrieren um Schutz.</t>
  </si>
  <si>
    <t>CLERIC_COUNSEL</t>
  </si>
  <si>
    <t>[Ordensperson] Geistliche Bedeutung ist nicht dasselbe wie Verwaltung.</t>
  </si>
  <si>
    <t>Präzise. Ich notiere widerwillig Zustimmung.</t>
  </si>
  <si>
    <t>{"classCheck":"CLERIC","bonus":"faith_option"}</t>
  </si>
  <si>
    <t>D2-Q07-MID</t>
  </si>
  <si>
    <t>D2-Q07-N2</t>
  </si>
  <si>
    <t>Ordnung ist kein Selbstzweck. Sie zeigt, welche Funktion im Konflikt zuerst geschützt wird.</t>
  </si>
  <si>
    <t>D2-Q07-N3</t>
  </si>
  <si>
    <t>Die Zuordnung steht. Nun entscheidet: Schützt ihr Glauben, Erinnerung oder den offenen Zugang zur Stadt?</t>
  </si>
  <si>
    <t>GLAUBE_SCHUETZEN</t>
  </si>
  <si>
    <t>Wir schützen zuerst die geistliche Mitte.</t>
  </si>
  <si>
    <t>Sixtus: ‚Dann schützt Menschen mit, nicht nur Symbole.‘</t>
  </si>
  <si>
    <t>{"decision":"GLAUBE_SCHUETZEN","rewardVariant":"healing"}</t>
  </si>
  <si>
    <t>ERINNERUNG_SCHUETZEN</t>
  </si>
  <si>
    <t>Wir sichern die Erinnerung.</t>
  </si>
  <si>
    <t>‚Ohne Gedächtnis wird jeder Neubeginn zur Wiederholung.‘</t>
  </si>
  <si>
    <t>{"decision":"ERINNERUNG_SCHUETZEN","rewardVariant":"knowledge"}</t>
  </si>
  <si>
    <t>ZUGANG_SCHUETZEN</t>
  </si>
  <si>
    <t>Wir halten den Zugang offen.</t>
  </si>
  <si>
    <t>‚Praktisch. Eine Stadt lebt von Wegen.‘</t>
  </si>
  <si>
    <t>{"decision":"ZUGANG_SCHUETZEN","rewardVariant":"protection"}</t>
  </si>
  <si>
    <t>D2-Q08-N1</t>
  </si>
  <si>
    <t>alarmiert</t>
  </si>
  <si>
    <t>Zwei Tore melden widersprüchliche Zustände. Eines wird von runden Türmen flankiert, eines trägt einen verschlossenen alten Bogen. Dazwischen stört ein Skorpion die Mauerlinie.</t>
  </si>
  <si>
    <t>ACCEPT_WALL</t>
  </si>
  <si>
    <t>Wir prüfen die Mauerlinie.</t>
  </si>
  <si>
    <t>Formation halten. Gehwege nutzen.</t>
  </si>
  <si>
    <t>ASK_ROUTE</t>
  </si>
  <si>
    <t>Wann wird der Marker verborgen?</t>
  </si>
  <si>
    <t>Nach dem Start an Porta Latina; er erscheint erst wieder im Nahbereich des Zielpunkts.</t>
  </si>
  <si>
    <t>SWISS_GUARD_ROUTE</t>
  </si>
  <si>
    <t>[Schweizergarde] Ich übernehme den sicheren Rückweg.</t>
  </si>
  <si>
    <t>Genehmigt. Sicherheit vor Abkürzung.</t>
  </si>
  <si>
    <t>{"classCheck":"SWISS_GUARD","buff":"defense_break"}</t>
  </si>
  <si>
    <t>D2-Q08-MID</t>
  </si>
  <si>
    <t>D2-Q08-N2</t>
  </si>
  <si>
    <t>Ab dem zweiten Wegpunkt erhält jede Rolle nur einen Teil der Route: Richtung, Symbol oder Entfernung. Sprecht. Ratet nicht über Verkehrsflächen.</t>
  </si>
  <si>
    <t>D2-Q08-N3</t>
  </si>
  <si>
    <t>Torstatus bestätigt. Die Schwachstelle des Skorpions liegt dort, wo alte Mauer und neuer Durchbruch nicht übereinstimmen.</t>
  </si>
  <si>
    <t>D2-Q09-N1</t>
  </si>
  <si>
    <t>aufgeregt und besorgt</t>
  </si>
  <si>
    <t>Fassade, Obelisk, Ziegelruine – drei Zeiten sprechen gleichzeitig, und der kommende Schneegeist nutzt jedes Durcheinander. Ordnet die Schichten, bevor er eure Erinnerung einfriert.</t>
  </si>
  <si>
    <t>ACCEPT_STRATA</t>
  </si>
  <si>
    <t>Wir ordnen die drei Schichten.</t>
  </si>
  <si>
    <t>Gut. Großformen zuerst, Datierung nur aus den Faktenkarten.</t>
  </si>
  <si>
    <t>ASK_SNOW</t>
  </si>
  <si>
    <t>Warum hilft das gegen Schnee?</t>
  </si>
  <si>
    <t>Spielmechanisch schützt geordnete Erinnerung. Historisch ist der Schneesturm klar als Legendenrahmung markiert.</t>
  </si>
  <si>
    <t>{"bossHint":true}</t>
  </si>
  <si>
    <t>SCULPTOR_MATERIAL</t>
  </si>
  <si>
    <t>[Bildhauer] Ich prüfe Material und Oberfläche.</t>
  </si>
  <si>
    <t>Perfekt. Nennt erst, was ihr seht; deutet danach.</t>
  </si>
  <si>
    <t>{"classCheck":"SCULPTOR","buff":"boss_resist"}</t>
  </si>
  <si>
    <t>D2-Q09-MID</t>
  </si>
  <si>
    <t>D2-Q09-N2</t>
  </si>
  <si>
    <t>Am Ende zählt das Material. Hohe rote Mauern, kein glänzender Marmor. Das Codewort liegt praktisch vor euch.</t>
  </si>
  <si>
    <t>D2-Q09-N3</t>
  </si>
  <si>
    <t>LATERES. Die Schichten halten. Ihr tragt nun eine Erinnerung, die der Custode della Neve nicht sofort überdecken kann.</t>
  </si>
  <si>
    <t>D2-Q10-N1</t>
  </si>
  <si>
    <t>dringlich genervt</t>
  </si>
  <si>
    <t>Störungsmeldung: Zwei Durchgänge, mehrere Wasserkanäle, eine Hydra mit Verwaltungsproblem. An der Porta könnt ihr eine 120-Sekunden-Diagnose starten. Läuft sie aus, bleibt die Quest lösbar, aber die Hydra behält einen Zusatzkopf. Keine Sekunde davon rechtfertigt eine Straßenquerung.</t>
  </si>
  <si>
    <t>ACCEPT_AQUEDUCT</t>
  </si>
  <si>
    <t>Wir prüfen Tor und Wasserkanäle.</t>
  </si>
  <si>
    <t>Vom sicheren Gehweg. Keine Heldentat über Fahrspuren.</t>
  </si>
  <si>
    <t>ASK_HYDRA</t>
  </si>
  <si>
    <t>Warum hat eine Leitung eine Hydra?</t>
  </si>
  <si>
    <t>Weil selbst meine Albträume Formulare mit mehreren Köpfen besitzen.</t>
  </si>
  <si>
    <t>{"cosmetic":"hydra_bureaucracy"}</t>
  </si>
  <si>
    <t>SCULPTOR_WEAKNESS</t>
  </si>
  <si>
    <t>[Bildhauer] Ich suche Fuge und Lastpunkt.</t>
  </si>
  <si>
    <t>Nützlich. Die Plombe kommt an die mechanische Schwachstelle.</t>
  </si>
  <si>
    <t>{"classCheck":"SCULPTOR","buff":"head_sealed"}</t>
  </si>
  <si>
    <t>D2-Q10-MID</t>
  </si>
  <si>
    <t>D2-Q10-N2</t>
  </si>
  <si>
    <t>Unten Tor, oben Leitung. Wer beides verwechselt, baut entweder einen sehr nassen Eingang oder ein nutzloses Aquädukt. BEREIT startet die 120-Sekunden-Diagnose vom sicheren Gehweg.</t>
  </si>
  <si>
    <t>START_DIAGNOSIS_TIMER</t>
  </si>
  <si>
    <t>Wir starten die 120-Sekunden-Diagnose.</t>
  </si>
  <si>
    <t>Vom Gehweg, jetzt. Nach Ablauf behält die Hydra einen Zusatzkopf; eure Quest behält trotzdem alle Gliedmaßen.</t>
  </si>
  <si>
    <t>{"startTimer":"TMR-D2-Q10-S05","openObjective":true}</t>
  </si>
  <si>
    <t>D2-Q10-N3</t>
  </si>
  <si>
    <t>Plombe sitzt. Ein Kopf weniger, ein Problem übersichtlicher. Jetzt beendet die Reparatur in rundenbasiertem Verfahren.</t>
  </si>
  <si>
    <t>M-D1-01-N1</t>
  </si>
  <si>
    <t>begeistert unter Zeitdruck</t>
  </si>
  <si>
    <t>Ein Bild, vier Rollen, null Belästigung. Zeigt eure Klasse und lasst die Garde nur dann im Hintergrund erscheinen, wenn das vom öffentlichen Bereich sicher möglich ist.</t>
  </si>
  <si>
    <t>ACCEPT_PHOTO</t>
  </si>
  <si>
    <t>Wir inszenieren nur unser eigenes Team.</t>
  </si>
  <si>
    <t>Perfekt. Respekt ist Teil der Wertung.</t>
  </si>
  <si>
    <t>ASK_FALLBACK</t>
  </si>
  <si>
    <t>Was, wenn kein Gardist sichtbar ist?</t>
  </si>
  <si>
    <t>Nutzt das definierte Fallbackmotiv mit dem offiziellen Zugang im Hintergrund.</t>
  </si>
  <si>
    <t>{"fallback":true}</t>
  </si>
  <si>
    <t>SWISS_GUARD_POSE</t>
  </si>
  <si>
    <t>[Schweizergarde] Ich führe eine historische Haltung vor.</t>
  </si>
  <si>
    <t>Statisch und sicher – keine Waffenbewegung.</t>
  </si>
  <si>
    <t>{"classCheck":"SWISS_GUARD","bonusRubric":true}</t>
  </si>
  <si>
    <t>M-D1-01-MID</t>
  </si>
  <si>
    <t>M-D1-01-N2</t>
  </si>
  <si>
    <t>Die Garde ist kein Requisit. Euer Team spielt die Szene; der Ort liefert den Kontext.</t>
  </si>
  <si>
    <t>M-D1-01-N3</t>
  </si>
  <si>
    <t>Sauber gerahmt, respektvoll aufgenommen. Genau so sieht Mut ohne Gedränge aus.</t>
  </si>
  <si>
    <t>M-D1-02-N1</t>
  </si>
  <si>
    <t>Keine exakte Pose. Wählt einen Engel, erkennt sein großes Attribut und übersetzt die Stimmung in ein einziges Teamfoto.</t>
  </si>
  <si>
    <t>ACCEPT_ANGEL</t>
  </si>
  <si>
    <t>Wir wählen eine sichere Position.</t>
  </si>
  <si>
    <t>Dann lasst die Brücke weiterfließen.</t>
  </si>
  <si>
    <t>ASK_OPEN</t>
  </si>
  <si>
    <t>Wie frei ist die Interpretation?</t>
  </si>
  <si>
    <t>Sehr frei, solange Engel oder Passionssymbol erkennbar inspiriert haben.</t>
  </si>
  <si>
    <t>{"rubricHint":true}</t>
  </si>
  <si>
    <t>JOKE_WINGS</t>
  </si>
  <si>
    <t>Wer bekommt die Flügel?</t>
  </si>
  <si>
    <t>Wer am wenigsten darum bittet.</t>
  </si>
  <si>
    <t>{"cosmetic":"wings"}</t>
  </si>
  <si>
    <t>M-D1-02-MID</t>
  </si>
  <si>
    <t>M-D1-02-N2</t>
  </si>
  <si>
    <t>Flügel sind optional. Freie Gehfläche nicht.</t>
  </si>
  <si>
    <t>M-D1-02-N3</t>
  </si>
  <si>
    <t>Das Bild wirkt wie Rom: ein wenig feierlich, ein wenig übertrieben, erstaunlich fotogen.</t>
  </si>
  <si>
    <t>M-D1-03-N1</t>
  </si>
  <si>
    <t>Drei Brunnen, drei Figuren, drei Bilder. Keine Kopie desselben Schulterzuckens. Findet je eine große Pose, die auch aus sicherer Entfernung funktioniert.</t>
  </si>
  <si>
    <t>ACCEPT_THREE</t>
  </si>
  <si>
    <t>Wir liefern drei unterschiedliche Posen.</t>
  </si>
  <si>
    <t>Dann weist jeder Station eine Bildnummer zu.</t>
  </si>
  <si>
    <t>ASK_SEQUENCE</t>
  </si>
  <si>
    <t>Müssen wir eine Reihenfolge einhalten?</t>
  </si>
  <si>
    <t>Nein. Der Server ordnet per Stations-ID; Upload bleibt am jeweiligen Brunnenradius.</t>
  </si>
  <si>
    <t>{"techHint":true}</t>
  </si>
  <si>
    <t>SCULPTOR_POSE</t>
  </si>
  <si>
    <t>[Bildhauer] Ich lese die großen Bewegungsachsen.</t>
  </si>
  <si>
    <t>Das gibt einen Rubrikbonus, wenn es im Bild erkennbar ist.</t>
  </si>
  <si>
    <t>{"classCheck":"SCULPTOR","bonusRubric":true}</t>
  </si>
  <si>
    <t>M-D1-03-MID</t>
  </si>
  <si>
    <t>M-D1-03-N2</t>
  </si>
  <si>
    <t>Neptun, Mitte, Mohr – jede Station braucht ein eigenes Bild und eine eigene Idee.</t>
  </si>
  <si>
    <t>M-D1-03-N3</t>
  </si>
  <si>
    <t>Drei Bilder, ein Platz, null austauschbare Posen. Die Chronik nimmt sie.</t>
  </si>
  <si>
    <t>M-LT-01-N1</t>
  </si>
  <si>
    <t>Zwölf Bilder. Kein Text, kein Video, keine dreizehnte Ausrede. Erzählt eine Geschichte, in der jede eurer Klassen etwas tut – nicht nur am Rand herumsteht.</t>
  </si>
  <si>
    <t>ACCEPT_CHRONICLE</t>
  </si>
  <si>
    <t>Wir planen Anfang, Konflikt und Ende.</t>
  </si>
  <si>
    <t>Sehr gut. Ihr dürft Bilder später ersetzen, solange es höchstens zwölf bleiben.</t>
  </si>
  <si>
    <t>ASK_CLASSES</t>
  </si>
  <si>
    <t>Müssen alle vier Klassen vorkommen?</t>
  </si>
  <si>
    <t>Alle Klassen, die tatsächlich in eurem Team sind, müssen erkennbar handeln.</t>
  </si>
  <si>
    <t>JOKE_THIRTEEN</t>
  </si>
  <si>
    <t>Was passiert mit Bild dreizehn?</t>
  </si>
  <si>
    <t>Es wird von der römischen Bürokratie adoptiert und nie wieder gesehen.</t>
  </si>
  <si>
    <t>{"cosmetic":"photo_13"}</t>
  </si>
  <si>
    <t>M-LT-01-MID</t>
  </si>
  <si>
    <t>M-LT-01-N2</t>
  </si>
  <si>
    <t>Ein gutes Bild verändert die Lage. Ein schönes Bild ohne Funktion ist Dekoration.</t>
  </si>
  <si>
    <t>M-LT-01-N3</t>
  </si>
  <si>
    <t>Eure zwölf Bilder haben Anfang, Wendung und Ende. Die Chronik geht zur Jury – und ich behalte das Recht auf dramatisches Nicken.</t>
  </si>
  <si>
    <t>M-D2-01-N1</t>
  </si>
  <si>
    <t>startbereit</t>
  </si>
  <si>
    <t>Fünf Bilder: Start, Angriff, Wendung, Beinahe-Sturz, Sieg. Ihr rennt nicht. Die Kamera macht die Geschwindigkeit; eure Knie bleiben unhistorisch heil.</t>
  </si>
  <si>
    <t>ACCEPT_RACE</t>
  </si>
  <si>
    <t>Wir inszenieren das Rennen statisch.</t>
  </si>
  <si>
    <t>Perfekt. Positionen wechseln erst nach jeder Aufnahme.</t>
  </si>
  <si>
    <t>ASK_DIRECTION</t>
  </si>
  <si>
    <t>Welche Richtung ist sicher?</t>
  </si>
  <si>
    <t>Verwendet ausschließlich den im Content-Datensatz freigegebenen Korridor.</t>
  </si>
  <si>
    <t>{"safetyHint":true}</t>
  </si>
  <si>
    <t>CONDOTTIERE_CHARIOT</t>
  </si>
  <si>
    <t>[Condottiere] Ich plane die Formationsbilder.</t>
  </si>
  <si>
    <t>Dann bleibt die Formation im Bild, nicht im Weg.</t>
  </si>
  <si>
    <t>{"classCheck":"CONDOTTIERE","bonusRubric":true}</t>
  </si>
  <si>
    <t>M-D2-01-MID</t>
  </si>
  <si>
    <t>M-D2-01-N2</t>
  </si>
  <si>
    <t>Bild drei braucht die Wendung. Sonst ist es nur ein sehr langer Parkplatz mit Togen.</t>
  </si>
  <si>
    <t>M-D2-01-N3</t>
  </si>
  <si>
    <t>Exakt fünf. Dramatisch, lesbar, niemand überfahren. Das nenne ich einen Sieg.</t>
  </si>
  <si>
    <t>M-D2-02-N1</t>
  </si>
  <si>
    <t>Drei Bilder. Herausforderung, Wendepunkt, Gnade. Keine echten Schläge; wer Realismus mit blauen Flecken verwechselt, trainiert bei den Tauben.</t>
  </si>
  <si>
    <t>ACCEPT_GLADIATOR</t>
  </si>
  <si>
    <t>Wir arbeiten mit statischen Posen.</t>
  </si>
  <si>
    <t>Genehmigt.</t>
  </si>
  <si>
    <t>ASK_PROPS</t>
  </si>
  <si>
    <t>Dürfen wir Requisiten verwenden?</t>
  </si>
  <si>
    <t>Nur weiche, ungefährliche Gegenstände; keine realistischen Waffen.</t>
  </si>
  <si>
    <t>SWISS_GUARD_STANCE</t>
  </si>
  <si>
    <t>[Schweizergarde] Ich zeige eine defensive Haltung.</t>
  </si>
  <si>
    <t>Statisch, kontrolliert, sehr fotogen.</t>
  </si>
  <si>
    <t>M-D2-02-MID</t>
  </si>
  <si>
    <t>M-D2-02-N2</t>
  </si>
  <si>
    <t>Die stärkste Pose hält still. Die schwächste braucht zehn Anläufe und blockiert den Weg.</t>
  </si>
  <si>
    <t>M-D2-02-N3</t>
  </si>
  <si>
    <t>Guter Kampf: klare Geschichte, niemand verletzt, Kolosseum noch da.</t>
  </si>
  <si>
    <t>M-D2-03-N1</t>
  </si>
  <si>
    <t>skeptisch neugierig</t>
  </si>
  <si>
    <t>Verkauft mir ein Souvenir, das höchstens fünf Euro kostet. Euer Review dauert 30 bis 60 Sekunden: Aufnahme startet erst mit eurem Kamerabefehl, stoppt bei 60 automatisch, und ein zu kurzer Versuch darf wiederholt werden. Nennt Nutzen, schlimmste Eigenschaft und ein Urteil, das auch nach Gelato noch gilt.</t>
  </si>
  <si>
    <t>ACCEPT_REVIEW</t>
  </si>
  <si>
    <t>Wir liefern ein ehrliches Kurzreview.</t>
  </si>
  <si>
    <t>Dann zeigt den Gegenstand und bleibt unter sechzig Sekunden.</t>
  </si>
  <si>
    <t>ASK_PURCHASE</t>
  </si>
  <si>
    <t>Müssen wir hier kaufen?</t>
  </si>
  <si>
    <t>Nein. Kauf beliebig vorher; nur Aufnahme und Upload erfolgen hier.</t>
  </si>
  <si>
    <t>{"ruleHint":true}</t>
  </si>
  <si>
    <t>JOKE_FIVE</t>
  </si>
  <si>
    <t>Was ist mit 5,01 Euro?</t>
  </si>
  <si>
    <t>Wirtschaftskrise. Unzulässig.</t>
  </si>
  <si>
    <t>{"cosmetic":"price_joke"}</t>
  </si>
  <si>
    <t>M-D2-03-MID</t>
  </si>
  <si>
    <t>M-D2-03-N2</t>
  </si>
  <si>
    <t>Ein Preis ohne Gegenstand ist Gerücht. Ein Review ohne Kritik ist Werbung. Drückt erst AUFNAHME, wenn Gegenstand und Sprecher bereit sind; ab dann läuft die Minute.</t>
  </si>
  <si>
    <t>START_REVIEW_TIMER</t>
  </si>
  <si>
    <t>Gegenstand und Sprecher sind bereit: Aufnahme.</t>
  </si>
  <si>
    <t>Die Minute läuft nach Serverbestätigung; bei 60 Sekunden stoppt die Kamera. Unter 30 Sekunden dürft ihr neu aufnehmen.</t>
  </si>
  <si>
    <t>{"startTimer":"TMR-M-D2-03-S05","openObjective":true}</t>
  </si>
  <si>
    <t>M-D2-03-N3</t>
  </si>
  <si>
    <t>Kurz, ehrlich, unterhaltsam. Ich würde es kaufen – oder zumindest sehr überzeugend nicht kaufen.</t>
  </si>
  <si>
    <t>H-D1-01-N1</t>
  </si>
  <si>
    <t>misstrauisch verschlafen</t>
  </si>
  <si>
    <t>Vier sind sichtbar. Eine davon beobachtet zurück. Zählt – langsam genug, dass ihr nicht dieselbe zweimal nehmt.</t>
  </si>
  <si>
    <t>ACCEPT_TURTLE</t>
  </si>
  <si>
    <t>Wir zählen genau.</t>
  </si>
  <si>
    <t>Ich warte. Das kann ich.</t>
  </si>
  <si>
    <t>ASK_FIGHT</t>
  </si>
  <si>
    <t>Müssen wir kämpfen?</t>
  </si>
  <si>
    <t>Nur virtuell. Der Platz bleibt ruhig.</t>
  </si>
  <si>
    <t>JOKE_FAST</t>
  </si>
  <si>
    <t>Bist du die schnellste?</t>
  </si>
  <si>
    <t>Im Vergleich zu den anderen drei: erschreckend.</t>
  </si>
  <si>
    <t>{"cosmetic":"fast_turtle"}</t>
  </si>
  <si>
    <t>H-D1-01-MID</t>
  </si>
  <si>
    <t>H-D1-01-N2</t>
  </si>
  <si>
    <t>Richtig. Nun beweist, dass Schnelligkeit nicht nur beim Tippen existiert.</t>
  </si>
  <si>
    <t>H-D1-01-N3</t>
  </si>
  <si>
    <t>Akzeptabel. Für Wesen ohne Panzer sogar bemerkenswert.</t>
  </si>
  <si>
    <t>H-D1-02-N1</t>
  </si>
  <si>
    <t>ertappt und angriffslustig</t>
  </si>
  <si>
    <t>Drei Arkaden? Zwei? Sieben? Niemand sieht genau hin. Deshalb gehört dieser Wasserweg praktisch mir.</t>
  </si>
  <si>
    <t>ACCEPT_RAT</t>
  </si>
  <si>
    <t>Wir prüfen die Arkaden.</t>
  </si>
  <si>
    <t>Versucht es ruhig.</t>
  </si>
  <si>
    <t>ASK_SMELL</t>
  </si>
  <si>
    <t>Riecht eine virtuelle Ratte?</t>
  </si>
  <si>
    <t>Nur in sehr ambitionierter Version zwei.</t>
  </si>
  <si>
    <t>{"cosmetic":"smell"}</t>
  </si>
  <si>
    <t>SCULPTOR_STONE</t>
  </si>
  <si>
    <t>[Bildhauer] Ich trenne antiken Bogen von moderner Kante.</t>
  </si>
  <si>
    <t>Angeber. Nützlicher Angeber.</t>
  </si>
  <si>
    <t>H-D1-02-MID</t>
  </si>
  <si>
    <t>H-D1-02-N2</t>
  </si>
  <si>
    <t>Oh. Ihr könnt zählen. Das macht euch gefährlich langweilig.</t>
  </si>
  <si>
    <t>H-D1-02-N3</t>
  </si>
  <si>
    <t>Gut, gut. Wasserweg sauber. Aber die Münze behalte ich als Verwaltungsgebühr.</t>
  </si>
  <si>
    <t>H-D1-03-N1</t>
  </si>
  <si>
    <t>kichernd streitsüchtig</t>
  </si>
  <si>
    <t>Er trägt die Flöte! – Du trägst die Trauben! – Lüge! Menschen, ordnet uns, bevor wir höflich werden müssen.</t>
  </si>
  <si>
    <t>ACCEPT_SATYRS</t>
  </si>
  <si>
    <t>Wir ordnen eure Merkmale.</t>
  </si>
  <si>
    <t>Endlich Schiedsrichter!</t>
  </si>
  <si>
    <t>ASK_PEACE</t>
  </si>
  <si>
    <t>Könnt ihr euch einigen?</t>
  </si>
  <si>
    <t>Nein. Nächste Frage.</t>
  </si>
  <si>
    <t>{"cosmetic":"satyr_peace"}</t>
  </si>
  <si>
    <t>CONDOTTIERE_DUEL</t>
  </si>
  <si>
    <t>[Condottiere] Einer nach dem anderen.</t>
  </si>
  <si>
    <t>Langweilig – aber effizient.</t>
  </si>
  <si>
    <t>{"classCheck":"CONDOTTIERE","combatModifier":true}</t>
  </si>
  <si>
    <t>H-D1-03-MID</t>
  </si>
  <si>
    <t>H-D1-03-N2</t>
  </si>
  <si>
    <t>Fast richtig. Unverschämt richtig.</t>
  </si>
  <si>
    <t>H-D1-03-N3</t>
  </si>
  <si>
    <t>Wir akzeptieren das Urteil. Vorläufig. Bis zum nächsten Team.</t>
  </si>
  <si>
    <t>H-D2-01-N1</t>
  </si>
  <si>
    <t>vorsichtig hoffnungsvoll</t>
  </si>
  <si>
    <t>Zwei Wächter, ein Tor, viele Zeichen. Ihr braucht nicht jedes Symbol zu lesen – nur die Reihenfolge von Stein, Metall und Licht richtig setzen.</t>
  </si>
  <si>
    <t>ACCEPT_ALCHEMY</t>
  </si>
  <si>
    <t>Wir lösen die kurze Zuordnung.</t>
  </si>
  <si>
    <t>Zählt zuerst die Wächter.</t>
  </si>
  <si>
    <t>ASK_SYMBOLS</t>
  </si>
  <si>
    <t>Müssen wir kleine Inschriften lesen?</t>
  </si>
  <si>
    <t>Nein. Kleine oder verwitterte Zeichen sind nie Pflicht.</t>
  </si>
  <si>
    <t>SCULPTOR_GUARDIANS</t>
  </si>
  <si>
    <t>[Bildhauer] Ich prüfe die beiden Wächterfiguren.</t>
  </si>
  <si>
    <t>Dann beginnt mit Haltung und Material.</t>
  </si>
  <si>
    <t>H-D2-01-MID</t>
  </si>
  <si>
    <t>H-D2-01-N2</t>
  </si>
  <si>
    <t>Alchemie liebt Geheimnisse. Implementierung liebt eindeutige Antworten. Heute gewinnt die Implementierung.</t>
  </si>
  <si>
    <t>H-D2-01-N3</t>
  </si>
  <si>
    <t>Die Tür bleibt aus Stein, aber euer Auftrag öffnet sich. Das genügt.</t>
  </si>
  <si>
    <t>H-D2-02-N1</t>
  </si>
  <si>
    <t>flüsternd ungeduldig</t>
  </si>
  <si>
    <t>Der Garten zeigt mehr Richtungen, als ein verlorener Mensch zugeben möchte. Findet die Windrose, wählt Norden und gebt das Wort USCITA ein.</t>
  </si>
  <si>
    <t>ACCEPT_WIND</t>
  </si>
  <si>
    <t>Wir lesen die Windrose.</t>
  </si>
  <si>
    <t>Dann beginnt bei Norden.</t>
  </si>
  <si>
    <t>ASK_EXIT</t>
  </si>
  <si>
    <t>Warum USCITA?</t>
  </si>
  <si>
    <t>Weil selbst poetische Labyrinthe einen Ausgang brauchen.</t>
  </si>
  <si>
    <t>{"hint":true}</t>
  </si>
  <si>
    <t>JOKE_CIRCLE</t>
  </si>
  <si>
    <t>Was, wenn wir im Kreis gehen?</t>
  </si>
  <si>
    <t>Dann nennt ihr es bitte nicht Navigation.</t>
  </si>
  <si>
    <t>{"cosmetic":"circle"}</t>
  </si>
  <si>
    <t>H-D2-02-MID</t>
  </si>
  <si>
    <t>H-D2-02-N2</t>
  </si>
  <si>
    <t>Eine Richtung ist kein Gefühl. Prüft das Symbol.</t>
  </si>
  <si>
    <t>H-D2-02-N3</t>
  </si>
  <si>
    <t>USCITA. Ein Ausgang, bevor ihr einen ganzen Kreis daraus macht.</t>
  </si>
  <si>
    <t>B-D1-01-N1</t>
  </si>
  <si>
    <t>triumphal herausfordernd</t>
  </si>
  <si>
    <t>Rom hört mich, bevor es mich sieht. Stellt eure Teams auf, meldet Bereitschaft und zeigt, ob ihr zwischen Donner und Befehl unterscheiden könnt.</t>
  </si>
  <si>
    <t>JOIN_BOSS</t>
  </si>
  <si>
    <t>Unser Team tritt dem Weltkampf bei.</t>
  </si>
  <si>
    <t>Beitritt bestätigt. Bleibt im sicheren Eventbereich.</t>
  </si>
  <si>
    <t>{"joinBoss":true}</t>
  </si>
  <si>
    <t>ASK_MECHANIC</t>
  </si>
  <si>
    <t>Welche Mechanik kommt zuerst?</t>
  </si>
  <si>
    <t>Deckungsruf, dann gemeinsames Zeitfenster für Schwachstellen.</t>
  </si>
  <si>
    <t>SWISS_GUARD_RALLY</t>
  </si>
  <si>
    <t>[Schweizergarde] Ich setze den Schutzruf.</t>
  </si>
  <si>
    <t>Dann wähle den Moment, nicht die Lautstärke.</t>
  </si>
  <si>
    <t>{"classCheck":"SWISS_GUARD","bossRole":"defense"}</t>
  </si>
  <si>
    <t>B-D1-01-MID</t>
  </si>
  <si>
    <t>B-D1-01-N2</t>
  </si>
  <si>
    <t>Die Lunte brennt. Markierte Teams gehen in Deckung; die übrigen brechen meine Stellung.</t>
  </si>
  <si>
    <t>B-D1-01-N3</t>
  </si>
  <si>
    <t>Treffer anerkannt. Der Hügel gehört heute euren Geschichten – und meine Kanone braucht beleidigt neue Farbe.</t>
  </si>
  <si>
    <t>B-D2-01-N1</t>
  </si>
  <si>
    <t>eisig feierlich</t>
  </si>
  <si>
    <t>Rom bedeckt Fehler gern mit Marmor. Ich bevorzuge Schnee. Bringt geordnete Erinnerung, sonst friert jede Spur zu einer schönen Lüge.</t>
  </si>
  <si>
    <t>Beitritt bestätigt. Bossfläche und Sicherheitsgrenzen beachten.</t>
  </si>
  <si>
    <t>Ist der Schnee historischer Fakt?</t>
  </si>
  <si>
    <t>Nein. Die Quest kennzeichnet ihn als Legendenrahmung; belegte Aussagen stammen nur aus Fact-Sets.</t>
  </si>
  <si>
    <t>{"sourceClarity":true}</t>
  </si>
  <si>
    <t>CLERIC_WARMTH</t>
  </si>
  <si>
    <t>[Ordensperson] Ich stärke die gemeinsame Wärme.</t>
  </si>
  <si>
    <t>Dann koordiniere Heilung und Schutz im globalen Fenster.</t>
  </si>
  <si>
    <t>{"classCheck":"CLERIC","bossRole":"support"}</t>
  </si>
  <si>
    <t>B-D2-01-MID</t>
  </si>
  <si>
    <t>B-D2-01-N2</t>
  </si>
  <si>
    <t>Eure Schichten halten. Jetzt teilt Wärme, Schutz und Angriff zwischen den Teams.</t>
  </si>
  <si>
    <t>B-D2-01-N3</t>
  </si>
  <si>
    <t>Der Schnee weicht. Nicht weil die Legende falsch war – sondern weil ihr sie als Legende erkannt und trotzdem ernst genommen habt.</t>
  </si>
  <si>
    <t>Via Romae – Figurenbibel v0.9</t>
  </si>
  <si>
    <t>36 Charaktere mit promptfähiger Bildbeschreibung, mindestens einer Stance und referenziertem Startframe-/Loop-Profil; Bosse besitzen je eine Stance pro Kampfphase.</t>
  </si>
  <si>
    <t>Character-ID</t>
  </si>
  <si>
    <t>Anzeigename</t>
  </si>
  <si>
    <t>Kanonstatus</t>
  </si>
  <si>
    <t>Rolle</t>
  </si>
  <si>
    <t>Quest-IDs</t>
  </si>
  <si>
    <t>Charakter / Persönlichkeit</t>
  </si>
  <si>
    <t>Stimmungsbogen</t>
  </si>
  <si>
    <t>Sprechweise</t>
  </si>
  <si>
    <t>Visueller Anker</t>
  </si>
  <si>
    <t>Do / Don't</t>
  </si>
  <si>
    <t>Stance-Referenz</t>
  </si>
  <si>
    <t>Stance-Anzahl</t>
  </si>
  <si>
    <t>Animationsprofil</t>
  </si>
  <si>
    <t>Asset-Prompt-Referenz</t>
  </si>
  <si>
    <t>FIKTIONAL</t>
  </si>
  <si>
    <t>Geist eines Schweizergardisten</t>
  </si>
  <si>
    <t>pflichtbewusst, trocken, beschützend; prüft erst, vertraut dann</t>
  </si>
  <si>
    <t>Wachsamkeit → widerwilliger Respekt</t>
  </si>
  <si>
    <t>kurze militärische Sätze; trockener Schweizer Humor</t>
  </si>
  <si>
    <t>junger Gardist in renaissancezeitlicher blau-gelb-roter Uniform, dunkler Brustharnisch, Hellebarde, staubiger Umhang, ruhiger konzentrierter Blick</t>
  </si>
  <si>
    <t>Mobile-RPG-Charakterporträt, Ganzkörper oder Dreiviertelfigur, Renaissance-/Rom-Fantasy mit historisch plausiblen Materialien, junger Gardist in renaissancezeitlicher blau-gelb-roter Uniform, dunkler Brustharnisch, Hellebarde, staubiger Umhang, ruhiger konzentrierter Blick. Stimmung: angespannt und wachsam. Klare Silhouette, neutraler atmosphärischer Hintergrund, warmes Gold und dunkle Erdtöne, keine Schrift, kein Logo, keine moderne Kleidung, keine Fotokopie einer realen Person.</t>
  </si>
  <si>
    <t>Historische Fakten nie improvisieren; Fiktion als Fiktion markieren; keine langen Monologe.</t>
  </si>
  <si>
    <t>STANCE:npc_konrad_schildwacht:IDLE_READY</t>
  </si>
  <si>
    <t>2–4 s | 1280×720 (720p) | seamless loop</t>
  </si>
  <si>
    <t>Asset-Prompts!CHAR-PORTRAIT:npc_konrad_schildwacht</t>
  </si>
  <si>
    <t>pensionierter Condottiere</t>
  </si>
  <si>
    <t>eitel, taktisch brillant, allergisch gegen schlechte Befestigungen</t>
  </si>
  <si>
    <t>Spott → fachliches Interesse → kämpferische Begeisterung</t>
  </si>
  <si>
    <t>blumige Beleidigungen, präzise Befehle</t>
  </si>
  <si>
    <t>älterer italienischer Söldnerhauptmann, scharlachroter Mantel über dunkler Plattenrüstung, Federbarett, gepflegter Schnurrbart, Kartenrolle und Katzengrinsen</t>
  </si>
  <si>
    <t>Mobile-RPG-Charakterporträt, Ganzkörper oder Dreiviertelfigur, Renaissance-/Rom-Fantasy mit historisch plausiblen Materialien, älterer italienischer Söldnerhauptmann, scharlachroter Mantel über dunkler Plattenrüstung, Federbarett, gepflegter Schnurrbart, Kartenrolle und Katzengrinsen. Stimmung: spöttisch gelangweilt. Klare Silhouette, neutraler atmosphärischer Hintergrund, warmes Gold und dunkle Erdtöne, keine Schrift, kein Logo, keine moderne Kleidung, keine Fotokopie einer realen Person.</t>
  </si>
  <si>
    <t>STANCE:npc_capitano_malatesta:IDLE_READY</t>
  </si>
  <si>
    <t>Asset-Prompts!CHAR-PORTRAIT:npc_capitano_malatesta</t>
  </si>
  <si>
    <t>Stadtgeist der Piazza del Popolo</t>
  </si>
  <si>
    <t>neugierig, schnell, leicht schadenfroh</t>
  </si>
  <si>
    <t>Rätselnde Distanz → begeisterte Weggefährtin</t>
  </si>
  <si>
    <t>Richtungsmetaphern und kurze Spitzen</t>
  </si>
  <si>
    <t>junge römische Stadtbotin, sandfarbener Reisemantel, drei bronzene Wegnadeln im Haar, kleine Kartenfragmente, wacher Blick, Wind bewegt den Stoff</t>
  </si>
  <si>
    <t>Mobile-RPG-Charakterporträt, Ganzkörper oder Dreiviertelfigur, Renaissance-/Rom-Fantasy mit historisch plausiblen Materialien, junge römische Stadtbotin, sandfarbener Reisemantel, drei bronzene Wegnadeln im Haar, kleine Kartenfragmente, wacher Blick, Wind bewegt den Stoff. Stimmung: spielerisch ungeduldig. Klare Silhouette, neutraler atmosphärischer Hintergrund, warmes Gold und dunkle Erdtöne, keine Schrift, kein Logo, keine moderne Kleidung, keine Fotokopie einer realen Person.</t>
  </si>
  <si>
    <t>STANCE:npc_flaminia_trivium:IDLE_READY</t>
  </si>
  <si>
    <t>Asset-Prompts!CHAR-PORTRAIT:npc_flaminia_trivium</t>
  </si>
  <si>
    <t>Erinnerungsgeist einer Schreiberin</t>
  </si>
  <si>
    <t>präzise, ruhig, fasziniert von fehlerhaften Übersetzungen</t>
  </si>
  <si>
    <t>Kühle Prüfung → warnende Verbündete</t>
  </si>
  <si>
    <t>knappe Bilder, korrigiert Begriffe höflich</t>
  </si>
  <si>
    <t>ägyptisch-römische Schreiberin als geisterhafte Steinfigur, Leinengewand, Schreibpalette, Sternsymbol im Haar, blassgoldene Hieroglyphen leuchten auf Armen</t>
  </si>
  <si>
    <t>Mobile-RPG-Charakterporträt, Ganzkörper oder Dreiviertelfigur, Renaissance-/Rom-Fantasy mit historisch plausiblen Materialien, ägyptisch-römische Schreiberin als geisterhafte Steinfigur, Leinengewand, Schreibpalette, Sternsymbol im Haar, blassgoldene Hieroglyphen leuchten auf Armen. Stimmung: kühl besorgt. Klare Silhouette, neutraler atmosphärischer Hintergrund, warmes Gold und dunkle Erdtöne, keine Schrift, kein Logo, keine moderne Kleidung, keine Fotokopie einer realen Person.</t>
  </si>
  <si>
    <t>STANCE:npc_seshat_pincio:IDLE_READY</t>
  </si>
  <si>
    <t>Asset-Prompts!CHAR-PORTRAIT:npc_seshat_pincio</t>
  </si>
  <si>
    <t>sprechender Brunnengeist</t>
  </si>
  <si>
    <t>melodramatisch, charmant, chronisch beleidigt über das Wort ‚gesunken‘</t>
  </si>
  <si>
    <t>Gekränkt → amüsiert → stolz</t>
  </si>
  <si>
    <t>nautische Metaphern und Seufzer</t>
  </si>
  <si>
    <t>kleiner Wassergeist in Form eines halb im Becken liegenden steinernen Boots, Gesicht aus Wasserreflexen, winziger Kapitänshut, barocke Ornamente</t>
  </si>
  <si>
    <t>Mobile-RPG-Charakterporträt, Ganzkörper oder Dreiviertelfigur, Renaissance-/Rom-Fantasy mit historisch plausiblen Materialien, kleiner Wassergeist in Form eines halb im Becken liegenden steinernen Boots, Gesicht aus Wasserreflexen, winziger Kapitänshut, barocke Ornamente. Stimmung: theatralisch gekränkt. Klare Silhouette, neutraler atmosphärischer Hintergrund, warmes Gold und dunkle Erdtöne, keine Schrift, kein Logo, keine moderne Kleidung, keine Fotokopie einer realen Person.</t>
  </si>
  <si>
    <t>STANCE:npc_barcaccia:IDLE_READY</t>
  </si>
  <si>
    <t>Asset-Prompts!CHAR-PORTRAIT:npc_barcaccia</t>
  </si>
  <si>
    <t>HISTORISCHE_FANTASY</t>
  </si>
  <si>
    <t>barocker Meister und Questgeber</t>
  </si>
  <si>
    <t>brillant, konkurrenzfreudig, großzügig bei echtem Können</t>
  </si>
  <si>
    <t>Prüfender Meister → begeisterter Regisseur</t>
  </si>
  <si>
    <t>schnell, bildhaft, selbstbewusst</t>
  </si>
  <si>
    <t>italienischer Barockbildhauer mittleren Alters, lockiges dunkles Haar, feiner Bart, weißes Hemd mit hochgekrempelten Ärmeln, dunkle Weste, Meißel und Skizzenbuch, lebhafte Hände</t>
  </si>
  <si>
    <t>Mobile-RPG-Charakterporträt, Ganzkörper oder Dreiviertelfigur, Renaissance-/Rom-Fantasy mit historisch plausiblen Materialien, italienischer Barockbildhauer mittleren Alters, lockiges dunkles Haar, feiner Bart, weißes Hemd mit hochgekrempelten Ärmeln, dunkle Weste, Meißel und Skizzenbuch, lebhafte Hände. Stimmung: kreativ gereizt. Klare Silhouette, neutraler atmosphärischer Hintergrund, warmes Gold und dunkle Erdtöne, keine Schrift, kein Logo, keine moderne Kleidung, keine Fotokopie einer realen Person.</t>
  </si>
  <si>
    <t>STANCE:npc_bernini_echo:IDLE_READY</t>
  </si>
  <si>
    <t>Asset-Prompts!CHAR-PORTRAIT:npc_bernini_echo</t>
  </si>
  <si>
    <t>strenger Bauherrengeist</t>
  </si>
  <si>
    <t>nüchtern, stolz, unbeeindruckt von Ausschmückung</t>
  </si>
  <si>
    <t>Prüfung → sachliche Zustimmung</t>
  </si>
  <si>
    <t>lapidar, konstruktiv, keine Metaphern ohne Statik</t>
  </si>
  <si>
    <t>römischer Staatsmann in schlichter Toga, kantiges Gesicht, Wachstafel, bronzene Messschnur, Buchstaben AGRIPPA als schwaches Licht hinter ihm</t>
  </si>
  <si>
    <t>Mobile-RPG-Charakterporträt, Ganzkörper oder Dreiviertelfigur, Renaissance-/Rom-Fantasy mit historisch plausiblen Materialien, römischer Staatsmann in schlichter Toga, kantiges Gesicht, Wachstafel, bronzene Messschnur, Buchstaben AGRIPPA als schwaches Licht hinter ihm. Stimmung: skeptisch. Klare Silhouette, neutraler atmosphärischer Hintergrund, warmes Gold und dunkle Erdtöne, keine Schrift, kein Logo, keine moderne Kleidung, keine Fotokopie einer realen Person.</t>
  </si>
  <si>
    <t>STANCE:npc_agrippa_echo:IDLE_READY</t>
  </si>
  <si>
    <t>Asset-Prompts!CHAR-PORTRAIT:npc_agrippa_echo</t>
  </si>
  <si>
    <t>kaiserlicher Archivar</t>
  </si>
  <si>
    <t>pedantisch, fair, heimlich begeistert von Mustern</t>
  </si>
  <si>
    <t>Genervter Archivar → zufriedener Systematiker</t>
  </si>
  <si>
    <t>ordnet alles in Kategorien; zählt halblaut</t>
  </si>
  <si>
    <t>römischer Archivar mit ockerfarbener Tunika, Lederrollenbehälter, zwei Pergamente – eines mit Hieroglyphen, eines mit Spiralzeichnung –, Tintenflecken an den Fingern</t>
  </si>
  <si>
    <t>Mobile-RPG-Charakterporträt, Ganzkörper oder Dreiviertelfigur, Renaissance-/Rom-Fantasy mit historisch plausiblen Materialien, römischer Archivar mit ockerfarbener Tunika, Lederrollenbehälter, zwei Pergamente – eines mit Hieroglyphen, eines mit Spiralzeichnung –, Tintenflecken an den Fingern. Stimmung: überarbeitet. Klare Silhouette, neutraler atmosphärischer Hintergrund, warmes Gold und dunkle Erdtöne, keine Schrift, kein Logo, keine moderne Kleidung, keine Fotokopie einer realen Person.</t>
  </si>
  <si>
    <t>STANCE:npc_cassius_archivar:IDLE_READY</t>
  </si>
  <si>
    <t>Asset-Prompts!CHAR-PORTRAIT:npc_cassius_archivar</t>
  </si>
  <si>
    <t>MYTHISCHE_FIKTION</t>
  </si>
  <si>
    <t>Personifikation der Wasserleitung</t>
  </si>
  <si>
    <t>scharfsinnig, fürsorglich, verachtet Verschwendung</t>
  </si>
  <si>
    <t>Empörung → gereinigter Stolz</t>
  </si>
  <si>
    <t>fließende Sätze, dann plötzliche scharfe Befehle</t>
  </si>
  <si>
    <t>römische Wasserhüterin aus klarem blaugrünem Wasser, Travertin-Schulterplatten, Muschelschmuck, Amphore, Lichtlinien wie Aquäduktkanäle im Gewand</t>
  </si>
  <si>
    <t>Mobile-RPG-Charakterporträt, Ganzkörper oder Dreiviertelfigur, Renaissance-/Rom-Fantasy mit historisch plausiblen Materialien, römische Wasserhüterin aus klarem blaugrünem Wasser, Travertin-Schulterplatten, Muschelschmuck, Amphore, Lichtlinien wie Aquäduktkanäle im Gewand. Stimmung: empört und alarmiert. Klare Silhouette, neutraler atmosphärischer Hintergrund, warmes Gold und dunkle Erdtöne, keine Schrift, kein Logo, keine moderne Kleidung, keine Fotokopie einer realen Person.</t>
  </si>
  <si>
    <t>STANCE:npc_aqua_virgo:IDLE_READY</t>
  </si>
  <si>
    <t>Asset-Prompts!CHAR-PORTRAIT:npc_aqua_virgo</t>
  </si>
  <si>
    <t>militärischer Ratgeber</t>
  </si>
  <si>
    <t>stolz, direkt, strategisch, respektiert unabhängiges Denken</t>
  </si>
  <si>
    <t>Misstrauen → Prüfung → respektvolle Allianz</t>
  </si>
  <si>
    <t>knappe Fragen; verachtet Schmeichelei</t>
  </si>
  <si>
    <t>albanischer Renaissancefeldherr, dunkler Mantel, verzierter Helm mit Ziegenkopf-Silhouette, Schwertgurt, markantes Profil, steinerne Textur an einer Gesichtshälfte</t>
  </si>
  <si>
    <t>Mobile-RPG-Charakterporträt, Ganzkörper oder Dreiviertelfigur, Renaissance-/Rom-Fantasy mit historisch plausiblen Materialien, albanischer Renaissancefeldherr, dunkler Mantel, verzierter Helm mit Ziegenkopf-Silhouette, Schwertgurt, markantes Profil, steinerne Textur an einer Gesichtshälfte. Stimmung: misstrauisch. Klare Silhouette, neutraler atmosphärischer Hintergrund, warmes Gold und dunkle Erdtöne, keine Schrift, kein Logo, keine moderne Kleidung, keine Fotokopie einer realen Person.</t>
  </si>
  <si>
    <t>STANCE:npc_skanderbeg_echo:IDLE_READY</t>
  </si>
  <si>
    <t>Asset-Prompts!CHAR-PORTRAIT:npc_skanderbeg_echo</t>
  </si>
  <si>
    <t>Hüterin eines Marienzeichens</t>
  </si>
  <si>
    <t>warm, aufmerksam, mit sanftem Witz</t>
  </si>
  <si>
    <t>Leise Prüfung → herzliche Bestätigung</t>
  </si>
  <si>
    <t>kurz, bildhaft, respektvoll</t>
  </si>
  <si>
    <t>römische Frau in schlichtem dunkelblauem Mantel, kleine Messinglaterne, vier geschnitzte Figuren am Gürtel, warmes Licht, ruhiges offenes Gesicht</t>
  </si>
  <si>
    <t>Mobile-RPG-Charakterporträt, Ganzkörper oder Dreiviertelfigur, Renaissance-/Rom-Fantasy mit historisch plausiblen Materialien, römische Frau in schlichtem dunkelblauem Mantel, kleine Messinglaterne, vier geschnitzte Figuren am Gürtel, warmes Licht, ruhiges offenes Gesicht. Stimmung: ruhig prüfend. Klare Silhouette, neutraler atmosphärischer Hintergrund, warmes Gold und dunkle Erdtöne, keine Schrift, kein Logo, keine moderne Kleidung, keine Fotokopie einer realen Person.</t>
  </si>
  <si>
    <t>STANCE:npc_lucia_laternenhueterin:IDLE_READY</t>
  </si>
  <si>
    <t>Asset-Prompts!CHAR-PORTRAIT:npc_lucia_laternenhueterin</t>
  </si>
  <si>
    <t>skeptischer Philosoph und Wegweiser</t>
  </si>
  <si>
    <t>scharf, unabhängig, provokant, neugierig auf Begründungen</t>
  </si>
  <si>
    <t>Provokation → politischer Vergleich → respektvolle Debatte</t>
  </si>
  <si>
    <t>pointierte Fragen, keine bequemen Antworten</t>
  </si>
  <si>
    <t>dunkle bronzene Renaissancefigur mit Kapuze, geschlossenes Buch unter gekreuzten Händen, glimmende rote Reflexe, ernster Blick, Mantel im Wind</t>
  </si>
  <si>
    <t>Mobile-RPG-Charakterporträt, Ganzkörper oder Dreiviertelfigur, Renaissance-/Rom-Fantasy mit historisch plausiblen Materialien, dunkle bronzene Renaissancefigur mit Kapuze, geschlossenes Buch unter gekreuzten Händen, glimmende rote Reflexe, ernster Blick, Mantel im Wind. Stimmung: finster amüsiert. Klare Silhouette, neutraler atmosphärischer Hintergrund, warmes Gold und dunkle Erdtöne, keine Schrift, kein Logo, keine moderne Kleidung, keine Fotokopie einer realen Person.</t>
  </si>
  <si>
    <t>STANCE:npc_giordano_bruno_echo:IDLE_READY</t>
  </si>
  <si>
    <t>Asset-Prompts!CHAR-PORTRAIT:npc_giordano_bruno_echo</t>
  </si>
  <si>
    <t>geisterhafte Bühnenmeisterin Roms</t>
  </si>
  <si>
    <t>dramatisch, effizient, gnadenlos gegenüber schlechtem Timing</t>
  </si>
  <si>
    <t>Produktionskrise → geordnete Akte → Applaus</t>
  </si>
  <si>
    <t>Theaterkommandos und bissige Regiehinweise</t>
  </si>
  <si>
    <t>römisch-barocke Bühnenmeisterin, schwarzes Kleid mit goldenen Nähten, Halbmaske am Gürtel, Pergament-Spielplan, Kreidestaub, entschlossener Blick</t>
  </si>
  <si>
    <t>Mobile-RPG-Charakterporträt, Ganzkörper oder Dreiviertelfigur, Renaissance-/Rom-Fantasy mit historisch plausiblen Materialien, römisch-barocke Bühnenmeisterin, schwarzes Kleid mit goldenen Nähten, Halbmaske am Gürtel, Pergament-Spielplan, Kreidestaub, entschlossener Blick. Stimmung: hektisch begeistert. Klare Silhouette, neutraler atmosphärischer Hintergrund, warmes Gold und dunkle Erdtöne, keine Schrift, kein Logo, keine moderne Kleidung, keine Fotokopie einer realen Person.</t>
  </si>
  <si>
    <t>STANCE:npc_marcella_scaena:IDLE_READY</t>
  </si>
  <si>
    <t>Asset-Prompts!CHAR-PORTRAIT:npc_marcella_scaena</t>
  </si>
  <si>
    <t>Inselarzt und Hüter der Schiffsform</t>
  </si>
  <si>
    <t>gelassen, fürsorglich, feiner schwarzer Humor</t>
  </si>
  <si>
    <t>Diagnose → Symbolsuche → Heilung</t>
  </si>
  <si>
    <t>medizinische Bilder, ruhige Anweisungen</t>
  </si>
  <si>
    <t>antiker römischer Arzt, helles Leinengewand, Ledertasche, Stab mit einzelner Schlange, feuchte Travertinfragmente, freundliche müde Augen</t>
  </si>
  <si>
    <t>Mobile-RPG-Charakterporträt, Ganzkörper oder Dreiviertelfigur, Renaissance-/Rom-Fantasy mit historisch plausiblen Materialien, antiker römischer Arzt, helles Leinengewand, Ledertasche, Stab mit einzelner Schlange, feuchte Travertinfragmente, freundliche müde Augen. Stimmung: besorgt, aber kontrolliert. Klare Silhouette, neutraler atmosphärischer Hintergrund, warmes Gold und dunkle Erdtöne, keine Schrift, kein Logo, keine moderne Kleidung, keine Fotokopie einer realen Person.</t>
  </si>
  <si>
    <t>STANCE:npc_tiberinus_medicus:IDLE_READY</t>
  </si>
  <si>
    <t>Asset-Prompts!CHAR-PORTRAIT:npc_tiberinus_medicus</t>
  </si>
  <si>
    <t>musikalische Heiligenfigur</t>
  </si>
  <si>
    <t>sanft, standhaft, skeptisch gegenüber übertriebenen Legenden</t>
  </si>
  <si>
    <t>Leise Unsicherheit → klare Trennung von Fakt und Legende</t>
  </si>
  <si>
    <t>rhythmische, ruhige Sätze; musikalische Bilder</t>
  </si>
  <si>
    <t>junge frühchristliche Frau, cremefarbenes Gewand, dunkelroter Mantel, kleine tragbare Leier, goldene Mosaiklichtpunkte, ernster freundlicher Blick</t>
  </si>
  <si>
    <t>Mobile-RPG-Charakterporträt, Ganzkörper oder Dreiviertelfigur, Renaissance-/Rom-Fantasy mit historisch plausiblen Materialien, junge frühchristliche Frau, cremefarbenes Gewand, dunkelroter Mantel, kleine tragbare Leier, goldene Mosaiklichtpunkte, ernster freundlicher Blick. Stimmung: nachdenklich. Klare Silhouette, neutraler atmosphärischer Hintergrund, warmes Gold und dunkle Erdtöne, keine Schrift, kein Logo, keine moderne Kleidung, keine Fotokopie einer realen Person.</t>
  </si>
  <si>
    <t>STANCE:npc_cecilia_vox:IDLE_READY</t>
  </si>
  <si>
    <t>Asset-Prompts!CHAR-PORTRAIT:npc_cecilia_vox</t>
  </si>
  <si>
    <t>kämpferische Wegweiserin</t>
  </si>
  <si>
    <t>mutig, ungeduldig mit Prahlerei, loyal zum Team</t>
  </si>
  <si>
    <t>Marschbefehl → Erinnerungsroute → gemeinsamer Kampf</t>
  </si>
  <si>
    <t>energiegeladen, direkt, gelegentlich spöttisch</t>
  </si>
  <si>
    <t>brasilianisch-italienische Freiheitskämpferin zu Pferd, dunkles Reitkleid, rotes Halstuch, Wind im Haar, Pistole gesenkt, heroisch aber menschlich</t>
  </si>
  <si>
    <t>Mobile-RPG-Charakterporträt, Ganzkörper oder Dreiviertelfigur, Renaissance-/Rom-Fantasy mit historisch plausiblen Materialien, brasilianisch-italienische Freiheitskämpferin zu Pferd, dunkles Reitkleid, rotes Halstuch, Wind im Haar, Pistole gesenkt, heroisch aber menschlich. Stimmung: entschlossen unter Druck. Klare Silhouette, neutraler atmosphärischer Hintergrund, warmes Gold und dunkle Erdtöne, keine Schrift, kein Logo, keine moderne Kleidung, keine Fotokopie einer realen Person.</t>
  </si>
  <si>
    <t>STANCE:npc_anita_garibaldi:IDLE_READY</t>
  </si>
  <si>
    <t>Asset-Prompts!CHAR-PORTRAIT:npc_anita_garibaldi</t>
  </si>
  <si>
    <t>Architekturecho des Kapitols</t>
  </si>
  <si>
    <t>genial, schroff, empfindlich gegenüber falschen Proportionen</t>
  </si>
  <si>
    <t>Mürrische Prüfung → fachliche Anerkennung</t>
  </si>
  <si>
    <t>knappe Urteile, trockene Künstlerkritik</t>
  </si>
  <si>
    <t>älterer Renaissancekünstler mit grauem Bart, dunkler Kappe, staubigem schwarzem Gewand, Zirkel und Platzskizze, strenger Blick</t>
  </si>
  <si>
    <t>Mobile-RPG-Charakterporträt, Ganzkörper oder Dreiviertelfigur, Renaissance-/Rom-Fantasy mit historisch plausiblen Materialien, älterer Renaissancekünstler mit grauem Bart, dunkler Kappe, staubigem schwarzem Gewand, Zirkel und Platzskizze, strenger Blick. Stimmung: mürrisch konzentriert. Klare Silhouette, neutraler atmosphärischer Hintergrund, warmes Gold und dunkle Erdtöne, keine Schrift, kein Logo, keine moderne Kleidung, keine Fotokopie einer realen Person.</t>
  </si>
  <si>
    <t>STANCE:npc_michelangelo_campidoglio:IDLE_READY</t>
  </si>
  <si>
    <t>Asset-Prompts!CHAR-PORTRAIT:npc_michelangelo_campidoglio</t>
  </si>
  <si>
    <t>geflügelte Stimme des Nationaldenkmals</t>
  </si>
  <si>
    <t>feierlich, selbstironisch, liebt große Silhouetten</t>
  </si>
  <si>
    <t>Monumentale Distanz → spielerische Anerkennung</t>
  </si>
  <si>
    <t>große Gesten in kurzen Sätzen</t>
  </si>
  <si>
    <t>allegorische geflügelte Frau in weiß-goldenem Gewand, bronzene Flügel, Lorbeerkranz, zwei kleine Quadriga-Silhouetten als Licht hinter ihr</t>
  </si>
  <si>
    <t>Mobile-RPG-Charakterporträt, Ganzkörper oder Dreiviertelfigur, Renaissance-/Rom-Fantasy mit historisch plausiblen Materialien, allegorische geflügelte Frau in weiß-goldenem Gewand, bronzene Flügel, Lorbeerkranz, zwei kleine Quadriga-Silhouetten als Licht hinter ihr. Stimmung: triumphal, aber gelangweilt. Klare Silhouette, neutraler atmosphärischer Hintergrund, warmes Gold und dunkle Erdtöne, keine Schrift, kein Logo, keine moderne Kleidung, keine Fotokopie einer realen Person.</t>
  </si>
  <si>
    <t>STANCE:npc_vittoria_alata:IDLE_READY</t>
  </si>
  <si>
    <t>Asset-Prompts!CHAR-PORTRAIT:npc_vittoria_alata</t>
  </si>
  <si>
    <t>Trainergeist des Ludus</t>
  </si>
  <si>
    <t>D2-Q03 | M-D2-02</t>
  </si>
  <si>
    <t>laut, professionell, überraschend fürsorglich</t>
  </si>
  <si>
    <t>Marktschreier → ernsthafter Trainer → stolzer Mentor</t>
  </si>
  <si>
    <t>Arenaansagen, klare Sicherheitsregeln</t>
  </si>
  <si>
    <t>kräftiger römischer Trainer in Lederharnisch, hölzerner Trainingsstab, rote Tunika, Narben, breites Grinsen, Sandstaub</t>
  </si>
  <si>
    <t>Mobile-RPG-Charakterporträt, Ganzkörper oder Dreiviertelfigur, Renaissance-/Rom-Fantasy mit historisch plausiblen Materialien, kräftiger römischer Trainer in Lederharnisch, hölzerner Trainingsstab, rote Tunika, Narben, breites Grinsen, Sandstaub. Stimmung: kampflustig. Klare Silhouette, neutraler atmosphärischer Hintergrund, warmes Gold und dunkle Erdtöne, keine Schrift, kein Logo, keine moderne Kleidung, keine Fotokopie einer realen Person.</t>
  </si>
  <si>
    <t>STANCE:npc_lanista_felix:IDLE_READY</t>
  </si>
  <si>
    <t>Asset-Prompts!CHAR-PORTRAIT:npc_lanista_felix</t>
  </si>
  <si>
    <t>Händlergeist des Forum Boarium</t>
  </si>
  <si>
    <t>wortgewandt, opportunistisch, ehrlich über seine Unehrlichkeit</t>
  </si>
  <si>
    <t>Verkaufsmasche → Faktenprüfung → fairer Handel</t>
  </si>
  <si>
    <t>Handelsmetaphern, schnelle Gegenfragen</t>
  </si>
  <si>
    <t>antiker römischer Händler in gestreifter Tunika, Lederbeutel, bronzene Waage, vier kleine Tormarken am Gürtel, listiges freundliches Gesicht</t>
  </si>
  <si>
    <t>Mobile-RPG-Charakterporträt, Ganzkörper oder Dreiviertelfigur, Renaissance-/Rom-Fantasy mit historisch plausiblen Materialien, antiker römischer Händler in gestreifter Tunika, Lederbeutel, bronzene Waage, vier kleine Tormarken am Gürtel, listiges freundliches Gesicht. Stimmung: geschäftig und misstrauisch. Klare Silhouette, neutraler atmosphärischer Hintergrund, warmes Gold und dunkle Erdtöne, keine Schrift, kein Logo, keine moderne Kleidung, keine Fotokopie einer realen Person.</t>
  </si>
  <si>
    <t>STANCE:npc_mercator_gaius:IDLE_READY</t>
  </si>
  <si>
    <t>Asset-Prompts!CHAR-PORTRAIT:npc_mercator_gaius</t>
  </si>
  <si>
    <t>lauter Brunnenbote</t>
  </si>
  <si>
    <t>prahlerisch, loyal, leicht verwirrt an Land</t>
  </si>
  <si>
    <t>Prahlen → Orientierung → kameradschaftlicher Respekt</t>
  </si>
  <si>
    <t>Wasserwitze, kräftige Ausrufe</t>
  </si>
  <si>
    <t>muskulöser Triton mit bronzener Muschelschale, blaugrüne Schuppen, steinerne Patina, breites Lachen, Wasserwirbel um die Schultern</t>
  </si>
  <si>
    <t>Mobile-RPG-Charakterporträt, Ganzkörper oder Dreiviertelfigur, Renaissance-/Rom-Fantasy mit historisch plausiblen Materialien, muskulöser Triton mit bronzener Muschelschale, blaugrüne Schuppen, steinerne Patina, breites Lachen, Wasserwirbel um die Schultern. Stimmung: laut begeistert. Klare Silhouette, neutraler atmosphärischer Hintergrund, warmes Gold und dunkle Erdtöne, keine Schrift, kein Logo, keine moderne Kleidung, keine Fotokopie einer realen Person.</t>
  </si>
  <si>
    <t>STANCE:npc_triton_callidus:IDLE_READY</t>
  </si>
  <si>
    <t>Asset-Prompts!CHAR-PORTRAIT:npc_triton_callidus</t>
  </si>
  <si>
    <t>Kapitän der steinernen Navicella</t>
  </si>
  <si>
    <t>abenteuerlustig, trocken, akzeptiert nur klare Befehle</t>
  </si>
  <si>
    <t>Stillstand → Kursbestimmung → imaginäre Abfahrt</t>
  </si>
  <si>
    <t>Seefahrerkommandos, knapper Humor</t>
  </si>
  <si>
    <t>kleiner römischer Steuermann in wettergegerbtem Umhang, bronzenes Ruder, steinerne Schiffssilhouette hinter ihm, Salz- und Moosspuren</t>
  </si>
  <si>
    <t>Mobile-RPG-Charakterporträt, Ganzkörper oder Dreiviertelfigur, Renaissance-/Rom-Fantasy mit historisch plausiblen Materialien, kleiner römischer Steuermann in wettergegerbtem Umhang, bronzenes Ruder, steinerne Schiffssilhouette hinter ihm, Salz- und Moosspuren. Stimmung: gelangweilt vor Anker. Klare Silhouette, neutraler atmosphärischer Hintergrund, warmes Gold und dunkle Erdtöne, keine Schrift, kein Logo, keine moderne Kleidung, keine Fotokopie einer realen Person.</t>
  </si>
  <si>
    <t>STANCE:npc_nauta_celimontanus:IDLE_READY</t>
  </si>
  <si>
    <t>Asset-Prompts!CHAR-PORTRAIT:npc_nauta_celimontanus</t>
  </si>
  <si>
    <t>päpstlicher Ordnungsgeist</t>
  </si>
  <si>
    <t>autoritätssicher, effizient, heimlich beeindruckt von Widerspruch</t>
  </si>
  <si>
    <t>Befehlston → funktionale Debatte → abgewogene Anerkennung</t>
  </si>
  <si>
    <t>formelle Anweisungen, nummerierte Argumente</t>
  </si>
  <si>
    <t>päpstlicher Renaissance-Verwalter in weiß-rotem Gewand, Messstab, Pergamentplan, scharfe Augen, schlichter Ring, keine moderne Insignie</t>
  </si>
  <si>
    <t>Mobile-RPG-Charakterporträt, Ganzkörper oder Dreiviertelfigur, Renaissance-/Rom-Fantasy mit historisch plausiblen Materialien, päpstlicher Renaissance-Verwalter in weiß-rotem Gewand, Messstab, Pergamentplan, scharfe Augen, schlichter Ring, keine moderne Insignie. Stimmung: streng. Klare Silhouette, neutraler atmosphärischer Hintergrund, warmes Gold und dunkle Erdtöne, keine Schrift, kein Logo, keine moderne Kleidung, keine Fotokopie einer realen Person.</t>
  </si>
  <si>
    <t>STANCE:npc_sixtus_vermesser:IDLE_READY</t>
  </si>
  <si>
    <t>Asset-Prompts!CHAR-PORTRAIT:npc_sixtus_vermesser</t>
  </si>
  <si>
    <t>Mauerkommandant</t>
  </si>
  <si>
    <t>diszipliniert, wortkarg, respektiert sichere Navigation</t>
  </si>
  <si>
    <t>Alarm → Mauervergleich → taktische Entspannung</t>
  </si>
  <si>
    <t>Befehle, Lageberichte, keine Ausschmückung</t>
  </si>
  <si>
    <t>spätrömischer Offizier in Schuppenpanzer, roter Mantel, rechteckiger Schild, Ziegelstaub, Wachstafel mit Mauerlinie</t>
  </si>
  <si>
    <t>Mobile-RPG-Charakterporträt, Ganzkörper oder Dreiviertelfigur, Renaissance-/Rom-Fantasy mit historisch plausiblen Materialien, spätrömischer Offizier in Schuppenpanzer, roter Mantel, rechteckiger Schild, Ziegelstaub, Wachstafel mit Mauerlinie. Stimmung: alarmiert. Klare Silhouette, neutraler atmosphärischer Hintergrund, warmes Gold und dunkle Erdtöne, keine Schrift, kein Logo, keine moderne Kleidung, keine Fotokopie einer realen Person.</t>
  </si>
  <si>
    <t>STANCE:npc_aurelian_murus:IDLE_READY</t>
  </si>
  <si>
    <t>Asset-Prompts!CHAR-PORTRAIT:npc_aurelian_murus</t>
  </si>
  <si>
    <t>Archäologin zwischen den Zeitschichten</t>
  </si>
  <si>
    <t>begeistert, methodisch, vergisst beim Erklären gelegentlich zu atmen</t>
  </si>
  <si>
    <t>Überforderung → geordnete Schichten → Vorahnung des Bosses</t>
  </si>
  <si>
    <t>schnelle Beobachtungen, dann präzise Zusammenfassung</t>
  </si>
  <si>
    <t>römische Feldarchäologin im staubigen braunen Mantel, Ledertasche, Pinsel, drei Materialproben – Marmor, Granit, Ziegel –, leuchtende Notizzettel</t>
  </si>
  <si>
    <t>Mobile-RPG-Charakterporträt, Ganzkörper oder Dreiviertelfigur, Renaissance-/Rom-Fantasy mit historisch plausiblen Materialien, römische Feldarchäologin im staubigen braunen Mantel, Ledertasche, Pinsel, drei Materialproben – Marmor, Granit, Ziegel –, leuchtende Notizzettel. Stimmung: aufgeregt und besorgt. Klare Silhouette, neutraler atmosphärischer Hintergrund, warmes Gold und dunkle Erdtöne, keine Schrift, kein Logo, keine moderne Kleidung, keine Fotokopie einer realen Person.</t>
  </si>
  <si>
    <t>STANCE:npc_livia_strata:IDLE_READY</t>
  </si>
  <si>
    <t>Asset-Prompts!CHAR-PORTRAIT:npc_livia_strata</t>
  </si>
  <si>
    <t>Wasserbauinspektor</t>
  </si>
  <si>
    <t>sachlich, pflichtbewusst, sarkastisch bei schlechter Infrastruktur</t>
  </si>
  <si>
    <t>Störungsmeldung → Systemverständnis → entschlossene Reparatur</t>
  </si>
  <si>
    <t>technische Diagnose mit trockenem Spott</t>
  </si>
  <si>
    <t>römischer Ingenieur in kurzer Tunika und Mantel, Messstab, Bleiplombe, Wachstafel mit Aquäduktquerschnitt, graues Haar, prüfender Blick</t>
  </si>
  <si>
    <t>Mobile-RPG-Charakterporträt, Ganzkörper oder Dreiviertelfigur, Renaissance-/Rom-Fantasy mit historisch plausiblen Materialien, römischer Ingenieur in kurzer Tunika und Mantel, Messstab, Bleiplombe, Wachstafel mit Aquäduktquerschnitt, graues Haar, prüfender Blick. Stimmung: dringlich genervt. Klare Silhouette, neutraler atmosphärischer Hintergrund, warmes Gold und dunkle Erdtöne, keine Schrift, kein Logo, keine moderne Kleidung, keine Fotokopie einer realen Person.</t>
  </si>
  <si>
    <t>STANCE:npc_frontinus_aquarius:IDLE_READY</t>
  </si>
  <si>
    <t>Asset-Prompts!CHAR-PORTRAIT:npc_frontinus_aquarius</t>
  </si>
  <si>
    <t>Chronistin und Medienquestgeberin</t>
  </si>
  <si>
    <t>M-D1-01 | M-D1-02 | M-D1-03 | M-LT-01</t>
  </si>
  <si>
    <t>schnell, kreativ, freundlich anspruchsvoll</t>
  </si>
  <si>
    <t>Idee → klare Bildregie → ehrliches Lob</t>
  </si>
  <si>
    <t>knappe Regieanweisungen; lobt konkrete Details</t>
  </si>
  <si>
    <t>junge römische Chronistin im Renaissance-Reisemantel, kleine Messingkamera als magisches Artefakt, zwölf leere Bildrahmen am Gürtel, lebhafte braune Augen</t>
  </si>
  <si>
    <t>Mobile-RPG-Charakterporträt, Ganzkörper oder Dreiviertelfigur, Renaissance-/Rom-Fantasy mit historisch plausiblen Materialien, junge römische Chronistin im Renaissance-Reisemantel, kleine Messingkamera als magisches Artefakt, zwölf leere Bildrahmen am Gürtel, lebhafte braune Augen. Stimmung: begeistert unter Zeitdruck. Klare Silhouette, neutraler atmosphärischer Hintergrund, warmes Gold und dunkle Erdtöne, keine Schrift, kein Logo, keine moderne Kleidung, keine Fotokopie einer realen Person.</t>
  </si>
  <si>
    <t>https://www.turismoroma.it/it/luoghi/piazza-san-pietro
https://www.turismoroma.it/en/places/terrace-castel-santangelo
https://it.wikipedia.org/wiki/Piazza_Navona
https://it.wikipedia.org/wiki/Fontana_del_Nettuno_(Roma)
https://it.wikipedia.org/wiki/Fontana_del_Moro
https://www.turismoroma.it/it/luoghi/teatro-di-marcello</t>
  </si>
  <si>
    <t>STANCE:npc_livia_lens:IDLE_READY</t>
  </si>
  <si>
    <t>Asset-Prompts!CHAR-PORTRAIT:npc_livia_lens</t>
  </si>
  <si>
    <t>Streitwagenregisseurin</t>
  </si>
  <si>
    <t>kompetitiv, laut, sicherheitsbewusst</t>
  </si>
  <si>
    <t>Rennfieber → präzise Bildfolge → Siegesjubel</t>
  </si>
  <si>
    <t>kurze Startkommandos und trockene Rennwitze</t>
  </si>
  <si>
    <t>römische Wagenlenkerin in grüner Tunika, Lederhelm, Zügel um die Schulter, Staub, selbstbewusstes Grinsen</t>
  </si>
  <si>
    <t>Mobile-RPG-Charakterporträt, Ganzkörper oder Dreiviertelfigur, Renaissance-/Rom-Fantasy mit historisch plausiblen Materialien, römische Wagenlenkerin in grüner Tunika, Lederhelm, Zügel um die Schulter, Staub, selbstbewusstes Grinsen. Stimmung: startbereit. Klare Silhouette, neutraler atmosphärischer Hintergrund, warmes Gold und dunkle Erdtöne, keine Schrift, kein Logo, keine moderne Kleidung, keine Fotokopie einer realen Person.</t>
  </si>
  <si>
    <t>STANCE:npc_auriga_quinta:IDLE_READY</t>
  </si>
  <si>
    <t>Asset-Prompts!CHAR-PORTRAIT:npc_auriga_quinta</t>
  </si>
  <si>
    <t>winziger Marktprüfer</t>
  </si>
  <si>
    <t>geschäftstüchtig, kritisch, leicht bestechlich durch gute Pointen</t>
  </si>
  <si>
    <t>Misstrauen → unterhaltene Prüfung → Kaufempfehlung oder Warnung</t>
  </si>
  <si>
    <t>schnelle Produktfragen; fordert Belege</t>
  </si>
  <si>
    <t>kleiner römischer Händler hinter übergroßer Wachstafel, violette Tunika, Münzwaage, winzige Preisschilder, hochgezogene Augenbraue</t>
  </si>
  <si>
    <t>Mobile-RPG-Charakterporträt, Ganzkörper oder Dreiviertelfigur, Renaissance-/Rom-Fantasy mit historisch plausiblen Materialien, kleiner römischer Händler hinter übergroßer Wachstafel, violette Tunika, Münzwaage, winzige Preisschilder, hochgezogene Augenbraue. Stimmung: skeptisch neugierig. Klare Silhouette, neutraler atmosphärischer Hintergrund, warmes Gold und dunkle Erdtöne, keine Schrift, kein Logo, keine moderne Kleidung, keine Fotokopie einer realen Person.</t>
  </si>
  <si>
    <t>STANCE:npc_mercator_minimus:IDLE_READY</t>
  </si>
  <si>
    <t>Asset-Prompts!CHAR-PORTRAIT:npc_mercator_minimus</t>
  </si>
  <si>
    <t>versteckte Brunnenwächterin</t>
  </si>
  <si>
    <t>sehr langsam, sehr aufmerksam, unerwartet sarkastisch</t>
  </si>
  <si>
    <t>Schlaf → Prüfung → knappe Zustimmung</t>
  </si>
  <si>
    <t>lange Pausen, kurze scharfe Sätze</t>
  </si>
  <si>
    <t>kleine bronzene Schildkröte mit grüner Patina, winziger Wächterhelm, leuchtende Augen, Wassertropfen</t>
  </si>
  <si>
    <t>Mobile-RPG-Charakterporträt, Ganzkörper oder Dreiviertelfigur, Renaissance-/Rom-Fantasy mit historisch plausiblen Materialien, kleine bronzene Schildkröte mit grüner Patina, winziger Wächterhelm, leuchtende Augen, Wassertropfen. Stimmung: misstrauisch verschlafen. Klare Silhouette, neutraler atmosphärischer Hintergrund, warmes Gold und dunkle Erdtöne, keine Schrift, kein Logo, keine moderne Kleidung, keine Fotokopie einer realen Person.</t>
  </si>
  <si>
    <t>STANCE:npc_tartaruga_quarta:IDLE_READY</t>
  </si>
  <si>
    <t>Asset-Prompts!CHAR-PORTRAIT:npc_tartaruga_quarta</t>
  </si>
  <si>
    <t>wortgewandte Kanalratte</t>
  </si>
  <si>
    <t>frech, hungrig, erstaunlich gebildet</t>
  </si>
  <si>
    <t>Spott → Fluchtversuch → Niederlage</t>
  </si>
  <si>
    <t>schnelle Ausreden, Wasserwortspiele</t>
  </si>
  <si>
    <t>große nasse Kanalratte mit zerfetzter römischer Schärpe, kleine gestohlene Münzen, Travertinstaub, wacher listiger Blick</t>
  </si>
  <si>
    <t>Mobile-RPG-Charakterporträt, Ganzkörper oder Dreiviertelfigur, Renaissance-/Rom-Fantasy mit historisch plausiblen Materialien, große nasse Kanalratte mit zerfetzter römischer Schärpe, kleine gestohlene Münzen, Travertinstaub, wacher listiger Blick. Stimmung: ertappt und angriffslustig. Klare Silhouette, neutraler atmosphärischer Hintergrund, warmes Gold und dunkle Erdtöne, keine Schrift, kein Logo, keine moderne Kleidung, keine Fotokopie einer realen Person.</t>
  </si>
  <si>
    <t>STANCE:npc_rattus_virgo:IDLE_READY</t>
  </si>
  <si>
    <t>Asset-Prompts!CHAR-PORTRAIT:npc_rattus_virgo</t>
  </si>
  <si>
    <t>streitende Satyrzwillinge</t>
  </si>
  <si>
    <t>schelmisch, kompetitiv, nur gemeinsam vernünftig</t>
  </si>
  <si>
    <t>Streit → Zuordnung → widerwillige Zusammenarbeit</t>
  </si>
  <si>
    <t>fallen einander ins Wort</t>
  </si>
  <si>
    <t>zwei kleine Satyrwesen aus dunklem Stein, lockiges Haar, kleine Hörner, einer mit Panflöte, einer mit Traubenranke, lebendige Augen</t>
  </si>
  <si>
    <t>Mobile-RPG-Charakterporträt, Ganzkörper oder Dreiviertelfigur, Renaissance-/Rom-Fantasy mit historisch plausiblen Materialien, zwei kleine Satyrwesen aus dunklem Stein, lockiges Haar, kleine Hörner, einer mit Panflöte, einer mit Traubenranke, lebendige Augen. Stimmung: kichernd streitsüchtig. Klare Silhouette, neutraler atmosphärischer Hintergrund, warmes Gold und dunkle Erdtöne, keine Schrift, kein Logo, keine moderne Kleidung, keine Fotokopie einer realen Person.</t>
  </si>
  <si>
    <t>STANCE:npc_satirelli_gemelli:IDLE_READY</t>
  </si>
  <si>
    <t>Asset-Prompts!CHAR-PORTRAIT:npc_satirelli_gemelli</t>
  </si>
  <si>
    <t>alchemistische Wächterin</t>
  </si>
  <si>
    <t>rätselhaft, geduldig, erfreut über saubere Reihenfolgen</t>
  </si>
  <si>
    <t>Verschlossen → geprüft → verschwörerisch freundlich</t>
  </si>
  <si>
    <t>symbolische, aber kurze Sätze</t>
  </si>
  <si>
    <t>Renaissance-Alchemistin in dunkelgrünem Mantel, Messingzirkel, kleine Glasphiolen, zwei steinerne Wächter hinter ihr, goldene Symbole</t>
  </si>
  <si>
    <t>Mobile-RPG-Charakterporträt, Ganzkörper oder Dreiviertelfigur, Renaissance-/Rom-Fantasy mit historisch plausiblen Materialien, Renaissance-Alchemistin in dunkelgrünem Mantel, Messingzirkel, kleine Glasphiolen, zwei steinerne Wächter hinter ihr, goldene Symbole. Stimmung: vorsichtig hoffnungsvoll. Klare Silhouette, neutraler atmosphärischer Hintergrund, warmes Gold und dunkle Erdtöne, keine Schrift, kein Logo, keine moderne Kleidung, keine Fotokopie einer realen Person.</t>
  </si>
  <si>
    <t>STANCE:npc_porta_alchemica:IDLE_READY</t>
  </si>
  <si>
    <t>Asset-Prompts!CHAR-PORTRAIT:npc_porta_alchemica</t>
  </si>
  <si>
    <t>LITERARISCHE_FANTASY</t>
  </si>
  <si>
    <t>Stimme der Windrose</t>
  </si>
  <si>
    <t>poetisch, trocken, mag klare Richtungen</t>
  </si>
  <si>
    <t>Verwirrung → Orientierung → ruhiger Ausweg</t>
  </si>
  <si>
    <t>kurze Terzinen-Anklänge ohne Zitate</t>
  </si>
  <si>
    <t>schlanke Gestalt aus rotem Mantel und Windlinien, Lorbeerkranz, Pergamentstreifen, Windrose als Licht unter den Füßen</t>
  </si>
  <si>
    <t>Mobile-RPG-Charakterporträt, Ganzkörper oder Dreiviertelfigur, Renaissance-/Rom-Fantasy mit historisch plausiblen Materialien, schlanke Gestalt aus rotem Mantel und Windlinien, Lorbeerkranz, Pergamentstreifen, Windrose als Licht unter den Füßen. Stimmung: flüsternd ungeduldig. Klare Silhouette, neutraler atmosphärischer Hintergrund, warmes Gold und dunkle Erdtöne, keine Schrift, kein Logo, keine moderne Kleidung, keine Fotokopie einer realen Person.</t>
  </si>
  <si>
    <t>STANCE:npc_dante_rosa:IDLE_READY</t>
  </si>
  <si>
    <t>Asset-Prompts!CHAR-PORTRAIT:npc_dante_rosa</t>
  </si>
  <si>
    <t>FIKTIONAL_HISTORISCH_INSPIRIERT</t>
  </si>
  <si>
    <t>epischer Tagesboss</t>
  </si>
  <si>
    <t>laut, ehrenhaft, liebt präzise Zeitpunkte</t>
  </si>
  <si>
    <t>Ankündigung → Artillerieprüfung → respektvolle Kapitulation</t>
  </si>
  <si>
    <t>donnernde Kommandos, überraschend höfliche Anerkennung</t>
  </si>
  <si>
    <t>mächtiger Artillerist des 19. Jahrhunderts, rote Jacke, Messingknöpfe, rußiges Gesicht, Geisterkanone, orange-goldener Rauch</t>
  </si>
  <si>
    <t>Mobile-RPG-Charakterporträt, Ganzkörper oder Dreiviertelfigur, Renaissance-/Rom-Fantasy mit historisch plausiblen Materialien, mächtiger Artillerist des 19. Jahrhunderts, rote Jacke, Messingknöpfe, rußiges Gesicht, Geisterkanone, orange-goldener Rauch. Stimmung: triumphal herausfordernd. Klare Silhouette, neutraler atmosphärischer Hintergrund, warmes Gold und dunkle Erdtöne, keine Schrift, kein Logo, keine moderne Kleidung, keine Fotokopie einer realen Person.</t>
  </si>
  <si>
    <t>STANCE:npc_cannoniere_gianicolo:STAGE_1_TARGETING | STANCE:npc_cannoniere_gianicolo:STAGE_2_OVERHEATED | STANCE:npc_cannoniere_gianicolo:STAGE_3_LAST_STANDARD</t>
  </si>
  <si>
    <t>Asset-Prompts!CHAR-PORTRAIT:npc_cannoniere_gianicolo</t>
  </si>
  <si>
    <t>FIKTIONALE_LEGENDE</t>
  </si>
  <si>
    <t>legendärer Tagesboss</t>
  </si>
  <si>
    <t>majestätisch, kühl, unerbittlich, respektiert Erinnerung</t>
  </si>
  <si>
    <t>Unnahbare Bedrohung → Risse in der Legende → Auflösung</t>
  </si>
  <si>
    <t>ruhige Sätze, Bilder von Schnee und Erinnerung</t>
  </si>
  <si>
    <t>riesiger weißer Wächter in byzantinisch-römischer Rüstung, Mantel aus Schneekristallen, goldene Marienmosaik-Reflexe, kein religiöses Gesicht imitieren, violett-oranges Bosslicht</t>
  </si>
  <si>
    <t>Mobile-RPG-Charakterporträt, Ganzkörper oder Dreiviertelfigur, Renaissance-/Rom-Fantasy mit historisch plausiblen Materialien, riesiger weißer Wächter in byzantinisch-römischer Rüstung, Mantel aus Schneekristallen, goldene Marienmosaik-Reflexe, kein religiöses Gesicht imitieren, violett-oranges Bosslicht. Stimmung: eisig feierlich. Klare Silhouette, neutraler atmosphärischer Hintergrund, warmes Gold und dunkle Erdtöne, keine Schrift, kein Logo, keine moderne Kleidung, keine Fotokopie einer realen Person.</t>
  </si>
  <si>
    <t>STANCE:npc_custode_neve:STAGE_1_SNOW_SEAL | STANCE:npc_custode_neve:STAGE_2_WHITE_NIGHT | STANCE:npc_custode_neve:STAGE_3_MOSAIC_CRACKS</t>
  </si>
  <si>
    <t>Asset-Prompts!CHAR-PORTRAIT:npc_custode_neve</t>
  </si>
  <si>
    <t>Via Romae – Rätsel und Beobachtungen v0.8</t>
  </si>
  <si>
    <t>Alle Ortsfragen plus Synthese-, Zuordnungs- und Codeaufgaben. Jede Pflichtinteraktion besitzt Evidence, Sollantwort, Varianten, zweistufige Hilfe und Fallback.</t>
  </si>
  <si>
    <t>Puzzle-ID</t>
  </si>
  <si>
    <t>Step-Ref</t>
  </si>
  <si>
    <t>Antworttyp</t>
  </si>
  <si>
    <t>Prompt</t>
  </si>
  <si>
    <t>Optionen / Reihenfolge</t>
  </si>
  <si>
    <t>Akzeptierte Varianten</t>
  </si>
  <si>
    <t>Observable Evidence</t>
  </si>
  <si>
    <t>Evidence-Grade</t>
  </si>
  <si>
    <t>Hinweis 1</t>
  </si>
  <si>
    <t>Hinweis 2</t>
  </si>
  <si>
    <t>Fehlerfolge</t>
  </si>
  <si>
    <t>Validierungsstatus</t>
  </si>
  <si>
    <t>Quelle</t>
  </si>
  <si>
    <t>station_1</t>
  </si>
  <si>
    <t>B</t>
  </si>
  <si>
    <t>Blickt auf: Runde Marmor-Brennpunktmarkierung im Pflaster zwischen Obelisk und Kolonnade; danach Blick auf die großen Säulen.</t>
  </si>
  <si>
    <t>Konzentriert euch auf die große, dauerhaft sichtbare Form.</t>
  </si>
  <si>
    <t>Gleichörtiger Fallback gemäß Ortszuordnung: V03-Punkt; Die Bodenmarkierung muss vor Veröffentlichung auf einem aktuellen Bild eindeutig lokalisiert werden.</t>
  </si>
  <si>
    <t>Kein Grundabschlussverlust</t>
  </si>
  <si>
    <t>station_2</t>
  </si>
  <si>
    <t>A</t>
  </si>
  <si>
    <t>Blickt auf: Langer, geschlossener Maueraufbau mit kleinen Öffnungen; vom öffentlichen Straßenraum sichtbar.</t>
  </si>
  <si>
    <t>Gleichörtiger Fallback gemäß Ortszuordnung: V03-Punkt; Exakten Gehsteig-Blickpunkt im Dossier verwenden; der begehbare Passetto selbst ist nicht erforderlich.</t>
  </si>
  <si>
    <t>REMOTE_REVIEW</t>
  </si>
  <si>
    <t>station_3</t>
  </si>
  <si>
    <t>Blickt auf: Große geflügelte Bronzefigur auf dem höchsten Punkt, vom öffentlichen Vorplatz sichtbar.</t>
  </si>
  <si>
    <t>Gleichörtiger Fallback gemäß Ortszuordnung: Moved from the monument centroid to the public exterior forecourt at the bridge/castle approach. No ticket or castle entry may be required.; Nur der öffentliche Vorplatz darf als Trigger dienen; kein Eintritt in die Burg.</t>
  </si>
  <si>
    <t>Blickt auf: Großer Torbogen und hoch angebrachtes päpstliches Wappen mit Stiermotiv.</t>
  </si>
  <si>
    <t>Gleichörtiger Fallback gemäß Ortszuordnung: V03-Punkt; Der Stier ist relativ hoch angebracht; Antwortgröße auf aktuellen Bildern prüfen.</t>
  </si>
  <si>
    <t>Blickt auf: Ein einzelner erhaltener Mauerbogen mit päpstlichen Zeichen nahe dem Vatikan.</t>
  </si>
  <si>
    <t>Gleichörtiger Fallback gemäß Ortszuordnung: V03-Punkt; Als Ersatz für einen zu vollen Petersplatz geeignet; Sichtbarkeit zwischen Verkehr und parkenden Fahrzeugen prüfen.</t>
  </si>
  <si>
    <t>Blickt auf: Großer Mittelbogen, paarweise Säulen und deutlich erkennbare leere Nischen.</t>
  </si>
  <si>
    <t>Gleichörtiger Fallback gemäß Ortszuordnung: V03-Punkt; VISUAL_EVIDENCE_NOT_YET_VERIFIED</t>
  </si>
  <si>
    <t>Blickt auf: Zwei große Kuppelkirchen am südlichen Platzende und drei radial ausgehende Straßen.</t>
  </si>
  <si>
    <t>Gleichörtiger Fallback gemäß Ortszuordnung: V03-Punkt; VISUAL_EVIDENCE_NOT_YET_VERIFIED|CROWDING_RISK</t>
  </si>
  <si>
    <t>Blickt auf: Vier monumentale Löwenbrunnen unmittelbar um den Sockel.</t>
  </si>
  <si>
    <t>Blickt auf: Drei große heutige Öffnungen, davon ein höherer Mittelbogen.</t>
  </si>
  <si>
    <t>Blickt auf: Hieroglyphen auf allen Schaftseiten und deutliche Obeliskform.</t>
  </si>
  <si>
    <t>Blickt auf: Zentrale sitzende Göttin und gut erkennbare Wölfin mit Zwillingen im unteren Bereich.</t>
  </si>
  <si>
    <t>Blickt auf: Große Balustrade mit unmittelbarem Überblick auf Piazza del Popolo.</t>
  </si>
  <si>
    <t>Blickt auf: Bootsförmiger Brunnen am Fuß der großen Freitreppe.</t>
  </si>
  <si>
    <t>Gleichörtiger Fallback gemäß Ortszuordnung: V03-Punkt; Die sehr hohe Besucherzahl kann Zähl- und Bodenaufgaben stören; nur Großform verwenden.</t>
  </si>
  <si>
    <t>Blickt auf: Drei weit auseinanderliegende Großbrunnen entlang der Platzachse.</t>
  </si>
  <si>
    <t>Gleichörtiger Fallback gemäß Ortszuordnung: V03-Punkt; Für die Medienquest sind alle drei Brunnen als separate Fotostationen zu markieren.</t>
  </si>
  <si>
    <t>Blickt auf: Große zentrale Neptunfigur im Ringkampf mit einem vielarmigen Meerestier.</t>
  </si>
  <si>
    <t>Blickt auf: Zentrale männliche Figur mit Delfin; vier Tritonen im unteren Becken.</t>
  </si>
  <si>
    <t>Blickt auf: Sehr große lateinische Inschrift über dem Portikus; vollständig vom öffentlichen Platz lesbar.</t>
  </si>
  <si>
    <t>Gleichörtiger Fallback gemäß Ortszuordnung: V03-Punkt; Trigger auf Piazza della Rotonda legen; kein Eintritt und keine Innenfrage.</t>
  </si>
  <si>
    <t>Blickt auf: Obelisk mit Hieroglyphen, der sichtbar aus der Brunnenanlage der Piazza della Rotonda aufragt.</t>
  </si>
  <si>
    <t>Blickt auf: Monumentaler Schaft mit Hieroglyphen und einer Metallkugel an der Spitze.</t>
  </si>
  <si>
    <t>Blickt auf: Breites spiralförmiges Reliefband und große Figur auf der Spitze.</t>
  </si>
  <si>
    <t>Blickt auf: Zwei große Seepferde vor dem muschelförmigen Wagen der Zentralfigur.</t>
  </si>
  <si>
    <t>Gleichörtiger Fallback gemäß Ortszuordnung: V03-Punkt; Nur von mehreren Positionen erkennbare Großdetails verwenden; keine Boden- oder Randdetails.</t>
  </si>
  <si>
    <t>Blickt auf: Drei teilweise im heutigen Bodenniveau versunkene Travertinarkaden hinter einer Absperrung.</t>
  </si>
  <si>
    <t>Gleichörtiger Fallback gemäß Ortszuordnung: V03-Punkt; Die Arkaden sind teilweise eingetieft und durch Gitter verdeckt; nur nach aktuellem Sichttest als Pflichtfrage einsetzen.</t>
  </si>
  <si>
    <t>Blickt auf: Vier große Delfine, Muschelschale, Triton mit Schneckenhorn.</t>
  </si>
  <si>
    <t>Blickt auf: Steinernes Porträtrelief mit lesbarem Namen an der Hausfassade.</t>
  </si>
  <si>
    <t>Blickt auf: Zwei monumentale Pferdegruppen flankieren den Obelisken.</t>
  </si>
  <si>
    <t>Blickt auf: Monumentale lange Palastfassade und Hauptportal an der öffentlich zugänglichen Piazza del Quirinale.</t>
  </si>
  <si>
    <t>Gleichörtiger Fallback gemäß Ortszuordnung: V03-Punkt; Keine Annäherung an Wachen oder Eingang verlangen; Trigger auf der freien Platzfläche.</t>
  </si>
  <si>
    <t>Blickt auf: Große Marienstatue auf der Spitze und vier sitzende Sockelfiguren.</t>
  </si>
  <si>
    <t>Blickt auf: Große kreisrunde Öffnung zwischen den beiden mittleren Brückenbögen.</t>
  </si>
  <si>
    <t>Blickt auf: Großes päpstliches Wappen über dem Mittelportal und wiederkehrende Lilienmotive.</t>
  </si>
  <si>
    <t>Gleichörtiger Fallback gemäß Ortszuordnung: V03-Punkt; Botschaftsgebäude: keine längere Gruppenblockade direkt vor dem Eingang; gegenüberstehenden Blickpunkt wählen.</t>
  </si>
  <si>
    <t>Blickt auf: Monumentale dunkle Bronzefigur; geschlossenes Buch direkt unter den gekreuzten Händen.</t>
  </si>
  <si>
    <t>Gleichörtiger Fallback gemäß Ortszuordnung: V03-Punkt; Am Vormittag kann der Markt die Sockelsicht einschränken; Aufgabe auf die große Figur beschränken.</t>
  </si>
  <si>
    <t>station_4</t>
  </si>
  <si>
    <t>Blickt auf: Vier klar getrennte Tempelkomplexe im tiefer liegenden Areal.</t>
  </si>
  <si>
    <t>Gleichörtiger Fallback gemäß Ortszuordnung: V03-Punkt; Trigger auf öffentlichen Gehweg legen; kein Betreten des inzwischen zugänglichen, aber zeitgebundenen Areals.</t>
  </si>
  <si>
    <t>Blickt auf: Einzelne große Engelsfigur auf der linken Fassadenseite, wenn man vor der Kirche steht.</t>
  </si>
  <si>
    <t>Gleichörtiger Fallback gemäß Ortszuordnung: V03-Punkt; Nur Außenfassade; die Kuppelfresken und Innenkunst dürfen nicht Teil der Pflichtaufgabe sein.</t>
  </si>
  <si>
    <t>Blickt auf: Vier deutlich sichtbare Schildkröten am Rand des oberen Beckens.</t>
  </si>
  <si>
    <t>Gleichörtiger Fallback gemäß Ortszuordnung: Corrected an erroneous OSM-derived point to the official Turismo Roma coordinate in Piazza Mattei.; VISUAL_EVIDENCE_NOT_YET_VERIFIED</t>
  </si>
  <si>
    <t>Blickt auf: Zwei übereinanderliegende antike Arkadenebenen unter einem späteren Wohnpalast.</t>
  </si>
  <si>
    <t>Gleichörtiger Fallback gemäß Ortszuordnung: V03-Punkt; Offizieller Fußweg erlaubt Außenbesichtigung; Medienquest-Pickup ohne Zugang zu Innenräumen.</t>
  </si>
  <si>
    <t>Blickt auf: Travertinreste einer Schiffsspitze und Asklepios-Relief am östlichen Inselende.</t>
  </si>
  <si>
    <t>Gleichörtiger Fallback gemäß Ortszuordnung: V03-Punkt; Nur verwenden, wenn der genaue öffentliche Blickpunkt und die freie Sicht auf die Travertinreste bestätigt sind.</t>
  </si>
  <si>
    <t>Blickt auf: Kirchenname und Widmung am äußeren Zugang; Innenhofbrunnen nur optional, weil der Hof zeitabhängig sein kann.</t>
  </si>
  <si>
    <t>Gleichörtiger Fallback gemäß Ortszuordnung: V03-Punkt; Für die Kleriker-Klassengeschichte nur Außenpunkt vor dem Tor nutzen; der vorhandene Punkt im Hof ist zu versetzen.</t>
  </si>
  <si>
    <t>Blickt auf: Großes goldenes Mosaik hoch an der Fassade; vom Platz sichtbar.</t>
  </si>
  <si>
    <t>Gleichörtiger Fallback gemäß Ortszuordnung: V03-Punkt; VISUAL_EVIDENCE_NOT_YET_VERIFIED|EXTERIOR_VANTAGE_POINT_REQUIRED|INTERIOR_AND_OPENING_HOURS_MUST_NOT_BE_REQUIRED|CROWDING_RISK</t>
  </si>
  <si>
    <t>Blickt auf: Langer massiver Mauerabschnitt mit Schieß- und Verteidigungsformen.</t>
  </si>
  <si>
    <t>Blickt auf: Symmetrischer Zentralbau mit vier großen offenen Bögen.</t>
  </si>
  <si>
    <t>Blickt auf: Fünf weithin sichtbare Bogenfelder in der Hauptfassade.</t>
  </si>
  <si>
    <t>Blickt auf: Große Reiterfigur auf hohem Sockel.</t>
  </si>
  <si>
    <t>station_5</t>
  </si>
  <si>
    <t>Blickt auf: Große Reiterfigur mit deutlich erhobener Handwaffe.</t>
  </si>
  <si>
    <t>Blickt auf: Großes hell-dunkles Sternoval im Pflaster um die Reiterstatue.</t>
  </si>
  <si>
    <t>Blickt auf: Lebensgroße Bronze mit deutlich sichtbarer Schriftrolle in der linken Hand.</t>
  </si>
  <si>
    <t>Gleichörtiger Fallback gemäß Ortszuordnung: V03-Punkt; Für die konkrete moderne Statue ist zusätzlich ein kommunaler Inventareintrag wünschenswert.</t>
  </si>
  <si>
    <t>Blickt auf: Zwei monumentale Quadrigen auf den oberen Enden des Bauwerks.</t>
  </si>
  <si>
    <t>Gleichörtiger Fallback gemäß Ortszuordnung: V03-Punkt; Nur Außenansicht; keine Terrasse oder Museumseintritt verlangen.</t>
  </si>
  <si>
    <t>Blickt auf: Drei monumentale Durchgänge, vom öffentlichen Bereich beim Kolosseum sichtbar.</t>
  </si>
  <si>
    <t>Blickt auf: Drei große Reihen offener Arkaden an der hohen erhaltenen Außenwand.</t>
  </si>
  <si>
    <t>Gleichörtiger Fallback gemäß Ortszuordnung: Moved from the monument centroid to Piazza del Colosseo for the exterior photoquest. No ticket, queue or archaeological-area entry may be required.; Außenkoordinate verwenden; weder Eintritt noch Sicherheitskontrolle dürfen erforderlich sein.</t>
  </si>
  <si>
    <t>Blickt auf: Halb freigelegte ovale Arena unter dem heutigen Straßenniveau.</t>
  </si>
  <si>
    <t>Gleichörtiger Fallback gemäß Ortszuordnung: V03-Punkt; VISUAL_EVIDENCE_NOT_YET_VERIFIED|EXTERIOR_VANTAGE_POINT_REQUIRED|PAID_INTERIOR_OR_SITE_RISK_USE_EXTERIOR_ONLY|CROWDING_RISK</t>
  </si>
  <si>
    <t>Blickt auf: Großes rundes Steingesicht im äußeren Portikus von Santa Maria in Cosmedin.</t>
  </si>
  <si>
    <t>Gleichörtiger Fallback gemäß Ortszuordnung: V03-Punkt; Nicht verlangen, die Hand hineinzulegen oder die Warteschlange zu betreten; Sicht vom öffentlichen Bereich prüfen.</t>
  </si>
  <si>
    <t>Blickt auf: Klar erkennbare runde Cella mit umlaufendem Säulenkranz.</t>
  </si>
  <si>
    <t>Blickt auf: Gerader oberer Abschluss über engem Durchgang; reiche Reliefs an den Pfeilern.</t>
  </si>
  <si>
    <t>Blickt auf: Vier weithin sichtbare Bogenöffnungen auf vier Seiten.</t>
  </si>
  <si>
    <t>Blickt auf: Zwei große Tritonen als Träger einer Muschelschale.</t>
  </si>
  <si>
    <t>Blickt auf: Freier Panoramablick über die langgestreckte Circus-Senke zum Palatin.</t>
  </si>
  <si>
    <t>Blickt auf: Großes steinernes Maskengesicht mit Wasserauslass im Mund.</t>
  </si>
  <si>
    <t>Blickt auf: Großes steinernes Schiff als zentrales Brunnenobjekt.</t>
  </si>
  <si>
    <t>Blickt auf: Sehr große Statuengruppe auf der Dachlinie mit Christus in der Mitte.</t>
  </si>
  <si>
    <t>Gleichörtiger Fallback gemäß Ortszuordnung: V03-Punkt; Nur die Piazza und Außenfassade verwenden; kein Kirchenbesuch.</t>
  </si>
  <si>
    <t>Blickt auf: Sehr hoher Schaft mit deutlich sichtbaren Hieroglyphen.</t>
  </si>
  <si>
    <t>Blickt auf: Drei große Öffnungen nebeneinander.</t>
  </si>
  <si>
    <t>Gleichörtiger Fallback gemäß Ortszuordnung: V03-Punkt; Blickpunkt auf sicherem Gehweg; keine Straßenquerung für die Antwort verlangen.</t>
  </si>
  <si>
    <t>Blickt auf: Ein Torbogen zwischen zwei deutlich runden Türmen.</t>
  </si>
  <si>
    <t>Blickt auf: Vermauerter antiker Bogen im massiven Ziegelmauerwerk.</t>
  </si>
  <si>
    <t>Gleichörtiger Fallback gemäß Ortszuordnung: V03-Punkt; Frage muss den antiken Bogen eindeutig von modernen Durchbrüchen abgrenzen.</t>
  </si>
  <si>
    <t>Blickt auf: Monumentale Fassade mit zentraler oberer Loggia und Marienbezug; großer öffentlicher Platz davor.</t>
  </si>
  <si>
    <t>Gleichörtiger Fallback gemäß Ortszuordnung: World-boss staging point placed on Piazza di Santa Maria Maggiore, outside the basilica. No interior access may be required.; Primär Boss-Staging auf dem öffentlichen Platz. Die Loggiazahl muss auf aktuellem Frontalbild nochmals bestätigt werden.</t>
  </si>
  <si>
    <t>Blickt auf: Schlichter Obelisk ohne Hieroglyphen, oben mit Kreuz.</t>
  </si>
  <si>
    <t>Blickt auf: Sehr hohe antike Ziegelmauerreste im öffentlichen Park.</t>
  </si>
  <si>
    <t>Gleichörtiger Fallback gemäß Ortszuordnung: V03-Punkt; VISUAL_EVIDENCE_NOT_YET_VERIFIED|EXTERIOR_VANTAGE_POINT_REQUIRED|PAID_INTERIOR_OR_SITE_RISK_USE_EXTERIOR_ONLY</t>
  </si>
  <si>
    <t>Blickt auf: Zwei große Durchgänge, darüber mehrere gemauerte Aquäduktkanäle und monumentale Inschriften.</t>
  </si>
  <si>
    <t>Gleichörtiger Fallback gemäß Ortszuordnung: V03-Punkt; Sicheren Gehwegpunkt festlegen; keine Überquerung des Verkehrsknotens verlangen.</t>
  </si>
  <si>
    <t>OBS-M-D1-01-1</t>
  </si>
  <si>
    <t>OBS-M-D1-02-1</t>
  </si>
  <si>
    <t>Blickt auf: Zehn große Engelsfiguren auf beiden Balustraden; Petrus und Paulus stehen getrennt an den Brückenköpfen.</t>
  </si>
  <si>
    <t>OBS-M-D1-03-1</t>
  </si>
  <si>
    <t>OBS-M-D1-03-2</t>
  </si>
  <si>
    <t>OBS-M-D1-03-3</t>
  </si>
  <si>
    <t>OBS-M-LT-01-1</t>
  </si>
  <si>
    <t>OBS-M-D2-01-1</t>
  </si>
  <si>
    <t>Blickt auf: Sehr große langgestreckte Senke der Rennbahn zwischen zwei Hügeln.</t>
  </si>
  <si>
    <t>Gleichörtiger Fallback gemäß Ortszuordnung: Official Turismo Roma coordinate; page states that the site is always open. The photoquest must remain in the freely accessible open area.; Fotoquest Streitwagenrennen: exakt fünf Bilder; Pickup und Upload am selben Außenpunkt im 15-m-Radius.</t>
  </si>
  <si>
    <t>OBS-M-D2-02-1</t>
  </si>
  <si>
    <t>OBS-M-D2-03-1</t>
  </si>
  <si>
    <t>Blickt auf: Mehrgeschossiger Ziegel-Halbkreis mit vielen Bogenöffnungen, vom öffentlichen Bereich Via IV Novembre sichtbar.</t>
  </si>
  <si>
    <t>Gleichörtiger Fallback gemäß Ortszuordnung: Videoquest point uses the official Via Quattro Novembre 94 address outside the paid museum. Verify an unobstructed public pavement position before release.; Videoquest ausschließlich am öffentlichen Außenpunkt; Museumseintritt ist nicht Bestandteil.</t>
  </si>
  <si>
    <t>OBS-H-D1-01-1</t>
  </si>
  <si>
    <t>OBS-H-D1-02-1</t>
  </si>
  <si>
    <t>OBS-H-D1-03-1</t>
  </si>
  <si>
    <t>Blickt auf: Figürliche Gruppe kleiner Satyrwesen auf einer Felsinszenierung.</t>
  </si>
  <si>
    <t>Gleichörtiger Fallback gemäß Ortszuordnung: V03-Punkt; Nur nutzen, wenn Villa Sciarra zu den Spielzeiten sicher geöffnet ist; sonst als Hidden/Reserve.</t>
  </si>
  <si>
    <t>OBS-H-D2-01-1</t>
  </si>
  <si>
    <t>Blickt auf: Porta Magica mit alchemistischen Inschriften und zwei massiven Wächterfiguren.</t>
  </si>
  <si>
    <t>Gleichörtiger Fallback gemäß Ortszuordnung: V03-Punkt; Nur innerhalb der sicheren Tagesöffnung des Gartens einplanen; bei Sperre gleichörtige Platzaufgabe bereitstellen.</t>
  </si>
  <si>
    <t>OBS-H-D2-02-1</t>
  </si>
  <si>
    <t>Blickt auf: Große Rose der Winde aus Ziegel und Travertin im Gartenpflaster.</t>
  </si>
  <si>
    <t>Gleichörtiger Fallback gemäß Ortszuordnung: V03-Punkt; Der Garten ist offiziell von Morgendämmerung bis Abenddämmerung geöffnet; für Tag 2 zeitlich voraussichtlich passend, aber Fallback vorsehen.</t>
  </si>
  <si>
    <t>OBS-B-D1-01-1</t>
  </si>
  <si>
    <t>Blickt auf: Weite, offene Aussichtsterrasse beim Garibaldi-Denkmal; geeignet als sichere Bossbühne, nicht als kleines Suchobjekt.</t>
  </si>
  <si>
    <t>Gleichörtiger Fallback gemäß Ortszuordnung: V03-Punkt; Primär Weltboss-Ort. Kampftrigger großzügig setzen und vom Straßenverkehr abwenden.</t>
  </si>
  <si>
    <t>OBS-B-D2-01-1</t>
  </si>
  <si>
    <t>synthesis</t>
  </si>
  <si>
    <t>TEXT_CODE</t>
  </si>
  <si>
    <t>FIDES</t>
  </si>
  <si>
    <t>FIDES|TREUE</t>
  </si>
  <si>
    <t>Geschlossener Mauerzug des Passetto; die Lösung wird aus Konrads Dialog und dem sichtbaren Wegzusammenhang hergeleitet.</t>
  </si>
  <si>
    <t>A/B</t>
  </si>
  <si>
    <t>Das Wort beginnt mit F.</t>
  </si>
  <si>
    <t>Fünf Buchstaben: F _ D _ S.</t>
  </si>
  <si>
    <t>Bonus -10 %</t>
  </si>
  <si>
    <t>MATCH_AND_MC</t>
  </si>
  <si>
    <t>San Pellegrino = Stierwappen | Cavalleggeri = einzelner Restbogen | Santo Spirito = Säulen und leere Nischen</t>
  </si>
  <si>
    <t>SANTO_SPIRITO</t>
  </si>
  <si>
    <t>PORTA SANTO SPIRITO</t>
  </si>
  <si>
    <t>Großformen und Wappen aus der Ortszuordnung.</t>
  </si>
  <si>
    <t>Vergleicht Breite und freie Sammelfläche.</t>
  </si>
  <si>
    <t>Das letzte Tor der Route besitzt den deutlichsten Mittelbogen.</t>
  </si>
  <si>
    <t>Kein Rüstungsbonus</t>
  </si>
  <si>
    <t>MULTIPLE_CHOICE</t>
  </si>
  <si>
    <t>A: Dreizack | B: Ring | C: Schachbrett | D: Spirale</t>
  </si>
  <si>
    <t>DREIZACK|TRIDENT</t>
  </si>
  <si>
    <t>Drei radial ausgehende Straßen zwischen den Zwillingskirchen.</t>
  </si>
  <si>
    <t>Blickt vom Obelisken nach Süden.</t>
  </si>
  <si>
    <t>Drei Spitzen gehören zu einem antiken Werkzeug und zu Neptun.</t>
  </si>
  <si>
    <t>Navigationsbonus entfällt</t>
  </si>
  <si>
    <t>A: Adler | B: Wölfin | C: Pferd | D: Delfin</t>
  </si>
  <si>
    <t>WÖLFIN|WOELFIN</t>
  </si>
  <si>
    <t>Wölfin mit Romulus und Remus im unteren Brunnenbereich.</t>
  </si>
  <si>
    <t>Sucht unterhalb der sitzenden Göttin.</t>
  </si>
  <si>
    <t>Das Tier säugt zwei Kinder.</t>
  </si>
  <si>
    <t>Gegner behält eine Zusatzfähigkeit</t>
  </si>
  <si>
    <t>A: Muschel | B: Boot | C: Krone | D: Amphore</t>
  </si>
  <si>
    <t>BOOT|BARKE|SCHIFF</t>
  </si>
  <si>
    <t>Bootsförmiger Brunnen am Fuß der Spanischen Treppe.</t>
  </si>
  <si>
    <t>Achtet auf Bug und Heck.</t>
  </si>
  <si>
    <t>Er sieht aus, als läge er sehr tief im Wasser.</t>
  </si>
  <si>
    <t>Wissensbonus entfällt</t>
  </si>
  <si>
    <t>A: Nord–Mitte–Süd | B: Süd–Nord–Mitte | C: Mitte–Süd–Nord</t>
  </si>
  <si>
    <t>NEPTUN|VIERSTRÖME|MOHR</t>
  </si>
  <si>
    <t>Drei Großbrunnen entlang der Piazza-Navona-Achse.</t>
  </si>
  <si>
    <t>Neptun liegt am nördlichen Ende.</t>
  </si>
  <si>
    <t>Der Vierströmebrunnen bildet die Mitte.</t>
  </si>
  <si>
    <t>Materialbonus entfällt</t>
  </si>
  <si>
    <t>M AGRIPPA|MARCUS AGRIPPA</t>
  </si>
  <si>
    <t>Große Inschrift über dem Portikus, vom Platz sichtbar.</t>
  </si>
  <si>
    <t>Sucht die Buchstabenfolge direkt über den Säulen.</t>
  </si>
  <si>
    <t>A G R I P P A</t>
  </si>
  <si>
    <t>Mumie behält Schutzschicht</t>
  </si>
  <si>
    <t>A: Obelisk–Hieroglyphen; Säule–Spiralrelief | B: Obelisk–Spiralrelief; Säule–Hieroglyphen | C: beide ohne Bildzeichen</t>
  </si>
  <si>
    <t>OBELISK HIEROGLYPHEN|SÄULE SPIRALRELIEF</t>
  </si>
  <si>
    <t>Sichtbare Schrift- und Reliefmuster.</t>
  </si>
  <si>
    <t>Das ägyptische Monument trägt ägyptische Zeichen.</t>
  </si>
  <si>
    <t>Das römische Relief wickelt sich wie ein Band um die Säule.</t>
  </si>
  <si>
    <t>A: Wasser führen und inszenieren | B: Stadtmauer bilden | C: Märkte überdachen | D: Pferde trainieren</t>
  </si>
  <si>
    <t>WASSER|WASSERVERSORGUNG</t>
  </si>
  <si>
    <t>Sichtbare Brunnen und Aquäduktarkaden.</t>
  </si>
  <si>
    <t>Folgt gedanklich dem Wasser.</t>
  </si>
  <si>
    <t>Das mittlere Objekt transportiert; die äußeren zeigen.</t>
  </si>
  <si>
    <t>Gegner behält Schmutzstoß</t>
  </si>
  <si>
    <t>A: Präsident der Italienischen Republik | B: Senat der Antike | C: Vatikanische Post | D: Stadtmuseum</t>
  </si>
  <si>
    <t>PRÄSIDENT|PRAESIDENT</t>
  </si>
  <si>
    <t>Monumentale Palastfassade; Wissensantwort aus verifiziertem Fact-Set.</t>
  </si>
  <si>
    <t>Es geht um die heutige Republik.</t>
  </si>
  <si>
    <t>Das Staatsoberhaupt arbeitet dort.</t>
  </si>
  <si>
    <t>Belohnungswahl ohne Zusatzbonus</t>
  </si>
  <si>
    <t>TEXT_AND_MC</t>
  </si>
  <si>
    <t>A: am Sockel | B: auf Dächern | C: im Brunnen</t>
  </si>
  <si>
    <t>MARIA|A</t>
  </si>
  <si>
    <t>MARIA;SOCKEL|MARIA A</t>
  </si>
  <si>
    <t>Große Marienstatue auf der Spitze; vier sitzende Sockelfiguren.</t>
  </si>
  <si>
    <t>Blickt zuerst ganz nach oben.</t>
  </si>
  <si>
    <t>Die weiteren Figuren sitzen nahe dem Boden.</t>
  </si>
  <si>
    <t>SORT_MATCH</t>
  </si>
  <si>
    <t>Ordnet die vier Orte ihren Stimmen zu: Verbindung, institutionelle Macht, Widerspruch, republikanische Erinnerung.</t>
  </si>
  <si>
    <t>Ponte Sisto | Palazzo Farnese | Campo de' Fiori | Largo di Torre Argentina</t>
  </si>
  <si>
    <t>PONTE=VERBINDUNG|FARNESE=MACHT|CAMPO=WIDERSPRUCH|LARGO=ERINNERUNG</t>
  </si>
  <si>
    <t>Kreisöffnung, Lilienwappen, geschlossenes Buch, vier Tempelkomplexe.</t>
  </si>
  <si>
    <t>Beginnt mit der Brücke: Sie verbindet.</t>
  </si>
  <si>
    <t>Das geschlossene Buch gehört zur Stimme des Widerspruchs.</t>
  </si>
  <si>
    <t>Mindestens drei verfügbare Stationen zuordnen.</t>
  </si>
  <si>
    <t>Entscheidungsbonus -10 %</t>
  </si>
  <si>
    <t>SORT_CHRONOLOGY</t>
  </si>
  <si>
    <t>Marcellustheater | Fontana delle Tartarughe | Sant'Andrea della Valle</t>
  </si>
  <si>
    <t>MARCELLUSTHEATER&gt;TARTARUGHE&gt;SANT_ANDREA</t>
  </si>
  <si>
    <t>TEATRO&gt;TARTARUGHE&gt;SANTANDREA</t>
  </si>
  <si>
    <t>Antike Arkaden, Renaissancebrunnen, barocke Fassade.</t>
  </si>
  <si>
    <t>Die antiken Arkaden kommen zuerst.</t>
  </si>
  <si>
    <t>Der Brunnen liegt zeitlich vor der barocken Fassade.</t>
  </si>
  <si>
    <t>Chronik-Dramaturgiebonus entfällt</t>
  </si>
  <si>
    <t>NAVIS</t>
  </si>
  <si>
    <t>SCHIFF|NAVIS</t>
  </si>
  <si>
    <t>Travertinverkleidung in Form eines Schiffsbugs; Blickpunkt muss bestätigt sein.</t>
  </si>
  <si>
    <t>Das sichtbare Motiv ist ein Fahrzeug auf Wasser.</t>
  </si>
  <si>
    <t>Fünf Buchstaben: N A V I S.</t>
  </si>
  <si>
    <t>Heilbonus halbiert</t>
  </si>
  <si>
    <t>SOURCE_CLASSIFICATION</t>
  </si>
  <si>
    <t>Kirchenname | Fassadenmosaik | Cecilia spricht durch die App</t>
  </si>
  <si>
    <t>KIRCHENNAME=SICHTBAR|MOSAIk=SICHTBAR|APP_STIMME=FIKTION</t>
  </si>
  <si>
    <t>Außenhinweise beider Kirchen; kein Innenraum.</t>
  </si>
  <si>
    <t>Was ihr selbst seht, ist SICHTBAR.</t>
  </si>
  <si>
    <t>Die sprechende Figur gehört eindeutig zur Spielrahmung.</t>
  </si>
  <si>
    <t>Quellenbonus entfällt</t>
  </si>
  <si>
    <t>SORT_ROUTE</t>
  </si>
  <si>
    <t>Mauern | Ossarium | Acqua Paola | Garibaldi | Anita</t>
  </si>
  <si>
    <t>MAUERN&gt;OSSARIUM&gt;ACQUA_PAOLA&gt;GARIBALDI&gt;ANITA</t>
  </si>
  <si>
    <t>Serverseitig bestätigte Stationsfolge.</t>
  </si>
  <si>
    <t>Beginnt unten an den Mauern.</t>
  </si>
  <si>
    <t>Die Wasserfassade liegt vor den beiden Reiterdenkmälern.</t>
  </si>
  <si>
    <t>Ein gemeinsamer Startbuff entfällt</t>
  </si>
  <si>
    <t>A: Sternmuster–Orientierung; Caesar–Macht/Erinnerung | B: Sternmuster–Handel; Caesar–Wasser | C: beide–Zufall</t>
  </si>
  <si>
    <t>STERN ORIENTIERUNG|CAESAR MACHT</t>
  </si>
  <si>
    <t>Robustes Bodenmuster und monumentale Figur.</t>
  </si>
  <si>
    <t>Der Stern ordnet den Platz.</t>
  </si>
  <si>
    <t>Eine Feldherrnfigur trägt politische Erinnerung.</t>
  </si>
  <si>
    <t>Dialogbonus entfällt</t>
  </si>
  <si>
    <t>A: eine | B: zwei | C: drei | D: vier</t>
  </si>
  <si>
    <t>2|ZWEI</t>
  </si>
  <si>
    <t>Zwei weithin sichtbare Dachquadrigen.</t>
  </si>
  <si>
    <t>Blickt an beide oberen Enden.</t>
  </si>
  <si>
    <t>Die Komposition ist paarig.</t>
  </si>
  <si>
    <t>Schnellbonus entfällt</t>
  </si>
  <si>
    <t>MATCH_TACTICS</t>
  </si>
  <si>
    <t>Konstantinsbogen | Kolosseum | Ludus Magnus</t>
  </si>
  <si>
    <t>BOGEN=TRIUMPH|KOLOSSEUM=SPEKTAKEL|LUDUS=TRAINING</t>
  </si>
  <si>
    <t>Großformen der drei Außenpunkte.</t>
  </si>
  <si>
    <t>Ein Bogen feiert den Durchzug.</t>
  </si>
  <si>
    <t>Die kleine ovale Arena gehört zum Training.</t>
  </si>
  <si>
    <t>Kein Initiativbonus</t>
  </si>
  <si>
    <t>TEXT_CLASSIFICATION</t>
  </si>
  <si>
    <t>Welches lateinische Wort für Wahrheit schließt die Prüfung?</t>
  </si>
  <si>
    <t>VERITAS</t>
  </si>
  <si>
    <t>WAHRHEIT|VERITAS</t>
  </si>
  <si>
    <t>Vier sichtbare Großformen; Schlusswort wird aus dem Dialog hergeleitet.</t>
  </si>
  <si>
    <t>Das gesuchte Wort beginnt mit V.</t>
  </si>
  <si>
    <t>V E R I T A S.</t>
  </si>
  <si>
    <t>Auswahl VERITAS | FORTUNA | AQUA</t>
  </si>
  <si>
    <t>A: zwei Tritonen – Palatin gegenüber – Wasser aus dem Mund | B: vier Tritonen – Kapitol – Wasser aus den Augen | C: ein Triton – Gianicolo – kein Wasser</t>
  </si>
  <si>
    <t>2|PALATIN|MUND</t>
  </si>
  <si>
    <t>Großfiguren, Panorama und Maskengesicht.</t>
  </si>
  <si>
    <t>Beginnt mit der Anzahl der Träger.</t>
  </si>
  <si>
    <t>Die Maske spricht mit Wasser aus dem Mund.</t>
  </si>
  <si>
    <t>Kein Medienquest-Bonus</t>
  </si>
  <si>
    <t>A: Schiff | B: Löwe | C: Tempel | D: Amphore</t>
  </si>
  <si>
    <t>SCHIFF|BOOT|NAVICELLA</t>
  </si>
  <si>
    <t>Großes steinernes Schiff als Brunnenobjekt.</t>
  </si>
  <si>
    <t>Sucht Bug, Bordwand und Heck.</t>
  </si>
  <si>
    <t>Navicella bedeutet kleines Schiff.</t>
  </si>
  <si>
    <t>FUNCTION_MATCH</t>
  </si>
  <si>
    <t>Lateranbasilika | Lateranobelisk | Porta San Giovanni</t>
  </si>
  <si>
    <t>BASILIKA=GEISTLICH|OBELISK=IMPERIAL|PORTA=ZUGANG</t>
  </si>
  <si>
    <t>Fassadenstatuen, Hieroglyphen, drei Tordurchgänge.</t>
  </si>
  <si>
    <t>Eine Kirche markiert die geistliche Funktion.</t>
  </si>
  <si>
    <t>Ein Tor organisiert den Zugang.</t>
  </si>
  <si>
    <t>Schutzwahl ohne Bonus</t>
  </si>
  <si>
    <t>MATCH_STATE</t>
  </si>
  <si>
    <t>Porta Latina | Porta Metronia</t>
  </si>
  <si>
    <t>LATINA=FLANKIERT_OFFEN|METRONIA=ZUGEMAUERT</t>
  </si>
  <si>
    <t>Zwei runde Türme und eindeutig markierter historischer Bogen.</t>
  </si>
  <si>
    <t>Latina besitzt zwei runde Türme.</t>
  </si>
  <si>
    <t>Achtet bei Metronia nur auf den antiken Bogen, nicht auf moderne Durchbrüche.</t>
  </si>
  <si>
    <t>Skorpion behält Verteidigung</t>
  </si>
  <si>
    <t>LATERES</t>
  </si>
  <si>
    <t>ZIEGEL|LATERES</t>
  </si>
  <si>
    <t>Hohe antike Ziegelmauerreste im öffentlichen Park.</t>
  </si>
  <si>
    <t>Die Lösung bezeichnet das dominante Baumaterial.</t>
  </si>
  <si>
    <t>Sie beginnt mit L und endet mit ES.</t>
  </si>
  <si>
    <t>Bosswiderstand entfällt</t>
  </si>
  <si>
    <t>INFRASTRUCTURE_MATCH</t>
  </si>
  <si>
    <t>Welche Doppelfunktion zeigt das Bauwerk?</t>
  </si>
  <si>
    <t>Tor/Durchgang | Träger von Wasserleitungen | Markthalle | Theater</t>
  </si>
  <si>
    <t>TOR_UND_AQUAEDUKT</t>
  </si>
  <si>
    <t>TOR UND WASSERLEITUNG|DURCHGANG UND AQUÄDUKT</t>
  </si>
  <si>
    <t>Zwei große Durchgänge; gemauerte Kanäle und Inschriften darüber.</t>
  </si>
  <si>
    <t>Blickt durch die Bögen und anschließend darüber.</t>
  </si>
  <si>
    <t>Unten passiert Verkehr, oben floss Wasser.</t>
  </si>
  <si>
    <t>Zwei bebilderte Funktionskarten auswählen.</t>
  </si>
  <si>
    <t>Hydra behält zusätzlichen Kopf</t>
  </si>
  <si>
    <t>NUMBER</t>
  </si>
  <si>
    <t>4</t>
  </si>
  <si>
    <t>VIER</t>
  </si>
  <si>
    <t>Vier sichtbare Schildkröten.</t>
  </si>
  <si>
    <t>Blickt rings um das obere Becken.</t>
  </si>
  <si>
    <t>Je eine an vier Seiten.</t>
  </si>
  <si>
    <t>Kein Erstschlagbonus</t>
  </si>
  <si>
    <t>3</t>
  </si>
  <si>
    <t>DREI</t>
  </si>
  <si>
    <t>Drei teils eingetiefte Travertinarkaden.</t>
  </si>
  <si>
    <t>Blickt hinter die Absperrung.</t>
  </si>
  <si>
    <t>Zählt nur die antiken Öffnungen.</t>
  </si>
  <si>
    <t>Ratte behält Ausweichen</t>
  </si>
  <si>
    <t>MATCH</t>
  </si>
  <si>
    <t>LINKS|RECHTS</t>
  </si>
  <si>
    <t>FIELD_REFERENCE_REQUIRED</t>
  </si>
  <si>
    <t>Figürliche Satyrgruppe; genaue Seitenzuordnung vor Ort bestätigen.</t>
  </si>
  <si>
    <t>Vergleicht Hände und Attribute.</t>
  </si>
  <si>
    <t>Fallback nutzt nur die Gattung: Satyrn.</t>
  </si>
  <si>
    <t>Kampf startet ohne Verwirrungsdebuff</t>
  </si>
  <si>
    <t>SEQUENCE</t>
  </si>
  <si>
    <t>STEIN|METALL|LICHT</t>
  </si>
  <si>
    <t>STEIN&gt;METALL&gt;LICHT</t>
  </si>
  <si>
    <t>Zwei Wächter und Porta Magica als sichtbarer Anker; Sequenz kommt aus Dialog-Fact-Set.</t>
  </si>
  <si>
    <t>Beginnt mit dem festen Material.</t>
  </si>
  <si>
    <t>Licht steht am Ende.</t>
  </si>
  <si>
    <t>Bonusloot entfällt</t>
  </si>
  <si>
    <t>DIRECTION_TEXT</t>
  </si>
  <si>
    <t>USCITA</t>
  </si>
  <si>
    <t>AUSGANG|USCITA</t>
  </si>
  <si>
    <t>Große Windrose im Gartenpflaster.</t>
  </si>
  <si>
    <t>Orientiert euch am N.</t>
  </si>
  <si>
    <t>U S C I T A.</t>
  </si>
  <si>
    <t>Optionaler Gegner wird aggressiver</t>
  </si>
  <si>
    <t>Via Romae – Kampfprofile v0.9</t>
  </si>
  <si>
    <t>Questgegner, World Bosse und zwölf Unique WORLD_ENEMIES. Qualitative Profile und kanonische Zahlenwerte sind vollständig referenziert; offene Punkte bleiben ausschliesslich Runtime-/Freigabefragen.</t>
  </si>
  <si>
    <t>Combat-Profile-ID</t>
  </si>
  <si>
    <t>Quest-/Encounter-IDs</t>
  </si>
  <si>
    <t>Gegner</t>
  </si>
  <si>
    <t>Narrativer Auftritt</t>
  </si>
  <si>
    <t>Fähigkeit 1</t>
  </si>
  <si>
    <t>Fähigkeit 2</t>
  </si>
  <si>
    <t>Phasenregel</t>
  </si>
  <si>
    <t>Zielwahl</t>
  </si>
  <si>
    <t>Counterplay / Anfälligkeit</t>
  </si>
  <si>
    <t>Status-Effekte</t>
  </si>
  <si>
    <t>Siegbedingung</t>
  </si>
  <si>
    <t>Niederlage / Retry</t>
  </si>
  <si>
    <t>Reward-Klasse</t>
  </si>
  <si>
    <t>Respawn / Verfügbarkeit</t>
  </si>
  <si>
    <t>Noch zu balancieren</t>
  </si>
  <si>
    <t>QUEST_ENEMY</t>
  </si>
  <si>
    <t>CONTROL</t>
  </si>
  <si>
    <t>Ein flacher Mauerschatten löst sich aus den Schießscharten und zieht Fluchtwege wie schwarze Bänder zu.</t>
  </si>
  <si>
    <t>Markiert zuerst einen Ausgang, sperrt ihn in der Folgerunde und bestraft unkoordinierte Zielwechsel.</t>
  </si>
  <si>
    <t>Mauergriff: blockiert eine Unterstützungsaktion für eine Runde.</t>
  </si>
  <si>
    <t>Falscher Ausgang: legt zwei scheinbare Ziele an; Beobachtungshinweis deckt das echte auf.</t>
  </si>
  <si>
    <t>Optionaler Kampf nur bei Teamentscheidung SCHATTEN_STELLEN; keine zweite Phase.</t>
  </si>
  <si>
    <t>Bevorzugt den Spieler mit der letzten Questinteraktion.</t>
  </si>
  <si>
    <t>Siegel der Schildwacht oder Schweizergardisten-Schutzruf entfernt die erste Sperre.</t>
  </si>
  <si>
    <t>MARKED_EXIT|ACTION_LOCK</t>
  </si>
  <si>
    <t>SIDE_B_DEFEATED / objective-specific</t>
  </si>
  <si>
    <t>TEAM_WIPED / retry rule</t>
  </si>
  <si>
    <t>Späteres Reward-/Loot-Balancing</t>
  </si>
  <si>
    <t>QUEST_INSTANCE_NO_RESPAWN</t>
  </si>
  <si>
    <t>Mobile-RPG-Gegnerkonzept, vollständige Figur, gut lesbare Kampfsilhouette, Rom-Fantasy, Dünne humanoide Schattenfigur aus verwittertem Mauerputz, verlängerte Arme, Hellebardensilhouette ohne Waffe, kalte blaue Augen, Passetto-Mauer als abstrakter Hintergrund. Dramatisches aber nicht fotorealistisches Licht, neutraler transparenzgeeigneter Hintergrund, keine Schrift, kein Logo, keine Gore.</t>
  </si>
  <si>
    <t>HP|DEF|Damage|Initiative|Statuschance|Rewards</t>
  </si>
  <si>
    <t>DEFENDER</t>
  </si>
  <si>
    <t>Ein päpstlicher Reitergeist senkt die Lanze und erklärt die gewählte Torordnung zur Beleidigung.</t>
  </si>
  <si>
    <t>Beginnt defensiv; telegraphiert eine Lanzenlinie und kontert Angriffe auf falsche Ziele.</t>
  </si>
  <si>
    <t>Lanzenritt: starker Einzelangriff nach einer sichtbaren Vorbereitungsrunde.</t>
  </si>
  <si>
    <t>Wappenschild: erhält Schutz, bis das korrekte Tor-Merkmal aktiviert wird.</t>
  </si>
  <si>
    <t>Bei halber Vitalität steigt er ab und verliert Reichweite, gewinnt aber Konter.</t>
  </si>
  <si>
    <t>Zielt zuerst auf den höchsten Angriffswert.</t>
  </si>
  <si>
    <t>Condottiere-Analyse oder richtige Torreihenfolge bricht Wappenschild.</t>
  </si>
  <si>
    <t>GUARDED|TELEGRAPHED_CHARGE</t>
  </si>
  <si>
    <t>Mobile-RPG-Gegnerkonzept, vollständige Figur, gut lesbare Kampfsilhouette, Rom-Fantasy, Geisterhafter Renaissance-Kavallerist, dunkle päpstliche Reiterrüstung, rot-goldener Mantel, halbtransparentes Pferd aus Staub, lange Lanze, Wappenschild. Dramatisches aber nicht fotorealistisches Licht, neutraler transparenzgeeigneter Hintergrund, keine Schrift, kein Logo, keine Gore.</t>
  </si>
  <si>
    <t>ILLUSIONIST</t>
  </si>
  <si>
    <t>Ein schöner, gesichtsloser Schatten erscheint zwischen Hieroglyphen und Stadtpanorama.</t>
  </si>
  <si>
    <t>Erzeugt Spiegelbilder; jede richtige Ortszuordnung entfernt eines vor Kampfbeginn.</t>
  </si>
  <si>
    <t>Spiegel des Favoriten: kopiert die zuletzt eingesetzte Spielerfähigkeit abgeschwächt.</t>
  </si>
  <si>
    <t>Vergessene Wölfin: teamweiter Furchteffekt, falls Tessera Lupae nicht eingesetzt wurde.</t>
  </si>
  <si>
    <t>Eine Phase; bei niedriger Vitalität werden Zielbilder schneller, aber fragiler.</t>
  </si>
  <si>
    <t>Zielt auf den Spieler mit den meisten Buffs.</t>
  </si>
  <si>
    <t>Tessera Lupae entfernt Furcht; Beobachtungsmarker entlarven Original.</t>
  </si>
  <si>
    <t>ILLUSION|FEAR</t>
  </si>
  <si>
    <t>Mobile-RPG-Gegnerkonzept, vollständige Figur, gut lesbare Kampfsilhouette, Rom-Fantasy, Eleganter geisterhafter Jüngling als dunkle Marmor-Silhouette, Gesicht bewusst nicht realistisch, goldene Hieroglyphenrisse, violetter Nebel, mehrere brüchige Spiegelbilder. Dramatisches aber nicht fotorealistisches Licht, neutraler transparenzgeeigneter Hintergrund, keine Schrift, kein Logo, keine Gore.</t>
  </si>
  <si>
    <t>DEBUFFER</t>
  </si>
  <si>
    <t>Eine kleine in Leinen gewickelte Kultfigur erwacht aus dem Obeliskschatten und sammelt verlorene Buchstaben.</t>
  </si>
  <si>
    <t>Verflucht falsche Texteingaben und baut eine Schutzschicht aus Hieroglyphen auf.</t>
  </si>
  <si>
    <t>Buchstabenraub: sperrt eine zufällige Fähigkeit bis ein Teammitglied das korrekte Wort bestätigt.</t>
  </si>
  <si>
    <t>Leinenpanzer: reduziert den ersten direkten Treffer jeder Runde.</t>
  </si>
  <si>
    <t>Keine Phase; optionaler Kampf nach korrekter Transkription deutlich kürzer.</t>
  </si>
  <si>
    <t>Bevorzugt Spieler mit ungenutzten Unterstützungsfähigkeiten.</t>
  </si>
  <si>
    <t>Wachstafel AGRIPPA entfernt Leinenpanzer; Feuer-/Lichtthema unterbricht Buchstabenraub.</t>
  </si>
  <si>
    <t>SILENCED_SKILL|WRAPPED_ARMOR</t>
  </si>
  <si>
    <t>Mobile-RPG-Gegnerkonzept, vollständige Figur, gut lesbare Kampfsilhouette, Rom-Fantasy, Kleine römisch-ägyptische Mumiengestalt, altes Leinen, bronzene Amulette, schwebende Buchstaben, türkis leuchtende Augen, keine Gruselgore. Dramatisches aber nicht fotorealistisches Licht, neutraler transparenzgeeigneter Hintergrund, keine Schrift, kein Logo, keine Gore.</t>
  </si>
  <si>
    <t>D1-Q09|H-D1-02</t>
  </si>
  <si>
    <t>SKIRMISHER</t>
  </si>
  <si>
    <t>Eine übergroße Kanalratte schüttelt Travertinstaub aus dem Fell und verteidigt gestohlene Münzen.</t>
  </si>
  <si>
    <t>Wechselt zwischen schnellem Biss und Rückzug; baut Schmutzstapel auf, wenn das Team denselben Angriff wiederholt.</t>
  </si>
  <si>
    <t>Schmutzspritzer: teamweiter kleiner Debuff auf Heilung.</t>
  </si>
  <si>
    <t>Münzflucht: erhält Ausweichen und versucht in der Folgerunde einen Denareneffekt auszulösen.</t>
  </si>
  <si>
    <t>Keine Phase; Hidden-Variante startet mit Ausweichen, reguläre Questvariante mit Schmutz.</t>
  </si>
  <si>
    <t>Zielt auf den Charakter mit niedrigster aktueller Vitalität.</t>
  </si>
  <si>
    <t>Ampulla Virgo reinigt Schmutz; abwechslungsreiche Aktionen verhindern Ausweichen.</t>
  </si>
  <si>
    <t>DIRTY|HEALING_REDUCED|EVASIVE</t>
  </si>
  <si>
    <t>Mobile-RPG-Gegnerkonzept, vollständige Figur, gut lesbare Kampfsilhouette, Rom-Fantasy, Große nasse Kanalratte, zerfetzte römische Schärpe, gestohlene Münzen im Fell, Travertinstaub, freches Gesicht, blaugrüne Wasserreflexe. Dramatisches aber nicht fotorealistisches Licht, neutraler transparenzgeeigneter Hintergrund, keine Schrift, kein Logo, keine Gore.</t>
  </si>
  <si>
    <t>DUELIST</t>
  </si>
  <si>
    <t>Ein steinerner Palastwächter tritt nur bei einer provokanten Loyalitätswahl aus der Fassadenlinie.</t>
  </si>
  <si>
    <t>Fordert den stärksten Einzelkämpfer, wechselt aber das Ziel bei Schutzaktionen.</t>
  </si>
  <si>
    <t>Staatsparade: verstärkt Verteidigung, solange kein Teammitglied eine Unterstützungsaktion nutzt.</t>
  </si>
  <si>
    <t>Ehrenkonter: kontert die erste schwere Attacke jeder zweiten Runde.</t>
  </si>
  <si>
    <t>Optionaler Kampf; keine Phasen, aber Haltung wechselt zwischen Parade und Duell.</t>
  </si>
  <si>
    <t>Höchster Angriff, danach Supporter.</t>
  </si>
  <si>
    <t>Team-Support bricht Parade; Condottiere kann Konter früh telegraphieren.</t>
  </si>
  <si>
    <t>PARRY|CEREMONIAL_GUARD</t>
  </si>
  <si>
    <t>Mobile-RPG-Gegnerkonzept, vollständige Figur, gut lesbare Kampfsilhouette, Rom-Fantasy, Hochgewachsener italienischer Kürassier als Stein- und Metallgeist, polierter Brustpanzer, hoher Helm mit Rossschweif, dunkler Umhang, würdevoll statt modern-militärisch. Dramatisches aber nicht fotorealistisches Licht, neutraler transparenzgeeigneter Hintergrund, keine Schrift, kein Logo, keine Gore.</t>
  </si>
  <si>
    <t>D1-Q13|H-D1-01</t>
  </si>
  <si>
    <t>COUNTER_TANK</t>
  </si>
  <si>
    <t>Vier kleine Bronzeschatten formen gemeinsam einen überraschend standhaften Wächter.</t>
  </si>
  <si>
    <t>Zieht sich in den Panzer zurück, wenn mehrere Spieler dasselbe Ziel fokussieren; öffnet sich nach unterschiedlichen Aktionstypen.</t>
  </si>
  <si>
    <t>Vierfacher Panzer: erhält vier Schutzmarken, eine pro sichtbarer Schildkröte.</t>
  </si>
  <si>
    <t>Brunnenstoß: trifft alle, wenn keine Schutzmarke in der Runde entfernt wurde.</t>
  </si>
  <si>
    <t>Keine Phase; Hidden-Version besitzt alle vier Marken, Questversion kann ohne Kampf gelöst werden.</t>
  </si>
  <si>
    <t>Teamweit, sonst letzter Angreifer.</t>
  </si>
  <si>
    <t>Vier unterschiedliche Aktionen entfernen alle Marken; Bildhauer-Schwachstelle zählt doppelt.</t>
  </si>
  <si>
    <t>SHELL_GUARD|SPLASH</t>
  </si>
  <si>
    <t>Mobile-RPG-Gegnerkonzept, vollständige Figur, gut lesbare Kampfsilhouette, Rom-Fantasy, Bronzener Schildkrötenwächter aus vier ineinandergreifenden Schildkrötenformen, grüne Patina, Wasserbänder, goldene Augen, kompakte freundliche Bedrohung. Dramatisches aber nicht fotorealistisches Licht, neutraler transparenzgeeigneter Hintergrund, keine Schrift, kein Logo, keine Gore.</t>
  </si>
  <si>
    <t>COMMANDER</t>
  </si>
  <si>
    <t>Ein verwitterter Freiheitskämpfergeist erhebt eine rote Standarte über der Mauerlinie.</t>
  </si>
  <si>
    <t>Ruft Erinnerungsmarken der Route auf; korrekt geordnete Stationen werden zu Team-Buffs statt gegnerischen Verstärkungen.</t>
  </si>
  <si>
    <t>Standarte halten: baut jede Runde Führung auf, bis ein Kontroll-/Schwachstellenangriff trifft.</t>
  </si>
  <si>
    <t>Salve der Erinnerung: markiert zwei Spieler; beide müssen unterschiedliche defensive Antworten wählen.</t>
  </si>
  <si>
    <t>Bei halber Vitalität zerreißt die Standarte und er wird schneller, verliert aber Gruppenbuffs.</t>
  </si>
  <si>
    <t>Zielt abwechselnd auf Frontlinie und Unterstützer.</t>
  </si>
  <si>
    <t>Vollständige Routenreihenfolge gewährt Startbuff; koordinierte Rollen brechen Standarte.</t>
  </si>
  <si>
    <t>RALLY|MARKED_PAIR|HASTE</t>
  </si>
  <si>
    <t>Mobile-RPG-Gegnerkonzept, vollständige Figur, gut lesbare Kampfsilhouette, Rom-Fantasy, Freiheitskämpfer des 19. Jahrhunderts als Geisteroffizier, rotes Hemd, verwitterter Mantel, zerrissene Standarte, warmes Abendlicht, entschlossener menschlicher Ausdruck. Dramatisches aber nicht fotorealistisches Licht, neutraler transparenzgeeigneter Hintergrund, keine Schrift, kein Logo, keine Gore.</t>
  </si>
  <si>
    <t>TACTICAL_BRUISER</t>
  </si>
  <si>
    <t>Ein Trainingsgladiator tritt aus der ovalen Arena und bewertet die Formation wie ein strenger Coach.</t>
  </si>
  <si>
    <t>Telegraphiert Stoß, Feger oder Schilddruck; die korrekte Funktionszuordnung zeigt den ersten Angriff früh.</t>
  </si>
  <si>
    <t>Arena-Feger: trifft Frontlinie und verschiebt Initiative.</t>
  </si>
  <si>
    <t>Publikumsruf: verstärkt sich, wenn das Team dreimal dieselbe Aktion wählt.</t>
  </si>
  <si>
    <t>Bei halber Vitalität wechselt er vom Schild zur Doppelklinge und verliert Verteidigung.</t>
  </si>
  <si>
    <t>Frontlinie, dann niedrigste Initiative.</t>
  </si>
  <si>
    <t>Aktionsvielfalt verhindert Publikumsruf; Condottiere-Formation reduziert Feger.</t>
  </si>
  <si>
    <t>INITIATIVE_DOWN|CROWD_FAVOR</t>
  </si>
  <si>
    <t>Mobile-RPG-Gegnerkonzept, vollständige Figur, gut lesbare Kampfsilhouette, Rom-Fantasy, Römischer Trainingsgladiator, abgenutzter Helm, rechteckiger Schild und Holzschwert, Lederschutz, Sandstaub, disziplinierter Blick, keine Gore. Dramatisches aber nicht fotorealistisches Licht, neutraler transparenzgeeigneter Hintergrund, keine Schrift, kein Logo, keine Gore.</t>
  </si>
  <si>
    <t>STANCE_SWITCHER</t>
  </si>
  <si>
    <t>Ein viergesichtiger Torwächter dreht sich nach jeder Runde zu einer anderen Himmelsrichtung.</t>
  </si>
  <si>
    <t>Wechselt Schutz-, Handels-, Kult- und Täuschungshaltung; nur die zur sichtbaren Monumentform passende Antwort öffnet eine Schwachstelle.</t>
  </si>
  <si>
    <t>Vier Tore: verschließt eine Aktionskategorie für die nächste Runde.</t>
  </si>
  <si>
    <t>Doppeltes Gesicht: täuscht Zieltelegraphen, falls Fakt und Legende falsch klassifiziert wurden.</t>
  </si>
  <si>
    <t>Vier Haltungen zyklisch; keine zusätzliche Lebensphase.</t>
  </si>
  <si>
    <t>Zielregel wechselt je Haltung.</t>
  </si>
  <si>
    <t>VERITAS oder richtige Klassifikation deckt echte Haltung auf; unterschiedliche Klassenaktionen öffnen Tore.</t>
  </si>
  <si>
    <t>STANCE_LOCK|DECEPTION</t>
  </si>
  <si>
    <t>Mobile-RPG-Gegnerkonzept, vollständige Figur, gut lesbare Kampfsilhouette, Rom-Fantasy, Viergesichtiger steinerner Wächter mit römischem Torbogenpanzer, vier Masken in unterschiedliche Richtungen, bronzene Schlüssel, gold-violette Lichtfugen. Dramatisches aber nicht fotorealistisches Licht, neutraler transparenzgeeigneter Hintergrund, keine Schrift, kein Logo, keine Gore.</t>
  </si>
  <si>
    <t>AREA_CONTROL</t>
  </si>
  <si>
    <t>Ein riesiges steinernes Maskengesicht löst sich als schwebender Wasserspeier aus dem Brunnen.</t>
  </si>
  <si>
    <t>Markiert eine Blickrichtung und flutet in der Folgerunde alle Ziele, die dieselbe Haltung behalten.</t>
  </si>
  <si>
    <t>Mundstrom: telegraphierter Flächenangriff.</t>
  </si>
  <si>
    <t>Falscher Hügel: verwirrt Zielauswahl, wenn Panoramaantwort fehlt.</t>
  </si>
  <si>
    <t>Optionaler Kampf; bei halber Vitalität bricht die Maske und verliert Verwirrung.</t>
  </si>
  <si>
    <t>Teamweite Reihen, priorisiert gruppierte Ziele.</t>
  </si>
  <si>
    <t>Korrekte Palatin-Zuordnung zeigt sichere Reihe; Schutzaktionen teilen Schaden.</t>
  </si>
  <si>
    <t>SOAKED|CONFUSED</t>
  </si>
  <si>
    <t>Mobile-RPG-Gegnerkonzept, vollständige Figur, gut lesbare Kampfsilhouette, Rom-Fantasy, Schwebende barocke Steinmaske, großer Wasserauslass im Mund, moosige Patina, gebrochene Theaterbänder, blaues Wasserlicht. Dramatisches aber nicht fotorealistisches Licht, neutraler transparenzgeeigneter Hintergrund, keine Schrift, kein Logo, keine Gore.</t>
  </si>
  <si>
    <t>ARMORED_TRAPPER</t>
  </si>
  <si>
    <t>Ein Ziegelskorpion kriecht aus der Mauerfuge und legt falsche Wegmarken.</t>
  </si>
  <si>
    <t>Beginnt stark gepanzert; öffnet die Scheren nach richtiger Torzustands-Zuordnung.</t>
  </si>
  <si>
    <t>Mauerklammer: bindet einen Spieler an eine defensive Aktion.</t>
  </si>
  <si>
    <t>Giftiger Umweg: verzögert die nächste Teamaktion, wenn Navigationsrollen fehlen.</t>
  </si>
  <si>
    <t>Keine Phase; Panzerbruch ist der zentrale Zustandswechsel.</t>
  </si>
  <si>
    <t>Zielt auf Navigator, danach niedrigste Verteidigung.</t>
  </si>
  <si>
    <t>Latina/Metronia-Zuordnung senkt Panzer; Schweizergardist schützt Navigator.</t>
  </si>
  <si>
    <t>ARMORED|BOUND|DELAYED</t>
  </si>
  <si>
    <t>Mobile-RPG-Gegnerkonzept, vollständige Figur, gut lesbare Kampfsilhouette, Rom-Fantasy, Großer Skorpion aus römischen Ziegeln und Eisenklammern, Mörtelstaub, glühender Schwanz, Mauerlinienmuster, stilisiert ohne Ekel. Dramatisches aber nicht fotorealistisches Licht, neutraler transparenzgeeigneter Hintergrund, keine Schrift, kein Logo, keine Gore.</t>
  </si>
  <si>
    <t>DOT_SUPPORT</t>
  </si>
  <si>
    <t>Ein humanoider Dampfgeist steigt aus den Ziegelruinen und legt feuchte Schleier über Erinnerungen.</t>
  </si>
  <si>
    <t>Erzeugt Nebelstapel, die Treffer ungenauer machen; wird durch Materialcode kurz kondensiert.</t>
  </si>
  <si>
    <t>Thermenschleier: senkt Zielgenauigkeit des Teams.</t>
  </si>
  <si>
    <t>Heißer Rückstrom: kleiner Schaden über Zeit auf zwei Ziele.</t>
  </si>
  <si>
    <t>Optionaler Kampf; keine Phase, aber Kondensation öffnet ein kurzes Burstfenster.</t>
  </si>
  <si>
    <t>Zufällige zwei Ziele, bevorzugt ungeschützte.</t>
  </si>
  <si>
    <t>LATERES kondensiert den Nebel; Reinigungs- und Windfähigkeiten entfernen Stapel.</t>
  </si>
  <si>
    <t>OBSCURED|HEAT_DOT</t>
  </si>
  <si>
    <t>Mobile-RPG-Gegnerkonzept, vollständige Figur, gut lesbare Kampfsilhouette, Rom-Fantasy, Humanoider Dampfgeist aus weißgrauem Nebel, rote Ziegelstücke als schwebende Rüstung, orange Glut im Inneren, antike Thermenatmosphäre. Dramatisches aber nicht fotorealistisches Licht, neutraler transparenzgeeigneter Hintergrund, keine Schrift, kein Logo, keine Gore.</t>
  </si>
  <si>
    <t>MULTI_ATTACKER</t>
  </si>
  <si>
    <t>Eine steinerne Wasserhydra windet mehrere Hälse durch die Aquäduktkanäle.</t>
  </si>
  <si>
    <t>Jeder aktive Kopf bereitet einen anderen Angriff vor; die Bleiplombe entfernt vorab einen Kopf und dessen Mechanik.</t>
  </si>
  <si>
    <t>Dreifacher Wasserstoß: getrennte Ziele, klar telegraphiert.</t>
  </si>
  <si>
    <t>Leitungsbruch: teamweiter Angriff, wenn zwei Köpfe dieselbe Runde ungestört bleiben.</t>
  </si>
  <si>
    <t>Köpfe werden mechanisch deaktiviert, nicht einzeln mit separaten HP geführt.</t>
  </si>
  <si>
    <t>Verteilt Ziele, danach höchster Unterstützungswert.</t>
  </si>
  <si>
    <t>Bleiplombe deaktiviert Mehrfachangriff; Schwachstellen- und Kontrollaktionen unterbrechen Leitungsbruch.</t>
  </si>
  <si>
    <t>SOAKED|PRESSURE_MARK|INTERRUPTIBLE</t>
  </si>
  <si>
    <t>Mobile-RPG-Gegnerkonzept, vollständige Figur, gut lesbare Kampfsilhouette, Rom-Fantasy, Monumentale Hydra aus Travertin und strömendem Wasser, drei bis vier elegante Schlangenköpfe, Aquäduktbögen als Körper, blau-goldenes Licht. Dramatisches aber nicht fotorealistisches Licht, neutraler transparenzgeeigneter Hintergrund, keine Schrift, kein Logo, keine Gore.</t>
  </si>
  <si>
    <t>CP-QE-DRAMMA</t>
  </si>
  <si>
    <t>L</t>
  </si>
  <si>
    <t>REVIEW_GUARDIAN</t>
  </si>
  <si>
    <t>Eine riesige Theatermaske erscheint nur bei der Abgabe der Bilderchronik und prüft erzählerische Lücken.</t>
  </si>
  <si>
    <t>Kein normaler Kampf: Jede fehlende Rubrikkategorie wird zu einer narrativen Barriere; richtige Bildreihenfolge ersetzt Angriffe.</t>
  </si>
  <si>
    <t>Aktbruch: sperrt die Abgabe, wenn Anfang, Wendung oder Ende fehlt.</t>
  </si>
  <si>
    <t>Rollenraub: markiert eine nicht dargestellte Teamklasse.</t>
  </si>
  <si>
    <t>Drei Review-Phasen statt HP-Schaden.</t>
  </si>
  <si>
    <t>Zielt auf fehlende Rubriken, nicht auf Spieler.</t>
  </si>
  <si>
    <t>6–12 geordnete Bilder und jede vorhandene Klasse lösen alle Barrieren.</t>
  </si>
  <si>
    <t>REVIEW_BLOCK|MISSING_ROLE</t>
  </si>
  <si>
    <t>NO_RESPAWN_REVIEW_ENCOUNTER</t>
  </si>
  <si>
    <t>Mobile-RPG-Gegnerkonzept, vollständige Figur, gut lesbare Kampfsilhouette, Rom-Fantasy, Große zweigeteilte Theatermaske aus Marmor und Bronze, eine lachende und eine ernste Hälfte, zwölf kleine leuchtende Bildrahmen, violetter Bühnennebel. Dramatisches aber nicht fotorealistisches Licht, neutraler transparenzgeeigneter Hintergrund, keine Schrift, kein Logo, keine Gore.</t>
  </si>
  <si>
    <t>CP-QE-AURIGA</t>
  </si>
  <si>
    <t>SEQUENCE_CHECKER</t>
  </si>
  <si>
    <t>Ein geisterhafter Wagenlenker rast ausschließlich durch die fünf Bildfelder der Quest.</t>
  </si>
  <si>
    <t>Medienbegegnung: reagiert auf falsche Reihenfolge mit Zurücksetzen des betroffenen Aktes; kein echter PvE-Kampf nötig.</t>
  </si>
  <si>
    <t>Fehlstart: Akt eins muss neu aufgenommen werden.</t>
  </si>
  <si>
    <t>Verlorene Zügel: markiert eine fehlende Wendung zwischen Bild zwei und vier.</t>
  </si>
  <si>
    <t>Fünf Sequenzphasen.</t>
  </si>
  <si>
    <t>Zielt auf den fehlerhaften Bildslot.</t>
  </si>
  <si>
    <t>Exakte Reihenfolge und sichere statische Posen neutralisieren ihn.</t>
  </si>
  <si>
    <t>SEQUENCE_ERROR</t>
  </si>
  <si>
    <t>NO_RESPAWN_MEDIA_ENCOUNTER</t>
  </si>
  <si>
    <t>Mobile-RPG-Gegnerkonzept, vollständige Figur, gut lesbare Kampfsilhouette, Rom-Fantasy, Geisterhafter römischer Wagenlenker auf durchsichtigem Streitwagen, grünes Renngewand, fünf Lichtspuren wie Bilderrahmen, dynamisch aber ohne reale Kollision. Dramatisches aber nicht fotorealistisches Licht, neutraler transparenzgeeigneter Hintergrund, keine Schrift, kein Logo, keine Gore.</t>
  </si>
  <si>
    <t>CP-QE-GLADIATOR-MEDIA</t>
  </si>
  <si>
    <t>POSE_RIVAL</t>
  </si>
  <si>
    <t>Ein übertriebener Arena-Darsteller kommentiert die Bildkomposition.</t>
  </si>
  <si>
    <t>Kein echter Kampf; bewertet Herausforderung, Wendepunkt und Gnade als drei statische Posen.</t>
  </si>
  <si>
    <t>Zu viel Bewegung: Sicherheitswarnung und Aufnahmeabbruch.</t>
  </si>
  <si>
    <t>Fehlende Gnade: Storyrubrik bleibt unvollständig.</t>
  </si>
  <si>
    <t>Drei Review-Phasen.</t>
  </si>
  <si>
    <t>Zielt auf den aktuellen Bildslot.</t>
  </si>
  <si>
    <t>Statische sichere Posen und klare Dramaturgie.</t>
  </si>
  <si>
    <t>SAFETY_HOLD|MISSING_ACT</t>
  </si>
  <si>
    <t>Mobile-RPG-Gegnerkonzept, vollständige Figur, gut lesbare Kampfsilhouette, Rom-Fantasy, Theatralischer Gladiator mit Holzschwert und leichtem Schild, rote Feder, übertriebene Siegerpose, freundlicher Ausdruck, keine Gewalt. Dramatisches aber nicht fotorealistisches Licht, neutraler transparenzgeeigneter Hintergrund, keine Schrift, kein Logo, keine Gore.</t>
  </si>
  <si>
    <t>CP-QE-TABERNA</t>
  </si>
  <si>
    <t>DEBATER</t>
  </si>
  <si>
    <t>Ein durchsichtiger Ladenbesitzer erscheint im Review und widerspricht jeder unbelegten Kaufempfehlung.</t>
  </si>
  <si>
    <t>Stellt nacheinander Nutzen, Schwäche und Preisfrage; fehlende Antwort erzeugt Zeitdruck statt Schaden.</t>
  </si>
  <si>
    <t>Werbequalm: blendet die Rubrik ‚schlimmste Eigenschaft‘ aus.</t>
  </si>
  <si>
    <t>Letzter Preis: fordert bestätigte Preisangabe bis 5 EUR.</t>
  </si>
  <si>
    <t>Drei Dialogphasen innerhalb von 30–60 Sekunden.</t>
  </si>
  <si>
    <t>Zielt auf fehlende Reviewfelder.</t>
  </si>
  <si>
    <t>Ehrliche Kritik, sichtbarer Gegenstand und Preisangabe lösen die Begegnung.</t>
  </si>
  <si>
    <t>REVIEW_TIMER</t>
  </si>
  <si>
    <t>Mobile-RPG-Gegnerkonzept, vollständige Figur, gut lesbare Kampfsilhouette, Rom-Fantasy, Durchsichtiger römischer Ladenbesitzer, halbkreisförmige Ziegelfassade als Hintergrund, Wachstafel, Waage, skeptisch hochgezogene Augenbraue. Dramatisches aber nicht fotorealistisches Licht, neutraler transparenzgeeigneter Hintergrund, keine Schrift, kein Logo, keine Gore.</t>
  </si>
  <si>
    <t>DUO_TRICKSTER</t>
  </si>
  <si>
    <t>Zwei Satyrzwillinge kämpfen als gemeinsame Einheit und tauschen ständig Attribute.</t>
  </si>
  <si>
    <t>Einer verspottet, einer greift an; Zuordnung zeigt, welcher gerade verwundbar ist.</t>
  </si>
  <si>
    <t>Flötentaumel: zufällige Zielverwechslung.</t>
  </si>
  <si>
    <t>Traubenwurf: kleiner Flächendebuff auf Initiative.</t>
  </si>
  <si>
    <t>Keine zweite Phase; Rollenwechsel jede Runde.</t>
  </si>
  <si>
    <t>Zufälliges Ziel, dann schnellster Spieler.</t>
  </si>
  <si>
    <t>Korrekte Attributzuordnung markiert den verwundbaren Zwilling.</t>
  </si>
  <si>
    <t>CONFUSED|INITIATIVE_DOWN</t>
  </si>
  <si>
    <t>Mobile-RPG-Gegnerkonzept, vollständige Figur, gut lesbare Kampfsilhouette, Rom-Fantasy, Zwei kleine Satyrgeister, einer mit Panflöte, einer mit Traubenranke, dunkler Stein und grünes Moos, schelmische Gesichter. Dramatisches aber nicht fotorealistisches Licht, neutraler transparenzgeeigneter Hintergrund, keine Schrift, kein Logo, keine Gore.</t>
  </si>
  <si>
    <t>CP-QE-ALCHEMIST</t>
  </si>
  <si>
    <t>PUZZLE_CASTER</t>
  </si>
  <si>
    <t>Eine maskierte alchemistische Projektion erscheint nur nach grob falscher Sequenz.</t>
  </si>
  <si>
    <t>Verwandelt falsche Reihenfolgen in Stein-, Metall- oder Lichtbarrieren; richtige nächste Kategorie bricht sie.</t>
  </si>
  <si>
    <t>Metallspiegel: reflektiert den ersten unkoordinierten Angriff.</t>
  </si>
  <si>
    <t>Steinerne Formel: sperrt ein Ziel bis eine Zuordnung gelöst ist.</t>
  </si>
  <si>
    <t>Drei Materialphasen; kann vollständig als Puzzle statt Kampf gelöst werden.</t>
  </si>
  <si>
    <t>Zielt auf den Spieler, der die letzte falsche Antwort gab.</t>
  </si>
  <si>
    <t>STEIN&gt;METALL&gt;LICHT löst alle Phasen kampflos; Bildhauer erkennt Barrieren.</t>
  </si>
  <si>
    <t>REFLECT|PUZZLE_LOCK</t>
  </si>
  <si>
    <t>Mobile-RPG-Gegnerkonzept, vollständige Figur, gut lesbare Kampfsilhouette, Rom-Fantasy, Maskierter Renaissance-Alchemist in dunkelgrünem Mantel, goldene Formeln, Stein- und Metallringe, zwei Wächterfiguren im Hintergrund. Dramatisches aber nicht fotorealistisches Licht, neutraler transparenzgeeigneter Hintergrund, keine Schrift, kein Logo, keine Gore.</t>
  </si>
  <si>
    <t>DIRECTION_CONTROLLER</t>
  </si>
  <si>
    <t>Ein roter Windwächter dreht den Kampfkompass und zwingt das Team zu Richtungsentscheidungen.</t>
  </si>
  <si>
    <t>Telegraphiert Nord, Ost, Süd oder West; falsche Orientierung verstärkt den nächsten Angriff.</t>
  </si>
  <si>
    <t>Gedrehte Rose: vertauscht zwei Aktionssymbole.</t>
  </si>
  <si>
    <t>Verlorener Kreis: teamweiter Debuff nach zweimal falscher Richtung.</t>
  </si>
  <si>
    <t>Keine Phase; wird durch USCITA-Code direkt geschwächt.</t>
  </si>
  <si>
    <t>Zielt auf zuletzt antwortenden Spieler.</t>
  </si>
  <si>
    <t>Korrekte Windrose und Code USCITA fixieren Norden; klare Teamansage verhindert Verwechslung.</t>
  </si>
  <si>
    <t>DIRECTION_SWAP|LOST</t>
  </si>
  <si>
    <t>Mobile-RPG-Gegnerkonzept, vollständige Figur, gut lesbare Kampfsilhouette, Rom-Fantasy, Roter Windwächter mit Lorbeerkranz und dunklem Mantel, Windrose aus Glut unter den Füßen, abstrakte literarische Fantasie, keine direkte Dante-Kopie. Dramatisches aber nicht fotorealistisches Licht, neutraler transparenzgeeigneter Hintergrund, keine Schrift, kein Logo, keine Gore.</t>
  </si>
  <si>
    <t>CP-WB-CANNONIERE</t>
  </si>
  <si>
    <t>GLOBAL_ARTILLERY_BOSS</t>
  </si>
  <si>
    <t>Der epische Artillerist richtet seine Geisterkanone über die Terrasse und fordert alle Teams.</t>
  </si>
  <si>
    <t>Globaler Kampf mit Deckungsruf, Schwachstellenfenster und Standartenkoordination; Aktionen bleiben pro Spieler übersichtlich.</t>
  </si>
  <si>
    <t>Mittagsdonner: markiert Teams; Schutzaktion vor der nächsten Bossrunde.</t>
  </si>
  <si>
    <t>Überhitztes Rohr: globales Schwachstellenfenster nach zwei Salven.</t>
  </si>
  <si>
    <t>Phase 1 Zielmarken; Phase 2 überhitzte Kanone; Phase 3 letzte Standarte.</t>
  </si>
  <si>
    <t>Teammarken, dann globaler Flächendruck.</t>
  </si>
  <si>
    <t>Schweizergarde schützt, Condottiere koordiniert, Bildhauer bricht Rohrschutz, Ordensperson stabilisiert Teams.</t>
  </si>
  <si>
    <t>TEAM_MARK|COVER|OVERHEAT</t>
  </si>
  <si>
    <t>EVENT_CONTROLLED</t>
  </si>
  <si>
    <t>Mobile-RPG-Gegnerkonzept, vollständige Figur, gut lesbare Kampfsilhouette, Rom-Fantasy, Mächtiger Artillerist des 19. Jahrhunderts, rußige rote Jacke, Messingknöpfe, Geisterkanone, orange-goldener Rauch, Panorama nur angedeutet. Dramatisches aber nicht fotorealistisches Licht, neutraler transparenzgeeigneter Hintergrund, keine Schrift, kein Logo, keine Gore.</t>
  </si>
  <si>
    <t>CP-WB-NEVE</t>
  </si>
  <si>
    <t>GLOBAL_CONTROL_BOSS</t>
  </si>
  <si>
    <t>Ein legendärer Wächter aus Schnee und Mosaiklicht erhebt sich vor der Basilika-Außenfläche.</t>
  </si>
  <si>
    <t>Globaler Kampf mit Erinnerungseis, Wärmeverteilung und gemeinsamen Bruchfenstern; Legendenstatus wird im Dialog klar markiert.</t>
  </si>
  <si>
    <t>Erinnerungseis: friert einen Questbonus pro Team ein, bis Faktenmarker aktiviert werden.</t>
  </si>
  <si>
    <t>Weiße Nacht: globale Phase, in der Schutz und Heilung koordiniert werden müssen.</t>
  </si>
  <si>
    <t>Phase 1 Schneesiegel; Phase 2 weiße Nacht; Phase 3 Mosaikrisse und Finale.</t>
  </si>
  <si>
    <t>Globale Teamziele, danach niedrigste Beitragsgruppe für Unterstützungsfenster.</t>
  </si>
  <si>
    <t>Esquilino-Bonus widersteht erstem Eis; alle vier Klassen besitzen relevante Mechanikrollen.</t>
  </si>
  <si>
    <t>FROZEN_BONUS|WHITEOUT|WARMTH_LINK</t>
  </si>
  <si>
    <t>Mobile-RPG-Gegnerkonzept, vollständige Figur, gut lesbare Kampfsilhouette, Rom-Fantasy, Riesiger weißer Wächter in byzantinisch-römischer Fantasierüstung, Schneemantel, goldene Mosaikreflexe, violett-oranges Bosslicht, kein religiöses Gesicht imitieren. Dramatisches aber nicht fotorealistisches Licht, neutraler transparenzgeeigneter Hintergrund, keine Schrift, kein Logo, keine Gore.</t>
  </si>
  <si>
    <t>CP-UE-D1-01</t>
  </si>
  <si>
    <t>Ortsreaktion: Zehn große Engelsfiguren auf den Balustraden; Petrus und Paulus stehen getrennt an den Brückenköpfen.</t>
  </si>
  <si>
    <t>Keine Lebensphasen; zustandsbasiertes Telegraph/Counterplay.</t>
  </si>
  <si>
    <t>Gemäß Kampfmuster; keine zufällige Dauerfokussierung.</t>
  </si>
  <si>
    <t>SIDE_B_DEFEATED</t>
  </si>
  <si>
    <t>TEAM_WIPED; World Enemy bleibt gemäß globalem Statussystem</t>
  </si>
  <si>
    <t>Normaler World-Enemy-Loot nach Rarität</t>
  </si>
  <si>
    <t>Global persistent; Respawn R 20m / SR 30m / SSR 45m / E 60m</t>
  </si>
  <si>
    <t>Statuschance und Werte: Blatt Gegnerbalance; Reward-ID je Encounter; keine offene Zahlenbalance.</t>
  </si>
  <si>
    <t>CP-UE-D1-02</t>
  </si>
  <si>
    <t>Ortsreaktion: Vier monumentale Löwenbrunnen unmittelbar um den Obelisksockel.</t>
  </si>
  <si>
    <t>CP-UE-D1-03</t>
  </si>
  <si>
    <t>Ortsreaktion: Zentrale sitzende Göttin; im unteren Bereich sind die Wölfin und die Zwillinge deutlich erkennbar.</t>
  </si>
  <si>
    <t>CP-UE-D1-04</t>
  </si>
  <si>
    <t>Ortsreaktion: Breites spiralförmiges Reliefband mit zahlreichen Soldaten- und Schlachtszenen.</t>
  </si>
  <si>
    <t>CP-UE-D1-05</t>
  </si>
  <si>
    <t>Ortsreaktion: Monumentaler Obelisk mit Hieroglyphen; die historische Gnomon-Funktion liefert das Schattenmotiv.</t>
  </si>
  <si>
    <t>CP-UE-D1-06</t>
  </si>
  <si>
    <t>Ortsreaktion: Einzelne große Engelsfigur auf der linken Fassadenseite vom öffentlichen Außenpunkt aus.</t>
  </si>
  <si>
    <t>CP-UE-D1-07</t>
  </si>
  <si>
    <t>Ortsreaktion: Travertinreste eines Schiffsbugs und ein Asklepios-Relief am östlichen Inselende.</t>
  </si>
  <si>
    <t>CP-UE-D1-08</t>
  </si>
  <si>
    <t>Ortsreaktion: Große kreisrunde Öffnung zwischen den beiden mittleren Brückenbögen.</t>
  </si>
  <si>
    <t>CP-UE-D2-01</t>
  </si>
  <si>
    <t>Ortsreaktion: Zwei monumentale Quadrigen an den oberen Enden des Vittoriano.</t>
  </si>
  <si>
    <t>CP-UE-D2-02</t>
  </si>
  <si>
    <t>Ortsreaktion: Zwei große Tritonen tragen gemeinsam die obere Muschelschale.</t>
  </si>
  <si>
    <t>CP-UE-D2-03</t>
  </si>
  <si>
    <t>Ortsreaktion: Großes steinernes Schiff als zentrales Brunnenobjekt.</t>
  </si>
  <si>
    <t>CP-UE-D2-04</t>
  </si>
  <si>
    <t>Ortsreaktion: Monumentale Caesar-Statue am Kapitol; die Figur selbst ist der Referenzkörper.</t>
  </si>
  <si>
    <t>Via Romae – Navigationsaufgaben v0.8</t>
  </si>
  <si>
    <t>Vier teamorientierte Segmente ohne klassische Turn-by-turn-Navigation. Exakte Zwischengeometrien bleiben bis GeoJSON- und Feldprüfung gesperrt.</t>
  </si>
  <si>
    <t>Navigation-ID</t>
  </si>
  <si>
    <t>Segment</t>
  </si>
  <si>
    <t>Modus</t>
  </si>
  <si>
    <t>Teilnehmer / Rollen</t>
  </si>
  <si>
    <t>Start-ID</t>
  </si>
  <si>
    <t>Ziel-ID</t>
  </si>
  <si>
    <t>Kartensichtbarkeit</t>
  </si>
  <si>
    <t>Rolleninformationen</t>
  </si>
  <si>
    <t>Hinweiskette</t>
  </si>
  <si>
    <t>Hinweis-/Timeoutlogik</t>
  </si>
  <si>
    <t>Sicherheitsregel</t>
  </si>
  <si>
    <t>Vor-Ort-Status</t>
  </si>
  <si>
    <t>Benötigte GeoJSON-Felder</t>
  </si>
  <si>
    <t>Events / States</t>
  </si>
  <si>
    <t>Drei Wege, ein Tor</t>
  </si>
  <si>
    <t>TEAM_SPLIT_AND_REGROUP</t>
  </si>
  <si>
    <t>3 Pflichtrollen; 4. Person optional als Koordinator</t>
  </si>
  <si>
    <t>Nach Rollenwahl keine Zielmarke; Ziel erscheint erst innerhalb 35 m</t>
  </si>
  <si>
    <t>RIPETTA: linke Dreizackstraße bestätigen | CORSO: mittlere Straße bestätigen | BABUINO: rechte Straße bestätigen | KOORDINATOR: Ready-Status überwachen</t>
  </si>
  <si>
    <t>Nach 4 min Straßennamen erneut zeigen; nach 7 min exakten Endpunkt einblenden</t>
  </si>
  <si>
    <t>Kein Rennen; nur Gehwege; keine Pflichtquerung; Koordinator darf abbrechen</t>
  </si>
  <si>
    <t>FIELD_TEST_REQUIRED: Schrittzahlen und sichere Wendepunkte prüfen</t>
  </si>
  <si>
    <t>roleCheckpointIds, hiddenRevealRadius=35, endGeofenceId</t>
  </si>
  <si>
    <t>READY|ROLE_ASSIGNED|CHECKPOINT_CONFIRMED|REVEAL|REGROUPED|ABORTED</t>
  </si>
  <si>
    <t>Drei Brunnen im gleichen Takt</t>
  </si>
  <si>
    <t>SIMULTANEOUS_MULTI_GEOFENCE</t>
  </si>
  <si>
    <t>3 Pflichtrollen; 4. Person optional als Regisseur</t>
  </si>
  <si>
    <t>Alle drei Brunnen sichtbar; individuelle Zielzuweisung nur für eigene Rolle</t>
  </si>
  <si>
    <t>NORD: Neptun/Oktopus | MITTE: zentraler Vierströmebrunnen | SÜD: Mohr/Delfin | REGISSEUR: startet Synchronfenster</t>
  </si>
  <si>
    <t>Alle Rollen drücken BEREIT im 15-m-Radius ihres Brunnens. Sobald alle bereit sind, startet ein 20-s-Fenster; jede Rolle bestätigt ihr sichtbares Großattribut.</t>
  </si>
  <si>
    <t>Nach Fehlversuch kein Ortswechsel; Attribute erneut anzeigen; unbegrenzt wiederholbar</t>
  </si>
  <si>
    <t>Nicht rennen; Countdown startet erst nach dreifachem Ready; große Attribute statt Randdetails</t>
  </si>
  <si>
    <t>Sequenzieller Modus mit drei Stationen, 60 % Synchronbonus</t>
  </si>
  <si>
    <t>REMOTE_READY; finale Geofence-Überlappung und Menschenfluss prüfen</t>
  </si>
  <si>
    <t>threeGeofenceIds, readyRadius=15, syncWindowSec=20</t>
  </si>
  <si>
    <t>Die verborgene Standarte</t>
  </si>
  <si>
    <t>ASYMMETRIC_ROLE_NAVIGATION</t>
  </si>
  <si>
    <t>1 Fahnenträger + 2–3 Gefährten</t>
  </si>
  <si>
    <t>Fahnenträger sieht Kompasskorridor; Gefährten sehen nur Textteile; Zielmarker bis 30 m verborgen</t>
  </si>
  <si>
    <t>FAHNENTRÄGER: Richtungskorridor | CHRONIST: Schrittkorridor 140–220 Schritte | SPÄHER: Symbolhinweis ‚Reiter über der Stadt‘ | 4. Person: Teamabstand überwachen</t>
  </si>
  <si>
    <t>Nach 5 min Richtungspfeil; nach 8 min Zielmarker; falscher Abzweig löst nur Hinweis aus</t>
  </si>
  <si>
    <t>Steigung; langsamstes Mitglied bestimmt Tempo; Boundary Damage pausiert im Segment</t>
  </si>
  <si>
    <t>FIELD_TEST_REQUIRED: exakter sichere Wegkorridor und Schrittkorridor</t>
  </si>
  <si>
    <t>safeCorridorPolylineId, revealRadius=30, maxTeamSpread=35</t>
  </si>
  <si>
    <t>Mauerlinie ohne blauen Punkt</t>
  </si>
  <si>
    <t>DISTRIBUTED_CLUE_CHAIN</t>
  </si>
  <si>
    <t>3–4 Mitglieder; Hinweise nach Rolle verteilt</t>
  </si>
  <si>
    <t>Nur Start und grobe Mauerlinie; Ziel erst innerhalb 40 m sichtbar</t>
  </si>
  <si>
    <t>RICHTUNG: nächster Mauerabschnitt | DISTANZ: 700–1000 m Korridor | SYMBOL: ‚zugemauerter alter Bogen‘ | SICHERHEIT: nur freigegebene Querungen</t>
  </si>
  <si>
    <t>Nach 6 min nächster Korridor sichtbar; nach 12 min Standardmarker; keine Zeitstrafe</t>
  </si>
  <si>
    <t>Keine Abkürzungen über Fahrbahnen; Segment deaktivierbar bei Verkehrslage</t>
  </si>
  <si>
    <t>FIELD_TEST_REQUIRED: Zwischenkorridore, Querungen und Zielblickpunkt</t>
  </si>
  <si>
    <t>safeCorridorPolylineId, orderedCheckpointIds, hiddenRevealRadius=40</t>
  </si>
  <si>
    <t>Via Romae – Etappen-Timer v0.8</t>
  </si>
  <si>
    <t>Sechs von 40 Quests tragen genau eine kurze, serverautoritative Timer-Etappe (15 %). Alle Starts sind explizit, alle Ablaufwirkungen angekündigt, kein Timer verlangt schnelleres Gehen.</t>
  </si>
  <si>
    <t>Timer-ID</t>
  </si>
  <si>
    <t>Etappe</t>
  </si>
  <si>
    <t>Scope</t>
  </si>
  <si>
    <t>Dauer s</t>
  </si>
  <si>
    <t>StartsWhen</t>
  </si>
  <si>
    <t>Warnungen Restzeit s</t>
  </si>
  <si>
    <t>OnExpire</t>
  </si>
  <si>
    <t>Retry-Policy</t>
  </si>
  <si>
    <t>Pause / GM</t>
  </si>
  <si>
    <t>Serverfelder</t>
  </si>
  <si>
    <t>Dialog-Refs</t>
  </si>
  <si>
    <t>TMR-D1-Q01-S12</t>
  </si>
  <si>
    <t>Nachhutbeschluss</t>
  </si>
  <si>
    <t>OBJECTIVE_WINDOW</t>
  </si>
  <si>
    <t>Server bestätigt START_TIMER nach vollständig gelöstem FIDES-Rätsel am sicheren Zielort.</t>
  </si>
  <si>
    <t>30|10</t>
  </si>
  <si>
    <t>AUTO_SELECT=NACHHUT_HALTEN; timerBonus=false; Quest bleibt aktiv.</t>
  </si>
  <si>
    <t>NO_RETRY; Entscheidung wird deterministisch abgeschlossen.</t>
  </si>
  <si>
    <t>NONE; GM_EXTEND_AUDITED bei Technikfehler.</t>
  </si>
  <si>
    <t>COUNTDOWN_DIALOGUE_VOTE</t>
  </si>
  <si>
    <t>startedAt|deadlineAt|timerState|expiredAt|resolvedBy</t>
  </si>
  <si>
    <t>Stationäre Entscheidung; kein Bewegungsziel und kein Laufanreiz.</t>
  </si>
  <si>
    <t>D1-Q01-MID|D1-Q01-COMPLETE</t>
  </si>
  <si>
    <t>TMR-D1-Q06-S05</t>
  </si>
  <si>
    <t>Drei Brunnen im Takt</t>
  </si>
  <si>
    <t>Server setzt startedAt erst, wenn drei Rollen in ihren Geofences BEREIT bestätigt haben.</t>
  </si>
  <si>
    <t>10|5</t>
  </si>
  <si>
    <t>fallbackMode=SEQUENTIAL; syncBonus=false; Quest bleibt lösbar.</t>
  </si>
  <si>
    <t>Kein Synchron-Retry nötig; sofort sicherer Sequenzmodus.</t>
  </si>
  <si>
    <t>NONE; READY vor Start widerrufbar.</t>
  </si>
  <si>
    <t>SYNC_COUNTDOWN</t>
  </si>
  <si>
    <t>readyAtByRole|startedAt|deadlineAt|confirmAtByRole|timerState</t>
  </si>
  <si>
    <t>Nicht rennen; Positionierung geschieht vor Start; große Attribute; Abbruch verfügbar.</t>
  </si>
  <si>
    <t>D1-Q06-OFFER|D1-Q06-MID</t>
  </si>
  <si>
    <t>TMR-D1-Q12-S11</t>
  </si>
  <si>
    <t>Vier Stimmen, ein Schluss</t>
  </si>
  <si>
    <t>Server bestätigt START_TIMER am Largo erst nach vier gespeicherten Ortsbeobachtungen.</t>
  </si>
  <si>
    <t>60|30|10</t>
  </si>
  <si>
    <t>timerBonus=false; Zuordnung und Teamentscheidung bleiben ohne Zeitdruck offen.</t>
  </si>
  <si>
    <t>NO_TIMER_RETRY; Pflichtlösung bleibt weiter verfügbar.</t>
  </si>
  <si>
    <t>PUZZLE_AND_VOTE_COUNTDOWN</t>
  </si>
  <si>
    <t>startedAt|deadlineAt|timerState|bonusEligible</t>
  </si>
  <si>
    <t>Stationäre Denkaufgabe; Timer verlangt keinen Ortswechsel.</t>
  </si>
  <si>
    <t>D1-Q12-MID|D1-Q12-COMPLETE</t>
  </si>
  <si>
    <t>TMR-D2-Q04-S11</t>
  </si>
  <si>
    <t>Janus-Wahrheitsprüfung</t>
  </si>
  <si>
    <t>Server bestätigt START_TIMER am Arco di Giano nach allen vier gespeicherten Beobachtungen.</t>
  </si>
  <si>
    <t>45|15|5</t>
  </si>
  <si>
    <t>knowledgeBonus=false; Fallback VERITAS|FORTUNA|AQUA öffnet; Quest bleibt aktiv.</t>
  </si>
  <si>
    <t>NO_TIMER_RETRY; Fallback bleibt lösbar.</t>
  </si>
  <si>
    <t>TEXT_CODE_COUNTDOWN</t>
  </si>
  <si>
    <t>startedAt|deadlineAt|timerState|fallbackUnlocked</t>
  </si>
  <si>
    <t>Stationäre Texteingabe auf öffentlicher Fläche; kein Bewegungsziel.</t>
  </si>
  <si>
    <t>TMR-D2-Q10-S05</t>
  </si>
  <si>
    <t>Hydra-Diagnose</t>
  </si>
  <si>
    <t>Server bestätigt START_TIMER an der Porta Maggiore nach Team-BEREIT und gültigem Standort.</t>
  </si>
  <si>
    <t>enemyModifier=EXTRA_ACTIVE_HEAD; Quest und Kampf bleiben vollständig lösbar.</t>
  </si>
  <si>
    <t>NO_TIMER_RETRY; Diagnose bleibt ohne Bonus offen.</t>
  </si>
  <si>
    <t>PUZZLE_COUNTDOWN</t>
  </si>
  <si>
    <t>startedAt|deadlineAt|timerState|encounterModifier</t>
  </si>
  <si>
    <t>Nur vom sicheren Gehweg; Timer fordert keine Straßenquerung und keinen Standortwechsel.</t>
  </si>
  <si>
    <t>D2-Q10-OFFER|D2-Q10-MID</t>
  </si>
  <si>
    <t>TMR-M-D2-03-S05</t>
  </si>
  <si>
    <t>Souvenir in einer Minute</t>
  </si>
  <si>
    <t>Lokaler Aufnahmestart fordert Server-Token an; serverTime liefert deadlineAt, Kamera startet nach Bestätigung.</t>
  </si>
  <si>
    <t>Aufnahme stoppt automatisch; gültig bei durationSec&gt;=30, sonst Neuaufnahme.</t>
  </si>
  <si>
    <t>RETRY_UNTIL_EVENT_DEADLINE; jeder Versuch erhält eigene attemptId.</t>
  </si>
  <si>
    <t>NONE; Abbruch verwirft nur aktuellen Versuch.</t>
  </si>
  <si>
    <t>MEDIA_CAPTURE_COUNTDOWN</t>
  </si>
  <si>
    <t>attemptId|startedAt|deadlineAt|durationSec|timerState</t>
  </si>
  <si>
    <t>Stationäre Medienaufnahme; Upload separat wiederholbar.</t>
  </si>
  <si>
    <t>M-D2-03-OFFER|M-D2-03-MID</t>
  </si>
  <si>
    <t>Via Romae – Abgleich Questausarbeitung ↔ GDD v0.16</t>
  </si>
  <si>
    <t>Die konsolidierten Entscheidungen für Kapitel 28/29, Gegner-Balancing, Reward-Profile und Stores sind hier rückverfolgbar dokumentiert.</t>
  </si>
  <si>
    <t>Bereich</t>
  </si>
  <si>
    <t>GDD v0.15</t>
  </si>
  <si>
    <t>Questdatei v0.8</t>
  </si>
  <si>
    <t>Auflösung in v0.9 / GDD v0.16</t>
  </si>
  <si>
    <t>Verbleibend offen</t>
  </si>
  <si>
    <t>Teampräsenz am normalen Ortsziel</t>
  </si>
  <si>
    <t>Ein lebendes Mitglied genügt.</t>
  </si>
  <si>
    <t>BEDEUTEND</t>
  </si>
  <si>
    <t>GDD v0.15 übernimmt zwei lebende Teammitglieder mit zwei stabilen Fixes; ausdrücklich markierte Sonderziele dürfen abweichen.</t>
  </si>
  <si>
    <t>Accessibility- und Feldtest der Zwei-Personen-Regel.</t>
  </si>
  <si>
    <t>Questzustand vs. Ablaufphase</t>
  </si>
  <si>
    <t>QuestInstanceState: ACTIVE|PENDING_REVIEW|COMPLETED|EXPIRED|FAILED|ABANDONED.</t>
  </si>
  <si>
    <t>Spalte State enthielt DISCOVER|DIALOGUE|ACCEPT|OBJECTIVE|COMPLETE|REWARD.</t>
  </si>
  <si>
    <t>Spalte heißt jetzt Flow-Phase; QuestInstanceState bleibt separates Serverfeld.</t>
  </si>
  <si>
    <t>State-Migrationstests im Importer.</t>
  </si>
  <si>
    <t>Objective-Typen</t>
  </si>
  <si>
    <t>Sieben kanonische Objective-Typen.</t>
  </si>
  <si>
    <t>Objective-Type enthielt 18 feinere Interaktionsaktionen.</t>
  </si>
  <si>
    <t>Step-Action-Type ist Authoring-Vokabular; neue Spalte GDD-Objective-Type mappt nur echte Objectives auf die sieben Typen.</t>
  </si>
  <si>
    <t>Importer muss leere Typen bei FLOW_ACTION/SYSTEM_ACTION akzeptieren.</t>
  </si>
  <si>
    <t>Timerstart</t>
  </si>
  <si>
    <t>Questtimer startet bei Annahme.</t>
  </si>
  <si>
    <t>Benötigt kurze Timer erst in einer Etappe.</t>
  </si>
  <si>
    <t>GDD v0.15 trennt QUEST_DEADLINE und OBJECTIVE_WINDOW. Die sechs neuen Timer sind OBJECTIVE_WINDOW und starten nach explizitem Ready.</t>
  </si>
  <si>
    <t>Live-Tuning der Dauern; keine harte Zeitquest gesetzt.</t>
  </si>
  <si>
    <t>Dialog-/Questauthoring</t>
  </si>
  <si>
    <t>Dialoge vorläufig YAML in Git; Schema später.</t>
  </si>
  <si>
    <t>Vollständiges redaktionelles Authoring liegt in XLSX vor.</t>
  </si>
  <si>
    <t>XLSX v0.8 ist redaktionelle Contentquelle; der Build exportiert versionierte YAML/JSON-Artefakte nach gemeinsamen Verträgen.</t>
  </si>
  <si>
    <t>Exportskript und Zod-Schema implementieren.</t>
  </si>
  <si>
    <t>Vollkatalog</t>
  </si>
  <si>
    <t>Noch nicht erstellt; ENT-20-01/02 offen.</t>
  </si>
  <si>
    <t>40 Quests: 16 regulär Tag 1, 10 regulär Tag 2, 14 Sonderquests.</t>
  </si>
  <si>
    <t>Katalog und Tages-/Themenverteilung als Produktionsarbeitsfassung beschlossen; Live-Freigabe bleibt separat.</t>
  </si>
  <si>
    <t>Redaktion, Balancing, Quellen- und Feldfreigabe.</t>
  </si>
  <si>
    <t>GeoJSON-Verfügbarkeit</t>
  </si>
  <si>
    <t>GeoJSON als fehlend/blockierend beschrieben.</t>
  </si>
  <si>
    <t>GeoJSON v0.7 vorhanden; Kandidaten, Quests, Encounter und Navigation referenziert.</t>
  </si>
  <si>
    <t>GDD und Implementierungsvertrag verweisen auf GeoJSON v0.8; publishable bleibt false bis APPROVED.</t>
  </si>
  <si>
    <t>Geofences/Polygone und Navigationspunkte vor Ort prüfen.</t>
  </si>
  <si>
    <t>Questmengen pro Tag</t>
  </si>
  <si>
    <t>Ca. 16 regulär Tag 1 und 9–10 regulär Tag 2.</t>
  </si>
  <si>
    <t>16 regulär Tag 1 und 10 regulär Tag 2.</t>
  </si>
  <si>
    <t>KONSISTENT</t>
  </si>
  <si>
    <t>Keine Regeländerung nötig.</t>
  </si>
  <si>
    <t>Nur Live-Auswahl/Balancing.</t>
  </si>
  <si>
    <t>Dialoglänge</t>
  </si>
  <si>
    <t>Max. 1000; Ziel 200–600 Zeichen.</t>
  </si>
  <si>
    <t>Alle 120 Sequenzen &lt;= 1000; bisheriges Maximum 581.</t>
  </si>
  <si>
    <t>Validator bleibt verbindlich.</t>
  </si>
  <si>
    <t>Redaktionelle Endabnahme.</t>
  </si>
  <si>
    <t>Scouting und Quellen</t>
  </si>
  <si>
    <t>Vor Livebetrieb erforderlich.</t>
  </si>
  <si>
    <t>Status EDITORIAL_REVIEW/FIELD_CHECK_REQUIRED; keine Quest APPROVED.</t>
  </si>
  <si>
    <t>KEIN WIDERSPRUCH</t>
  </si>
  <si>
    <t>Offene Produktionsarbeit bleibt sichtbar und blockiert Veröffentlichung.</t>
  </si>
  <si>
    <t>Vor-Ort- und Quellenfreigabe durchführen.</t>
  </si>
  <si>
    <t>Kapitel 28/29</t>
  </si>
  <si>
    <t>Kapitelnummern fehlten</t>
  </si>
  <si>
    <t>Framework vollständig in 40 Questdefinitionen, 396 Schritten und Referenzanhängen</t>
  </si>
  <si>
    <t>AUFGELÖST</t>
  </si>
  <si>
    <t>Kapitel 28 Questframework und Kapitel 29 Produktionsdaten/Stores sind aus dem vollständigen Framework generiert; XLSX/GeoJSON bleiben Anhänge mit Verweisen.</t>
  </si>
  <si>
    <t>Feldprüfung, Redaktion und APPROVED-Freeze.</t>
  </si>
  <si>
    <t>Unique-Enemy-Werte</t>
  </si>
  <si>
    <t>Qualitative Profile; Zahlen offen</t>
  </si>
  <si>
    <t>12 WORLD_ENEMIES ohne HP/ATK/DEF/INIT/Rewards</t>
  </si>
  <si>
    <t>GDD v0.16 §29.5, Blatt Gegnerbalance und GeoJSON v0.9 führen identische Werte und Reward-IDs.</t>
  </si>
  <si>
    <t>Runtime-Playtest und Parallelitätsregeln.</t>
  </si>
  <si>
    <t>Questbelohnungen</t>
  </si>
  <si>
    <t>Rewardkurven und Lootschutz festgelegt</t>
  </si>
  <si>
    <t>Arbeitswerte und benannte Items teils unreferenziert</t>
  </si>
  <si>
    <t>Quest Master verwendet finale Ruhm-/Denar-Stufen und benannte QUEST_ITEM-Tokens; Profile und Grenzen stehen in GDD v0.16 §28.8.</t>
  </si>
  <si>
    <t>Feinjustierung nach Playtest ohne Vertragsbruch.</t>
  </si>
  <si>
    <t>Stores</t>
  </si>
  <si>
    <t>Fünf Stores; Radien und Sortimentsregeln</t>
  </si>
  <si>
    <t>STORE_LOCATION_CANDIDATE ohne gemeinsame Store-IDs</t>
  </si>
  <si>
    <t>Blatt Stores definiert fünf IDs; dieselben IDs und 500/15-m-Regeln sind in GDD v0.16 §29.4 und GeoJSON v0.9 store_* gespiegelt.</t>
  </si>
  <si>
    <t>Feldzugang an Piazza Vittorio bleibt gelb.</t>
  </si>
  <si>
    <t>Versions-/Freigabestatus</t>
  </si>
  <si>
    <t>GDD v0.15 / Anhänge v0.8</t>
  </si>
  <si>
    <t>Questdatei und GeoJSON v0.8</t>
  </si>
  <si>
    <t>GDD v0.16, Questgruppierung v0.9 und GeoJSON v0.9; publishable bleibt nur APPROVED.</t>
  </si>
  <si>
    <t>Exportpipeline und Live-Freeze.</t>
  </si>
  <si>
    <t>Via Romae – Interaktionsabdeckung v0.8</t>
  </si>
  <si>
    <t>Sollwerte der Content-Matrix werden gegen die 26 regulären Quests geprüft; Medienupload und Timerquote werden über alle 40 Quests geprüft.</t>
  </si>
  <si>
    <t>GPS-Ort</t>
  </si>
  <si>
    <t>Single-/Multiple-Choice</t>
  </si>
  <si>
    <t>Sortieren / Zuordnen</t>
  </si>
  <si>
    <t>Text-/Codeeingabe</t>
  </si>
  <si>
    <t>Inventargegenstand</t>
  </si>
  <si>
    <t>Teamentscheidung</t>
  </si>
  <si>
    <t>Klassenaktion</t>
  </si>
  <si>
    <t>Klasse</t>
  </si>
  <si>
    <t>Pflichtkampf</t>
  </si>
  <si>
    <t>Medienupload</t>
  </si>
  <si>
    <t>Timer-Etappe</t>
  </si>
  <si>
    <t>Ziel min</t>
  </si>
  <si>
    <t>Ziel max</t>
  </si>
  <si>
    <t>GPS-Ort erreichen</t>
  </si>
  <si>
    <t>Alle 26 regulären Quests</t>
  </si>
  <si>
    <t>Sichtbaren Hinweis</t>
  </si>
  <si>
    <t>Zielkorridor 12–14</t>
  </si>
  <si>
    <t>Zielkorridor 8–10</t>
  </si>
  <si>
    <t>Zielkorridor 5–7</t>
  </si>
  <si>
    <t>Zielkorridor 4–6</t>
  </si>
  <si>
    <t>Mindestens eine pro Klasse</t>
  </si>
  <si>
    <t>Bestehende Gruppierung enthält sechs Pflichtkämpfe</t>
  </si>
  <si>
    <t>Gefordert: 3–4 Segmente</t>
  </si>
  <si>
    <t>Nur die sieben Medienquests</t>
  </si>
  <si>
    <t>Timertragende Quests</t>
  </si>
  <si>
    <t>6 von 40 = 15 %; GDD-Spanne 10–20 %</t>
  </si>
  <si>
    <t>Klassenabdeckung</t>
  </si>
  <si>
    <t>Soll min</t>
  </si>
  <si>
    <t>Quest</t>
  </si>
  <si>
    <t>Spotlight plus optionale Klassenzeilen in Dialogen</t>
  </si>
  <si>
    <t>Via Romae – Implementierungsvertrag v0.9</t>
  </si>
  <si>
    <t>Diese Arbeitsmappe ist die redaktionelle Content-Quelle und wird gegen GDD v0.16 sowie GeoJSON v0.9 validiert. IDs sind stabil; FIELD_CHECK_REQUIRED ist nicht veröffentlichbar.</t>
  </si>
  <si>
    <t>Regel-ID</t>
  </si>
  <si>
    <t>Geltung</t>
  </si>
  <si>
    <t>Server-/Client-Verantwortung</t>
  </si>
  <si>
    <t>Fehlerverhalten</t>
  </si>
  <si>
    <t>Quelle / Anmerkung</t>
  </si>
  <si>
    <t>QUEST_PROGRESS_SCOPE</t>
  </si>
  <si>
    <t>TEAM_SHARED</t>
  </si>
  <si>
    <t>alle Quests</t>
  </si>
  <si>
    <t>Server speichert QuestProgress pro Team; Client zeigt synchron.</t>
  </si>
  <si>
    <t>Idempotente Wiederholung derselben Aktion.</t>
  </si>
  <si>
    <t>Ein Mitglied kann lösen; normale Ortsziele verlangen 2 Mitglieder.</t>
  </si>
  <si>
    <t>REGULAR_ACTIVE_LIMIT</t>
  </si>
  <si>
    <t>Server reserviert Slot atomar.</t>
  </si>
  <si>
    <t>Annahme ohne Slot schlägt ohne Zustandsänderung fehl.</t>
  </si>
  <si>
    <t>Maximal drei reguläre Quests.</t>
  </si>
  <si>
    <t>HIDDEN_SLOT_RULE</t>
  </si>
  <si>
    <t>Hidden separat führen.</t>
  </si>
  <si>
    <t>Kein regulärer Slotverbrauch.</t>
  </si>
  <si>
    <t>Bestehende Entscheidung.</t>
  </si>
  <si>
    <t>CHRONICLE_SLOT</t>
  </si>
  <si>
    <t>SEPARATE</t>
  </si>
  <si>
    <t>Eigener Team-Slot.</t>
  </si>
  <si>
    <t>Reguläre Quests bleiben unberührt.</t>
  </si>
  <si>
    <t>M-LT-01.</t>
  </si>
  <si>
    <t>DISCOVERY_RADIUS_M</t>
  </si>
  <si>
    <t>NPC/Quest/Enemy</t>
  </si>
  <si>
    <t>Client zeigt; Server bestätigt kritische Freischaltung.</t>
  </si>
  <si>
    <t>Bei ungenauem Fix nur Hinweis, kein kritischer Trigger.</t>
  </si>
  <si>
    <t>Main doc.</t>
  </si>
  <si>
    <t>INTERACTION_ENTER_RADIUS_M</t>
  </si>
  <si>
    <t>NPC/Objective/Upload</t>
  </si>
  <si>
    <t>Server prüft stabile Fixes.</t>
  </si>
  <si>
    <t>Zweifacher stabiler Fix oder Genauigkeitstoleranz.</t>
  </si>
  <si>
    <t>INTERACTION_EXIT_RADIUS_M</t>
  </si>
  <si>
    <t>geöffnete Interaktion</t>
  </si>
  <si>
    <t>Hysterese clientseitig gespiegelt, serverseitig autoritativ.</t>
  </si>
  <si>
    <t>Kein Flackern bei 14/16 m.</t>
  </si>
  <si>
    <t>ENEMY_AGGRO_RADIUS_M</t>
  </si>
  <si>
    <t>Server startet 10-s-Aggrocountdown.</t>
  </si>
  <si>
    <t>Verlassen vor Ablauf setzt ACTIVE zurück.</t>
  </si>
  <si>
    <t>BOSS_JOIN_RADIUS_M</t>
  </si>
  <si>
    <t>Server fügt Team globalem Kampf hinzu.</t>
  </si>
  <si>
    <t>Erneuter Beitritt bei aktivem Event möglich.</t>
  </si>
  <si>
    <t>DIALOG_SEQUENCE_MAX_CHARS</t>
  </si>
  <si>
    <t>jede einzelne Dialogsequenz</t>
  </si>
  <si>
    <t>Importvalidator summiert Text/Optionen/Antworten.</t>
  </si>
  <si>
    <t>Content-Build fehlschlägt über 1000.</t>
  </si>
  <si>
    <t>Userregel.</t>
  </si>
  <si>
    <t>QUEST_FLOW_PHASE_ORDER</t>
  </si>
  <si>
    <t>DISCOVER&gt;DIALOGUE&gt;ACCEPT&gt;OBJECTIVE&gt;COMPLETE&gt;REWARD</t>
  </si>
  <si>
    <t>Authoring-Reihenfolge aus Questablauf; nicht QuestInstanceState.</t>
  </si>
  <si>
    <t>Unzulässiger Schrittübergang = 409, Instanzzustand unverändert.</t>
  </si>
  <si>
    <t>GDD v0.15 Kap. 15/16; Flow-Phase ist keine Persistenz-State-Machine.</t>
  </si>
  <si>
    <t>QUEST_INSTANCE_STATE</t>
  </si>
  <si>
    <t>ACTIVE|PENDING_REVIEW|COMPLETED|EXPIRED|FAILED|ABANDONED</t>
  </si>
  <si>
    <t>Questlaufzeit</t>
  </si>
  <si>
    <t>Server speichert autoritativen Instanzzustand.</t>
  </si>
  <si>
    <t>Unbekannter Wert blockiert Import/Mutation.</t>
  </si>
  <si>
    <t>GDD v0.15 Kap. 15.3.</t>
  </si>
  <si>
    <t>NO_LIVE_AI</t>
  </si>
  <si>
    <t>Content</t>
  </si>
  <si>
    <t>Alle Dialoge, Fakten, Gegner und Rätsel vorab gespeichert.</t>
  </si>
  <si>
    <t>Fehlender Content blockiert Veröffentlichung.</t>
  </si>
  <si>
    <t>FACT_BOUNDARY</t>
  </si>
  <si>
    <t>verifiedFacts only</t>
  </si>
  <si>
    <t>historische Aussagen</t>
  </si>
  <si>
    <t>Dialogrenderer darf keine neuen historischen Sätze generieren.</t>
  </si>
  <si>
    <t>Fiktionale Zeilen mit Kanonstatus kennzeichnen.</t>
  </si>
  <si>
    <t>NAVIGATION_SAFETY</t>
  </si>
  <si>
    <t>NO_RUNNING|SIDEWALKS_ONLY|ABORT_AVAILABLE</t>
  </si>
  <si>
    <t>Client zeigt permanent Abbruch/Fallback.</t>
  </si>
  <si>
    <t>Abbruch blendet Standardziel ein; Grundquest bleibt lösbar.</t>
  </si>
  <si>
    <t>Vier Segmente in Navigation.</t>
  </si>
  <si>
    <t>GEOJSON_HANDOFF</t>
  </si>
  <si>
    <t>IDS_MATCH_AND_PUBLISHABLE_FALSE</t>
  </si>
  <si>
    <t>Location/Quest/Encounter/Timer/Navigation</t>
  </si>
  <si>
    <t>GeoJSON v0.8 spiegelt IDs und vorhandene Geometrien; Runtime publiziert nur APPROVED.</t>
  </si>
  <si>
    <t>Null-Geometrie oder FIELD_CHECK_REQUIRED blockiert räumlichen Trigger.</t>
  </si>
  <si>
    <t>Keine erfundenen Routenlinien; Feldprüfung bleibt erforderlich.</t>
  </si>
  <si>
    <t>TIMER_QUOTA</t>
  </si>
  <si>
    <t>6_OF_40|15_PERCENT</t>
  </si>
  <si>
    <t>gesamter Questkatalog</t>
  </si>
  <si>
    <t>Server führt alle sechs OBJECTIVE_WINDOW-Timer aus Timer.</t>
  </si>
  <si>
    <t>Ablaufwirkung ist deterministisch und blockiert keinen Grundabschluss.</t>
  </si>
  <si>
    <t>Innerhalb geforderter 10–20 % und GDD-Maximum 20 %.</t>
  </si>
  <si>
    <t>REWARD_ATOMICITY</t>
  </si>
  <si>
    <t>ATOMIC_IDEMPOTENT</t>
  </si>
  <si>
    <t>alle Rewards</t>
  </si>
  <si>
    <t>Server nutzt rewardTransactionId.</t>
  </si>
  <si>
    <t>Retry vergibt niemals doppelt.</t>
  </si>
  <si>
    <t>Entity</t>
  </si>
  <si>
    <t>Primärschlüssel</t>
  </si>
  <si>
    <t>Verknüpft über</t>
  </si>
  <si>
    <t>Autoritative Tabelle</t>
  </si>
  <si>
    <t>Importvalidierung</t>
  </si>
  <si>
    <t>Verwendung</t>
  </si>
  <si>
    <t>QuestDefinition</t>
  </si>
  <si>
    <t>questId</t>
  </si>
  <si>
    <t>—</t>
  </si>
  <si>
    <t>Quest Master</t>
  </si>
  <si>
    <t>eindeutig; Typ/Tag vorhanden</t>
  </si>
  <si>
    <t>Metadaten, Voraussetzungen, Rewardprofil</t>
  </si>
  <si>
    <t>QuestStep</t>
  </si>
  <si>
    <t>stepId</t>
  </si>
  <si>
    <t>Questablauf</t>
  </si>
  <si>
    <t>Seq lückenlos; targetRef; Step-Kategorie/Objective-Mapping gültig</t>
  </si>
  <si>
    <t>Authoring-Ablauf; mutiert QuestInstance serverseitig</t>
  </si>
  <si>
    <t>DialogueNode</t>
  </si>
  <si>
    <t>nodeId</t>
  </si>
  <si>
    <t>questId, speakerId, sequenceId</t>
  </si>
  <si>
    <t>Dialoge</t>
  </si>
  <si>
    <t>Effects valides JSON; Zeichenlimit; Next existiert/END</t>
  </si>
  <si>
    <t>Clientdialog und Teamwahl</t>
  </si>
  <si>
    <t>CharacterDefinition</t>
  </si>
  <si>
    <t>characterId</t>
  </si>
  <si>
    <t>Quest Master / Dialoge</t>
  </si>
  <si>
    <t>jeder speakerId existiert</t>
  </si>
  <si>
    <t>Porträt, Persönlichkeit, Stimmungsregeln</t>
  </si>
  <si>
    <t>PuzzleDefinition</t>
  </si>
  <si>
    <t>puzzleId</t>
  </si>
  <si>
    <t>Questablauf.targetRef</t>
  </si>
  <si>
    <t>Sollantwort/Fallback/Quelle vorhanden</t>
  </si>
  <si>
    <t>Antwortnormalisierung und Hilfeleiter</t>
  </si>
  <si>
    <t>CombatProfile</t>
  </si>
  <si>
    <t>combatProfileId</t>
  </si>
  <si>
    <t>Questablauf.targetRef / Unique Gegner</t>
  </si>
  <si>
    <t>Systemtyp und Rarität kompatibel</t>
  </si>
  <si>
    <t>EnemyDefinition ohne Zahlenbalancing</t>
  </si>
  <si>
    <t>NavigationDefinition</t>
  </si>
  <si>
    <t>navigationId</t>
  </si>
  <si>
    <t>3–4 Rollen; Fallback; GeoJSON-Felder</t>
  </si>
  <si>
    <t>Spezielle Teamnavigation</t>
  </si>
  <si>
    <t>TimerDefinition</t>
  </si>
  <si>
    <t>timerId</t>
  </si>
  <si>
    <t>questId, stepId, dialog refs</t>
  </si>
  <si>
    <t>Timer</t>
  </si>
  <si>
    <t>6 eindeutige IDs; Dauer/Start/Ablauf/Retry vorhanden</t>
  </si>
  <si>
    <t>Serverzeit und sichere Etappenfenster</t>
  </si>
  <si>
    <t>LocationDefinition</t>
  </si>
  <si>
    <t>candidateId</t>
  </si>
  <si>
    <t>Ortszuordnung / GeoJSON</t>
  </si>
  <si>
    <t>Ortszuordnung</t>
  </si>
  <si>
    <t>ID vorhanden; Ampel nicht ROT</t>
  </si>
  <si>
    <t>Geofence und sichtbarer Hinweis</t>
  </si>
  <si>
    <t>Enum-Gruppe</t>
  </si>
  <si>
    <t>Erlaubte Werte</t>
  </si>
  <si>
    <t>Feld</t>
  </si>
  <si>
    <t>Clientdarstellung</t>
  </si>
  <si>
    <t>QUEST_FLOW_PHASE</t>
  </si>
  <si>
    <t>DISCOVER|DIALOGUE|ACCEPT|OBJECTIVE|BONUS_OBJECTIVE|COMPLETE|REWARD</t>
  </si>
  <si>
    <t>QuestStep.flowPhase</t>
  </si>
  <si>
    <t>kein stiller Skip</t>
  </si>
  <si>
    <t>zustandsabhängiger Screen</t>
  </si>
  <si>
    <t>Authoring-Phase; nicht QuestInstance.state</t>
  </si>
  <si>
    <t>STEP_CATEGORY</t>
  </si>
  <si>
    <t>FLOW_ACTION|OBJECTIVE|SYSTEM_ACTION</t>
  </si>
  <si>
    <t>QuestStep.stepCategory</t>
  </si>
  <si>
    <t>UNKNOWN blockiert Import</t>
  </si>
  <si>
    <t>interne Ablaufdarstellung</t>
  </si>
  <si>
    <t>Nur OBJECTIVE benötigt GDD-Objective-Type</t>
  </si>
  <si>
    <t>STEP_ACTION_TYPE</t>
  </si>
  <si>
    <t>DISCOVER_NPC|TALK_TO_NPC|ACCEPT_QUEST|REACH_LOCATION|VISIT_MULTIPLE_LOCATIONS|ANSWER_QUESTION|SOLVE_PUZZLE|USE_ITEM|TEAM_DECISION|CLASS_ACTION|DEFEAT_ENEMY|TAKE_PHOTO|TAKE_VIDEO|UPLOAD_MEDIA|COLLECT_MEDIA|SUBMIT_FOR_REVIEW|NAVIGATION_CHALLENGE|BOSS_PARTICIPATION|GRANT_REWARD</t>
  </si>
  <si>
    <t>QuestStep.actionType</t>
  </si>
  <si>
    <t>Komponente aus UI-Spalte</t>
  </si>
  <si>
    <t>Feines Authoring-Vokabular; Mapping steht in Questablauf</t>
  </si>
  <si>
    <t>GDD_OBJECTIVE_TYPE</t>
  </si>
  <si>
    <t>REACH_LOCATION|COMPLETE_DIALOGUE|SUBMIT_ANSWER|COMPLETE_ENCOUNTER|ACQUIRE_ITEM|DELIVER_ITEM|SUBMIT_MEDIA</t>
  </si>
  <si>
    <t>Objective.type</t>
  </si>
  <si>
    <t>bei OBJECTIVE zwingend</t>
  </si>
  <si>
    <t>kanonische Objective-Komponente</t>
  </si>
  <si>
    <t>Verbindlicher Katalog aus GDD v0.15 Kap. 16</t>
  </si>
  <si>
    <t>SYSTEM_TYPE</t>
  </si>
  <si>
    <t>WORLD_ENEMY|QUEST_ENEMY|WORLD_BOSS</t>
  </si>
  <si>
    <t>CombatProfile.systemType</t>
  </si>
  <si>
    <t>kein Default</t>
  </si>
  <si>
    <t>Enemy UI</t>
  </si>
  <si>
    <t>Instanzierung zwingend unterschiedlich</t>
  </si>
  <si>
    <t>RARITY</t>
  </si>
  <si>
    <t>N|R|SR|SSR|E|L</t>
  </si>
  <si>
    <t>CombatProfile.rarity</t>
  </si>
  <si>
    <t>Farbe aus GDD</t>
  </si>
  <si>
    <t>L nur Questgegner/Bosse; Tag 1 außer Boss max SSR</t>
  </si>
  <si>
    <t>CONTENT_STATUS</t>
  </si>
  <si>
    <t>EDITORIAL_REVIEW|FIELD_CHECK_REQUIRED|APPROVED</t>
  </si>
  <si>
    <t>alle Contenttabellen</t>
  </si>
  <si>
    <t>nur APPROVED veröffentlichen</t>
  </si>
  <si>
    <t>GM/Editor Badge</t>
  </si>
  <si>
    <t>v0.8 ist nicht eventfreigegeben</t>
  </si>
  <si>
    <t>NAV_STATE</t>
  </si>
  <si>
    <t>Navigation runtime</t>
  </si>
  <si>
    <t>ABORTED =&gt; Fallback</t>
  </si>
  <si>
    <t>Navigation overlay</t>
  </si>
  <si>
    <t>kein Rennen / keine Zwangsquerung</t>
  </si>
  <si>
    <t>TIMER_SCOPE</t>
  </si>
  <si>
    <t>QUEST_DEADLINE|OBJECTIVE_WINDOW</t>
  </si>
  <si>
    <t>TimerDefinition.scope</t>
  </si>
  <si>
    <t>Countdown nach Scope</t>
  </si>
  <si>
    <t>v0.8 verwendet nur OBJECTIVE_WINDOW</t>
  </si>
  <si>
    <t>TIMER_STATE</t>
  </si>
  <si>
    <t>READY|RUNNING|COMPLETED|EXPIRED|ABORTED</t>
  </si>
  <si>
    <t>TimerInstance.state</t>
  </si>
  <si>
    <t>READY</t>
  </si>
  <si>
    <t>Timerstatus</t>
  </si>
  <si>
    <t>Serverzeit; Ablaufwirkung genau einmal</t>
  </si>
  <si>
    <t>STORE_SCHEMA</t>
  </si>
  <si>
    <t>storeId|candidateId|day|visibilityRadiusM|interactionRadiusM|inventoryScope|assortmentRule|saleRule</t>
  </si>
  <si>
    <t>alle fünf Stores</t>
  </si>
  <si>
    <t>Server liefert StoreDefinition und StoreSession; Client rendert nur bestätigte Version.</t>
  </si>
  <si>
    <t>Bei Abstand &gt;15 m kein Commit; &gt;25 m EXIT-Hysterese.</t>
  </si>
  <si>
    <t>Blatt Stores; GDD v0.16 §29.4; GeoJSON v0.9 properties store_*</t>
  </si>
  <si>
    <t>STORE_CATALOGUE</t>
  </si>
  <si>
    <t>TEAM_UNLIMITED_PER_STORE</t>
  </si>
  <si>
    <t>Server führt feste teamspezifische Sortimente; Bestand nicht global verbraucht.</t>
  </si>
  <si>
    <t>catalogueVersion verhindert stale commit.</t>
  </si>
  <si>
    <t>N/R allgemein; SR spezialisiert; SSR Tag 2; E/L nicht kaufbar.</t>
  </si>
  <si>
    <t>Via Romae – Gegnerbalance v0.9</t>
  </si>
  <si>
    <t>Kanonische Werte für die zwölf global persistenten Unique WORLD_ENEMIES. Werte gelten pro Encounter und Team; Ruhm/Denare werden einmalig teamweit gutgeschrieben. Loot ist ein normaler Team-Inventar-Roll, E/L bleiben im Store nicht kaufbar.</t>
  </si>
  <si>
    <t>HP</t>
  </si>
  <si>
    <t>ATK</t>
  </si>
  <si>
    <t>DEF</t>
  </si>
  <si>
    <t>INIT</t>
  </si>
  <si>
    <t>Statuschance %</t>
  </si>
  <si>
    <t>Ruhm</t>
  </si>
  <si>
    <t>Denare</t>
  </si>
  <si>
    <t>Loot-Rarität</t>
  </si>
  <si>
    <t>Reward-ID</t>
  </si>
  <si>
    <t>UNIQUE_WORLD_ENEMY_REWARD_SR</t>
  </si>
  <si>
    <t>UNIQUE_WORLD_ENEMY_REWARD_R</t>
  </si>
  <si>
    <t>UNIQUE_WORLD_ENEMY_REWARD_SSR</t>
  </si>
  <si>
    <t>UNIQUE_WORLD_ENEMY_REWARD_E</t>
  </si>
  <si>
    <t>Via Romae – Store-Definitionen v0.9</t>
  </si>
  <si>
    <t>Ein kanonisches Store-Schema für GDD, Questarbeitsmappe und GeoJSON. Stores sind eigene Game-Objekte an den referenzierten Kandidaten; Inventar ist pro Team unbegrenzt, nicht global.</t>
  </si>
  <si>
    <t>Inventar-Scope</t>
  </si>
  <si>
    <t>Sortiment</t>
  </si>
  <si>
    <t>Verkauf</t>
  </si>
  <si>
    <t>500 m sichtbar / 15 m interaktiv</t>
  </si>
  <si>
    <t>TEAM_UNLIMITED</t>
  </si>
  <si>
    <t>N/R allgemein; SR spezialisiert; SSR Tag 2; E/L nicht kaufbar</t>
  </si>
  <si>
    <t>15 % Referenzpreis, auf 5 Denare gerundet; questLocked/gebunden/ausgerüstet geschützt</t>
  </si>
  <si>
    <t>Via Romae – Asset-Prompt-Register v0.9</t>
  </si>
  <si>
    <t>Jeder in GDD §42.8 oder der Questarbeitsmappe vorgesehene Bild-/Startframe-Asset besitzt hier eine reproduzierbare Beschreibung. Animierte Assets nutzen 2–4 Sekunden, 1280×720 (720p) und einen nahtlosen Loop.</t>
  </si>
  <si>
    <t>Asset-ID</t>
  </si>
  <si>
    <t>Asset-Typ</t>
  </si>
  <si>
    <t>Quellenblatt</t>
  </si>
  <si>
    <t>Subject-ID</t>
  </si>
  <si>
    <t>Subject</t>
  </si>
  <si>
    <t>Variante / Stage</t>
  </si>
  <si>
    <t>Prompt-Beschreibung</t>
  </si>
  <si>
    <t>Stance / Pose</t>
  </si>
  <si>
    <t>Motion-/Loop-Instruktion</t>
  </si>
  <si>
    <t>Dauer (s)</t>
  </si>
  <si>
    <t>Ausgabe</t>
  </si>
  <si>
    <t>Querverweis</t>
  </si>
  <si>
    <t>CHAR-PORTRAIT:npc_konrad_schildwacht</t>
  </si>
  <si>
    <t>CHARACTER_PORTRAIT</t>
  </si>
  <si>
    <t>Charaktere!L</t>
  </si>
  <si>
    <t>PORTRAIT</t>
  </si>
  <si>
    <t>Startframe für die zugehörigen Stances</t>
  </si>
  <si>
    <t>STATIC_STARTFRAME</t>
  </si>
  <si>
    <t>1280×720 Master + mobile Crops</t>
  </si>
  <si>
    <t>Charaktere!L5</t>
  </si>
  <si>
    <t>CHARACTER_STANCE</t>
  </si>
  <si>
    <t>Charaktere!P:S</t>
  </si>
  <si>
    <t>IDLE_READY</t>
  </si>
  <si>
    <t>Ruhige Bereitschaft: aufrechter Stand, Gewicht leicht verlagert, Blick aufmerksam; junger Gardist in renaissancezeitlicher blau-gelb-roter Uniform, dunkler Brustharnisch, Hellebarde, staubiger Umhang, ruhiger konzentrierter Blick.</t>
  </si>
  <si>
    <t>Add a simple looping idle motion; 2–4 s; seamless loop; 1280×720 (720p); subtle breathing, cloth/light motion and preserved silhouette; no camera move, no text, no new objects.</t>
  </si>
  <si>
    <t>2–4</t>
  </si>
  <si>
    <t>1280×720 (720p)</t>
  </si>
  <si>
    <t>Stances!A5</t>
  </si>
  <si>
    <t>CHAR-PORTRAIT:npc_capitano_malatesta</t>
  </si>
  <si>
    <t>Charaktere!L6</t>
  </si>
  <si>
    <t>Ruhige Bereitschaft: aufrechter Stand, Gewicht leicht verlagert, Blick aufmerksam; älterer italienischer Söldnerhauptmann, scharlachroter Mantel über dunkler Plattenrüstung, Federbarett, gepflegter Schnurrbart, Kartenrolle und Katzengrinsen.</t>
  </si>
  <si>
    <t>Stances!A6</t>
  </si>
  <si>
    <t>CHAR-PORTRAIT:npc_flaminia_trivium</t>
  </si>
  <si>
    <t>Charaktere!L7</t>
  </si>
  <si>
    <t>Ruhige Bereitschaft: aufrechter Stand, Gewicht leicht verlagert, Blick aufmerksam; junge römische Stadtbotin, sandfarbener Reisemantel, drei bronzene Wegnadeln im Haar, kleine Kartenfragmente, wacher Blick, Wind bewegt den Stoff.</t>
  </si>
  <si>
    <t>Stances!A7</t>
  </si>
  <si>
    <t>CHAR-PORTRAIT:npc_seshat_pincio</t>
  </si>
  <si>
    <t>Charaktere!L8</t>
  </si>
  <si>
    <t>Schreiberhaltung: Schreibpalette oder Pergament vor dem Körper, Kopf leicht geneigt, konzentrierte Hände; ägyptisch-römische Schreiberin als geisterhafte Steinfigur, Leinengewand, Schreibpalette, Sternsymbol im Haar, blassgoldene Hieroglyphen leuchten auf Armen.</t>
  </si>
  <si>
    <t>Stances!A8</t>
  </si>
  <si>
    <t>CHAR-PORTRAIT:npc_barcaccia</t>
  </si>
  <si>
    <t>Charaktere!L9</t>
  </si>
  <si>
    <t>Wasserwacht: ruhige, fliessende Haltung, Wasser- oder Schiffsanker deutlich sichtbar, leichte Wellenbewegung; kleiner Wassergeist in Form eines halb im Becken liegenden steinernen Boots, Gesicht aus Wasserreflexen, winziger Kapitänshut, barocke Ornamente.</t>
  </si>
  <si>
    <t>Stances!A9</t>
  </si>
  <si>
    <t>CHAR-PORTRAIT:npc_bernini_echo</t>
  </si>
  <si>
    <t>Charaktere!L10</t>
  </si>
  <si>
    <t>Ruhige Bereitschaft: aufrechter Stand, Gewicht leicht verlagert, Blick aufmerksam; italienischer Barockbildhauer mittleren Alters, lockiges dunkles Haar, feiner Bart, weißes Hemd mit hochgekrempelten Ärmeln, dunkle Weste, Meißel und Skizzenbuch, lebhafte Hände.</t>
  </si>
  <si>
    <t>Stances!A10</t>
  </si>
  <si>
    <t>CHAR-PORTRAIT:npc_agrippa_echo</t>
  </si>
  <si>
    <t>Charaktere!L11</t>
  </si>
  <si>
    <t>Ruhige Bereitschaft: aufrechter Stand, Gewicht leicht verlagert, Blick aufmerksam; römischer Staatsmann in schlichter Toga, kantiges Gesicht, Wachstafel, bronzene Messschnur, Buchstaben AGRIPPA als schwaches Licht hinter ihm.</t>
  </si>
  <si>
    <t>Stances!A11</t>
  </si>
  <si>
    <t>CHAR-PORTRAIT:npc_cassius_archivar</t>
  </si>
  <si>
    <t>Charaktere!L12</t>
  </si>
  <si>
    <t>Schreiberhaltung: Schreibpalette oder Pergament vor dem Körper, Kopf leicht geneigt, konzentrierte Hände; römischer Archivar mit ockerfarbener Tunika, Lederrollenbehälter, zwei Pergamente – eines mit Hieroglyphen, eines mit Spiralzeichnung –, Tintenflecken an den Fingern.</t>
  </si>
  <si>
    <t>Stances!A12</t>
  </si>
  <si>
    <t>CHAR-PORTRAIT:npc_aqua_virgo</t>
  </si>
  <si>
    <t>Charaktere!L13</t>
  </si>
  <si>
    <t>Wasserwacht: ruhige, fliessende Haltung, Wasser- oder Schiffsanker deutlich sichtbar, leichte Wellenbewegung; römische Wasserhüterin aus klarem blaugrünem Wasser, Travertin-Schulterplatten, Muschelschmuck, Amphore, Lichtlinien wie Aquäduktkanäle im Gewand.</t>
  </si>
  <si>
    <t>Stances!A13</t>
  </si>
  <si>
    <t>CHAR-PORTRAIT:npc_skanderbeg_echo</t>
  </si>
  <si>
    <t>Charaktere!L14</t>
  </si>
  <si>
    <t>Kommandopose: eine Hand weist die Route, die andere hält das Rollenobjekt, fester sichernder Stand; albanischer Renaissancefeldherr, dunkler Mantel, verzierter Helm mit Ziegenkopf-Silhouette, Schwertgurt, markantes Profil, steinerne Textur an einer Gesichtshälfte.</t>
  </si>
  <si>
    <t>Stances!A14</t>
  </si>
  <si>
    <t>CHAR-PORTRAIT:npc_lucia_laternenhueterin</t>
  </si>
  <si>
    <t>Charaktere!L15</t>
  </si>
  <si>
    <t>Ruhige Bereitschaft: aufrechter Stand, Gewicht leicht verlagert, Blick aufmerksam; römische Frau in schlichtem dunkelblauem Mantel, kleine Messinglaterne, vier geschnitzte Figuren am Gürtel, warmes Licht, ruhiges offenes Gesicht.</t>
  </si>
  <si>
    <t>Stances!A15</t>
  </si>
  <si>
    <t>CHAR-PORTRAIT:npc_giordano_bruno_echo</t>
  </si>
  <si>
    <t>Charaktere!L16</t>
  </si>
  <si>
    <t>Kontemplative Haltung: geschlossenes Buch an die Brust, Kopf leicht zur Seite, dunkler Mantel bewegt sich minimal; dunkle bronzene Renaissancefigur mit Kapuze, geschlossenes Buch unter gekreuzten Händen, glimmende rote Reflexe, ernster Blick, Mantel im Wind.</t>
  </si>
  <si>
    <t>Stances!A16</t>
  </si>
  <si>
    <t>CHAR-PORTRAIT:npc_marcella_scaena</t>
  </si>
  <si>
    <t>Charaktere!L17</t>
  </si>
  <si>
    <t>Regiehaltung: ein Arm gibt eine knappe Regieanweisung, der andere hält den Spielplan, dynamischer Stand; römisch-barocke Bühnenmeisterin, schwarzes Kleid mit goldenen Nähten, Halbmaske am Gürtel, Pergament-Spielplan, Kreidestaub, entschlossener Blick.</t>
  </si>
  <si>
    <t>Stances!A17</t>
  </si>
  <si>
    <t>CHAR-PORTRAIT:npc_tiberinus_medicus</t>
  </si>
  <si>
    <t>Charaktere!L18</t>
  </si>
  <si>
    <t>Heilerhaltung: eine Hand schützend über der Amphore beziehungsweise dem Stab, ruhiger prüfender Blick; antiker römischer Arzt, helles Leinengewand, Ledertasche, Stab mit einzelner Schlange, feuchte Travertinfragmente, freundliche müde Augen.</t>
  </si>
  <si>
    <t>Stances!A18</t>
  </si>
  <si>
    <t>CHAR-PORTRAIT:npc_cecilia_vox</t>
  </si>
  <si>
    <t>Charaktere!L19</t>
  </si>
  <si>
    <t>Ruhige Bereitschaft: aufrechter Stand, Gewicht leicht verlagert, Blick aufmerksam; junge frühchristliche Frau, cremefarbenes Gewand, dunkelroter Mantel, kleine tragbare Leier, goldene Mosaiklichtpunkte, ernster freundlicher Blick.</t>
  </si>
  <si>
    <t>Stances!A19</t>
  </si>
  <si>
    <t>CHAR-PORTRAIT:npc_anita_garibaldi</t>
  </si>
  <si>
    <t>Charaktere!L20</t>
  </si>
  <si>
    <t>Ruhige Bereitschaft: aufrechter Stand, Gewicht leicht verlagert, Blick aufmerksam; brasilianisch-italienische Freiheitskämpferin zu Pferd, dunkles Reitkleid, rotes Halstuch, Wind im Haar, Pistole gesenkt, heroisch aber menschlich.</t>
  </si>
  <si>
    <t>Stances!A20</t>
  </si>
  <si>
    <t>CHAR-PORTRAIT:npc_michelangelo_campidoglio</t>
  </si>
  <si>
    <t>Charaktere!L21</t>
  </si>
  <si>
    <t>Meisterpose: Werkzeug und Skizzenobjekt werden vor der Brust gehalten, prüfender Blick über die Schulter; älterer Renaissancekünstler mit grauem Bart, dunkler Kappe, staubigem schwarzem Gewand, Zirkel und Platzskizze, strenger Blick.</t>
  </si>
  <si>
    <t>Stances!A21</t>
  </si>
  <si>
    <t>CHAR-PORTRAIT:npc_vittoria_alata</t>
  </si>
  <si>
    <t>Charaktere!L22</t>
  </si>
  <si>
    <t>Ruhige Bereitschaft: aufrechter Stand, Gewicht leicht verlagert, Blick aufmerksam; allegorische geflügelte Frau in weiß-goldenem Gewand, bronzene Flügel, Lorbeerkranz, zwei kleine Quadriga-Silhouetten als Licht hinter ihr.</t>
  </si>
  <si>
    <t>Stances!A22</t>
  </si>
  <si>
    <t>CHAR-PORTRAIT:npc_lanista_felix</t>
  </si>
  <si>
    <t>Charaktere!L23</t>
  </si>
  <si>
    <t>Ruhige Bereitschaft: aufrechter Stand, Gewicht leicht verlagert, Blick aufmerksam; kräftiger römischer Trainer in Lederharnisch, hölzerner Trainingsstab, rote Tunika, Narben, breites Grinsen, Sandstaub.</t>
  </si>
  <si>
    <t>Stances!A23</t>
  </si>
  <si>
    <t>CHAR-PORTRAIT:npc_mercator_gaius</t>
  </si>
  <si>
    <t>Charaktere!L24</t>
  </si>
  <si>
    <t>Offene Händlerhaltung: offene Hand zum Angebot, die andere nahe am Warenbeutel, geschäftiger aber kontrollierter Blick; antiker römischer Händler in gestreifter Tunika, Lederbeutel, bronzene Waage, vier kleine Tormarken am Gürtel, listiges freundliches Gesicht.</t>
  </si>
  <si>
    <t>Stances!A24</t>
  </si>
  <si>
    <t>CHAR-PORTRAIT:npc_triton_callidus</t>
  </si>
  <si>
    <t>Charaktere!L25</t>
  </si>
  <si>
    <t>Wasserwacht: ruhige, fliessende Haltung, Wasser- oder Schiffsanker deutlich sichtbar, leichte Wellenbewegung; muskulöser Triton mit bronzener Muschelschale, blaugrüne Schuppen, steinerne Patina, breites Lachen, Wasserwirbel um die Schultern.</t>
  </si>
  <si>
    <t>Stances!A25</t>
  </si>
  <si>
    <t>CHAR-PORTRAIT:npc_nauta_celimontanus</t>
  </si>
  <si>
    <t>Charaktere!L26</t>
  </si>
  <si>
    <t>Ruhige Bereitschaft: aufrechter Stand, Gewicht leicht verlagert, Blick aufmerksam; kleiner römischer Steuermann in wettergegerbtem Umhang, bronzenes Ruder, steinerne Schiffssilhouette hinter ihm, Salz- und Moosspuren.</t>
  </si>
  <si>
    <t>Stances!A26</t>
  </si>
  <si>
    <t>CHAR-PORTRAIT:npc_sixtus_vermesser</t>
  </si>
  <si>
    <t>Charaktere!L27</t>
  </si>
  <si>
    <t>Ruhige Bereitschaft: aufrechter Stand, Gewicht leicht verlagert, Blick aufmerksam; päpstlicher Renaissance-Verwalter in weiß-rotem Gewand, Messstab, Pergamentplan, scharfe Augen, schlichter Ring, keine moderne Insignie.</t>
  </si>
  <si>
    <t>Stances!A27</t>
  </si>
  <si>
    <t>CHAR-PORTRAIT:npc_aurelian_murus</t>
  </si>
  <si>
    <t>Charaktere!L28</t>
  </si>
  <si>
    <t>Kommandopose: eine Hand weist die Route, die andere hält das Rollenobjekt, fester sichernder Stand; spätrömischer Offizier in Schuppenpanzer, roter Mantel, rechteckiger Schild, Ziegelstaub, Wachstafel mit Mauerlinie.</t>
  </si>
  <si>
    <t>Stances!A28</t>
  </si>
  <si>
    <t>CHAR-PORTRAIT:npc_livia_strata</t>
  </si>
  <si>
    <t>Charaktere!L29</t>
  </si>
  <si>
    <t>Ruhige Bereitschaft: aufrechter Stand, Gewicht leicht verlagert, Blick aufmerksam; römische Feldarchäologin im staubigen braunen Mantel, Ledertasche, Pinsel, drei Materialproben – Marmor, Granit, Ziegel –, leuchtende Notizzettel.</t>
  </si>
  <si>
    <t>Stances!A29</t>
  </si>
  <si>
    <t>CHAR-PORTRAIT:npc_frontinus_aquarius</t>
  </si>
  <si>
    <t>Charaktere!L30</t>
  </si>
  <si>
    <t>Wasserwacht: ruhige, fliessende Haltung, Wasser- oder Schiffsanker deutlich sichtbar, leichte Wellenbewegung; römischer Ingenieur in kurzer Tunika und Mantel, Messstab, Bleiplombe, Wachstafel mit Aquäduktquerschnitt, graues Haar, prüfender Blick.</t>
  </si>
  <si>
    <t>Stances!A30</t>
  </si>
  <si>
    <t>CHAR-PORTRAIT:npc_livia_lens</t>
  </si>
  <si>
    <t>Charaktere!L31</t>
  </si>
  <si>
    <t>Ruhige Bereitschaft: aufrechter Stand, Gewicht leicht verlagert, Blick aufmerksam; junge römische Chronistin im Renaissance-Reisemantel, kleine Messingkamera als magisches Artefakt, zwölf leere Bildrahmen am Gürtel, lebhafte braune Augen.</t>
  </si>
  <si>
    <t>Stances!A31</t>
  </si>
  <si>
    <t>CHAR-PORTRAIT:npc_auriga_quinta</t>
  </si>
  <si>
    <t>Charaktere!L32</t>
  </si>
  <si>
    <t>Ruhige Bereitschaft: aufrechter Stand, Gewicht leicht verlagert, Blick aufmerksam; römische Wagenlenkerin in grüner Tunika, Lederhelm, Zügel um die Schulter, Staub, selbstbewusstes Grinsen.</t>
  </si>
  <si>
    <t>Stances!A32</t>
  </si>
  <si>
    <t>CHAR-PORTRAIT:npc_mercator_minimus</t>
  </si>
  <si>
    <t>Charaktere!L33</t>
  </si>
  <si>
    <t>Ruhige Bereitschaft: aufrechter Stand, Gewicht leicht verlagert, Blick aufmerksam; kleiner römischer Händler hinter übergroßer Wachstafel, violette Tunika, Münzwaage, winzige Preisschilder, hochgezogene Augenbraue.</t>
  </si>
  <si>
    <t>Stances!A33</t>
  </si>
  <si>
    <t>CHAR-PORTRAIT:npc_tartaruga_quarta</t>
  </si>
  <si>
    <t>Charaktere!L34</t>
  </si>
  <si>
    <t>Wasserwacht: ruhige, fliessende Haltung, Wasser- oder Schiffsanker deutlich sichtbar, leichte Wellenbewegung; kleine bronzene Schildkröte mit grüner Patina, winziger Wächterhelm, leuchtende Augen, Wassertropfen.</t>
  </si>
  <si>
    <t>Stances!A34</t>
  </si>
  <si>
    <t>CHAR-PORTRAIT:npc_rattus_virgo</t>
  </si>
  <si>
    <t>Charaktere!L35</t>
  </si>
  <si>
    <t>Ruhige Bereitschaft: aufrechter Stand, Gewicht leicht verlagert, Blick aufmerksam; große nasse Kanalratte mit zerfetzter römischer Schärpe, kleine gestohlene Münzen, Travertinstaub, wacher listiger Blick.</t>
  </si>
  <si>
    <t>Stances!A35</t>
  </si>
  <si>
    <t>CHAR-PORTRAIT:npc_satirelli_gemelli</t>
  </si>
  <si>
    <t>Charaktere!L36</t>
  </si>
  <si>
    <t>Listige Bereitschaft: leicht versetzter Stand, Hände bereit für die nächste Täuschung, wacher seitlicher Blick; zwei kleine Satyrwesen aus dunklem Stein, lockiges Haar, kleine Hörner, einer mit Panflöte, einer mit Traubenranke, lebendige Augen.</t>
  </si>
  <si>
    <t>Stances!A36</t>
  </si>
  <si>
    <t>CHAR-PORTRAIT:npc_porta_alchemica</t>
  </si>
  <si>
    <t>Charaktere!L37</t>
  </si>
  <si>
    <t>Listige Bereitschaft: leicht versetzter Stand, Hände bereit für die nächste Täuschung, wacher seitlicher Blick; Renaissance-Alchemistin in dunkelgrünem Mantel, Messingzirkel, kleine Glasphiolen, zwei steinerne Wächter hinter ihr, goldene Symbole.</t>
  </si>
  <si>
    <t>Stances!A37</t>
  </si>
  <si>
    <t>CHAR-PORTRAIT:npc_dante_rosa</t>
  </si>
  <si>
    <t>Charaktere!L38</t>
  </si>
  <si>
    <t>Ruhige Bereitschaft: aufrechter Stand, Gewicht leicht verlagert, Blick aufmerksam; schlanke Gestalt aus rotem Mantel und Windlinien, Lorbeerkranz, Pergamentstreifen, Windrose als Licht unter den Füßen.</t>
  </si>
  <si>
    <t>Stances!A38</t>
  </si>
  <si>
    <t>CHAR-PORTRAIT:npc_cannoniere_gianicolo</t>
  </si>
  <si>
    <t>Charaktere!L39</t>
  </si>
  <si>
    <t>STANCE:npc_cannoniere_gianicolo:STAGE_1_TARGETING</t>
  </si>
  <si>
    <t>BOSS_STAGE_STARTFRAME</t>
  </si>
  <si>
    <t>STAGE_1_TARGETING</t>
  </si>
  <si>
    <t>Zielmarke: Breiter Stand hinter der Geisterkanone, eine Hand hebt die Zielmarke, Mantel und Banner bewegen sich ruhig im Wind; die Kanone bleibt klar lesbar.</t>
  </si>
  <si>
    <t>Stances!A39</t>
  </si>
  <si>
    <t>STANCE:npc_cannoniere_gianicolo:STAGE_2_OVERHEATED</t>
  </si>
  <si>
    <t>STAGE_2_OVERHEATED</t>
  </si>
  <si>
    <t>Überhitztes Rohr: Leicht nach hinten geneigte Kampfhaltung neben dem glühenden Kanonenrohr, orange Hitze und dünner Rauch, angespannte Schultern, bereit zur nächsten Salve.</t>
  </si>
  <si>
    <t>Stances!A40</t>
  </si>
  <si>
    <t>STANCE:npc_cannoniere_gianicolo:STAGE_3_LAST_STANDARD</t>
  </si>
  <si>
    <t>STAGE_3_LAST_STANDARD</t>
  </si>
  <si>
    <t>Letzte Standarte: Aufrechter finaler Stand, die letzte Standarte hoch erhoben, Kanone abgesenkt, entschlossener Blick, Glut und Staub als kontrollierte Akzente.</t>
  </si>
  <si>
    <t>Stances!A41</t>
  </si>
  <si>
    <t>CHAR-PORTRAIT:npc_custode_neve</t>
  </si>
  <si>
    <t>Charaktere!L40</t>
  </si>
  <si>
    <t>STANCE:npc_custode_neve:STAGE_1_SNOW_SEAL</t>
  </si>
  <si>
    <t>STAGE_1_SNOW_SEAL</t>
  </si>
  <si>
    <t>Schneesiegel: Ruhige Wächterhaltung mit gesenktem Stab, Schneesiegel deutlich auf Brust und Schultern, feine Eiskristalle schweben ohne die Silhouette zu verdecken.</t>
  </si>
  <si>
    <t>Stances!A42</t>
  </si>
  <si>
    <t>STANCE:npc_custode_neve:STAGE_2_WHITE_NIGHT</t>
  </si>
  <si>
    <t>STAGE_2_WHITE_NIGHT</t>
  </si>
  <si>
    <t>Weiße Nacht: Arme weit geöffnet, ein kontrollierter Wirbel aus Schnee und Mosaiklicht um den Körper, Kopf leicht angehoben, globale Schutzphase sichtbar.</t>
  </si>
  <si>
    <t>Stances!A43</t>
  </si>
  <si>
    <t>STANCE:npc_custode_neve:STAGE_3_MOSAIC_CRACKS</t>
  </si>
  <si>
    <t>STAGE_3_MOSAIC_CRACKS</t>
  </si>
  <si>
    <t>Mosaikrisse: Schwerer finaler Stand mit sichtbaren Mosaikrissen und hellem Lichtkern, eine Hand am Boden, die andere schützt die letzte Bruchstelle.</t>
  </si>
  <si>
    <t>Stances!A44</t>
  </si>
  <si>
    <t>COMBAT:CP-QE-PASSETTO</t>
  </si>
  <si>
    <t>COMBAT_PROFILE_ART</t>
  </si>
  <si>
    <t>Kampfprofile!T</t>
  </si>
  <si>
    <t>Kampfbereitschaft: Markiert zuerst einen Ausgang, sperrt ihn in der Folgerunde und bestraft unkoordinierte Zielwechsel. Optionaler Kampf nur bei Teamentscheidung SCHATTEN_STELLEN; keine zweite Phase.</t>
  </si>
  <si>
    <t>Add a restrained looping combat-ready motion; 2–4 s; seamless loop; preserve silhouette and equipment.</t>
  </si>
  <si>
    <t>Kampfprofile!T5</t>
  </si>
  <si>
    <t>COMBAT:CP-QE-CAVALLEGGERO</t>
  </si>
  <si>
    <t>Kampfbereitschaft: Beginnt defensiv; telegraphiert eine Lanzenlinie und kontert Angriffe auf falsche Ziele. Bei halber Vitalität steigt er ab und verliert Reichweite, gewinnt aber Konter.</t>
  </si>
  <si>
    <t>Kampfprofile!T6</t>
  </si>
  <si>
    <t>COMBAT:CP-QE-ANTINOO</t>
  </si>
  <si>
    <t>Kampfbereitschaft: Erzeugt Spiegelbilder; jede richtige Ortszuordnung entfernt eines vor Kampfbeginn. Eine Phase; bei niedriger Vitalität werden Zielbilder schneller, aber fragiler.</t>
  </si>
  <si>
    <t>Kampfprofile!T7</t>
  </si>
  <si>
    <t>COMBAT:CP-QE-MUMMIA</t>
  </si>
  <si>
    <t>Kampfbereitschaft: Verflucht falsche Texteingaben und baut eine Schutzschicht aus Hieroglyphen auf. Keine Phase; optionaler Kampf nach korrekter Transkription deutlich kürzer.</t>
  </si>
  <si>
    <t>Kampfprofile!T8</t>
  </si>
  <si>
    <t>COMBAT:CP-QE-RATTO</t>
  </si>
  <si>
    <t>Kampfbereitschaft: Wechselt zwischen schnellem Biss und Rückzug; baut Schmutzstapel auf, wenn das Team denselben Angriff wiederholt. Keine Phase; Hidden-Variante startet mit Ausweichen, reguläre Questvariante mit Schmutz.</t>
  </si>
  <si>
    <t>Kampfprofile!T9</t>
  </si>
  <si>
    <t>COMBAT:CP-QE-CORAZZIERE</t>
  </si>
  <si>
    <t>Kampfbereitschaft: Fordert den stärksten Einzelkämpfer, wechselt aber das Ziel bei Schutzaktionen. Optionaler Kampf; keine Phasen, aber Haltung wechselt zwischen Parade und Duell.</t>
  </si>
  <si>
    <t>Kampfprofile!T10</t>
  </si>
  <si>
    <t>COMBAT:CP-QE-TARTARUGHE</t>
  </si>
  <si>
    <t>Kampfbereitschaft: Zieht sich in den Panzer zurück, wenn mehrere Spieler dasselbe Ziel fokussieren; öffnet sich nach unterschiedlichen Aktionstypen. Keine Phase; Hidden-Version besitzt alle vier Marken, Questversion kann ohne Kampf gelöst werden.</t>
  </si>
  <si>
    <t>Kampfprofile!T11</t>
  </si>
  <si>
    <t>COMBAT:CP-QE-GARIBALDINO</t>
  </si>
  <si>
    <t>Kampfbereitschaft: Ruft Erinnerungsmarken der Route auf; korrekt geordnete Stationen werden zu Team-Buffs statt gegnerischen Verstärkungen. Bei halber Vitalität zerreißt die Standarte und er wird schneller, verliert aber Gruppenbuffs.</t>
  </si>
  <si>
    <t>Kampfprofile!T12</t>
  </si>
  <si>
    <t>COMBAT:CP-QE-LUDUS</t>
  </si>
  <si>
    <t>Kampfbereitschaft: Telegraphiert Stoß, Feger oder Schilddruck; die korrekte Funktionszuordnung zeigt den ersten Angriff früh. Bei halber Vitalität wechselt er vom Schild zur Doppelklinge und verliert Verteidigung.</t>
  </si>
  <si>
    <t>Kampfprofile!T13</t>
  </si>
  <si>
    <t>COMBAT:CP-QE-GIANO</t>
  </si>
  <si>
    <t>Kampfbereitschaft: Wechselt Schutz-, Handels-, Kult- und Täuschungshaltung; nur die zur sichtbaren Monumentform passende Antwort öffnet eine Schwachstelle. Vier Haltungen zyklisch; keine zusätzliche Lebensphase.</t>
  </si>
  <si>
    <t>Kampfprofile!T14</t>
  </si>
  <si>
    <t>COMBAT:CP-QE-MASCHERONE</t>
  </si>
  <si>
    <t>Kampfbereitschaft: Markiert eine Blickrichtung und flutet in der Folgerunde alle Ziele, die dieselbe Haltung behalten. Optionaler Kampf; bei halber Vitalität bricht die Maske und verliert Verwirrung.</t>
  </si>
  <si>
    <t>Kampfprofile!T15</t>
  </si>
  <si>
    <t>COMBAT:CP-QE-SCORPIONE</t>
  </si>
  <si>
    <t>Kampfbereitschaft: Beginnt stark gepanzert; öffnet die Scheren nach richtiger Torzustands-Zuordnung. Keine Phase; Panzerbruch ist der zentrale Zustandswechsel.</t>
  </si>
  <si>
    <t>Kampfprofile!T16</t>
  </si>
  <si>
    <t>COMBAT:CP-QE-VAPORE</t>
  </si>
  <si>
    <t>Kampfbereitschaft: Erzeugt Nebelstapel, die Treffer ungenauer machen; wird durch Materialcode kurz kondensiert. Optionaler Kampf; keine Phase, aber Kondensation öffnet ein kurzes Burstfenster.</t>
  </si>
  <si>
    <t>Kampfprofile!T17</t>
  </si>
  <si>
    <t>COMBAT:CP-QE-IDRA</t>
  </si>
  <si>
    <t>Kampfbereitschaft: Jeder aktive Kopf bereitet einen anderen Angriff vor; die Bleiplombe entfernt vorab einen Kopf und dessen Mechanik. Köpfe werden mechanisch deaktiviert, nicht einzeln mit separaten HP geführt.</t>
  </si>
  <si>
    <t>Kampfprofile!T18</t>
  </si>
  <si>
    <t>COMBAT:CP-QE-DRAMMA</t>
  </si>
  <si>
    <t>Kampfbereitschaft: Kein normaler Kampf: Jede fehlende Rubrikkategorie wird zu einer narrativen Barriere; richtige Bildreihenfolge ersetzt Angriffe. Drei Review-Phasen statt HP-Schaden.</t>
  </si>
  <si>
    <t>Kampfprofile!T19</t>
  </si>
  <si>
    <t>COMBAT:CP-QE-AURIGA</t>
  </si>
  <si>
    <t>Kampfbereitschaft: Medienbegegnung: reagiert auf falsche Reihenfolge mit Zurücksetzen des betroffenen Aktes; kein echter PvE-Kampf nötig. Fünf Sequenzphasen.</t>
  </si>
  <si>
    <t>Kampfprofile!T20</t>
  </si>
  <si>
    <t>COMBAT:CP-QE-GLADIATOR-MEDIA</t>
  </si>
  <si>
    <t>Kampfbereitschaft: Kein echter Kampf; bewertet Herausforderung, Wendepunkt und Gnade als drei statische Posen. Drei Review-Phasen.</t>
  </si>
  <si>
    <t>Kampfprofile!T21</t>
  </si>
  <si>
    <t>COMBAT:CP-QE-TABERNA</t>
  </si>
  <si>
    <t>Kampfbereitschaft: Stellt nacheinander Nutzen, Schwäche und Preisfrage; fehlende Antwort erzeugt Zeitdruck statt Schaden. Drei Dialogphasen innerhalb von 30–60 Sekunden.</t>
  </si>
  <si>
    <t>Kampfprofile!T22</t>
  </si>
  <si>
    <t>COMBAT:CP-QE-SATIRELLI</t>
  </si>
  <si>
    <t>Kampfbereitschaft: Einer verspottet, einer greift an; Zuordnung zeigt, welcher gerade verwundbar ist. Keine zweite Phase; Rollenwechsel jede Runde.</t>
  </si>
  <si>
    <t>Kampfprofile!T23</t>
  </si>
  <si>
    <t>COMBAT:CP-QE-ALCHEMIST</t>
  </si>
  <si>
    <t>Kampfbereitschaft: Verwandelt falsche Reihenfolgen in Stein-, Metall- oder Lichtbarrieren; richtige nächste Kategorie bricht sie. Drei Materialphasen; kann vollständig als Puzzle statt Kampf gelöst werden.</t>
  </si>
  <si>
    <t>Kampfprofile!T24</t>
  </si>
  <si>
    <t>COMBAT:CP-QE-INFERNO</t>
  </si>
  <si>
    <t>Kampfbereitschaft: Telegraphiert Nord, Ost, Süd oder West; falsche Orientierung verstärkt den nächsten Angriff. Keine Phase; wird durch USCITA-Code direkt geschwächt.</t>
  </si>
  <si>
    <t>Kampfprofile!T25</t>
  </si>
  <si>
    <t>COMBAT:CP-WB-CANNONIERE</t>
  </si>
  <si>
    <t>Kampfbereitschaft: Globaler Kampf mit Deckungsruf, Schwachstellenfenster und Standartenkoordination; Aktionen bleiben pro Spieler übersichtlich. Phase 1 Zielmarken; Phase 2 überhitzte Kanone; Phase 3 letzte Standarte.</t>
  </si>
  <si>
    <t>Kampfprofile!T26</t>
  </si>
  <si>
    <t>COMBAT:CP-WB-NEVE</t>
  </si>
  <si>
    <t>Kampfbereitschaft: Globaler Kampf mit Erinnerungseis, Wärmeverteilung und gemeinsamen Bruchfenstern; Legendenstatus wird im Dialog klar markiert. Phase 1 Schneesiegel; Phase 2 weiße Nacht; Phase 3 Mosaikrisse und Finale.</t>
  </si>
  <si>
    <t>Kampfprofile!T27</t>
  </si>
  <si>
    <t>COMBAT:CP-UE-D1-01</t>
  </si>
  <si>
    <t>Kampfbereitschaft: Hebt ein Passionsinstrument sichtbar an und kontert in der Folgerunde die zuerst wiederholte Aktionsart. Keine Lebensphasen; zustandsbasiertes Telegraph/Counterplay.</t>
  </si>
  <si>
    <t>Kampfprofile!T28</t>
  </si>
  <si>
    <t>COMBAT:CP-UE-D1-02</t>
  </si>
  <si>
    <t>Kampfbereitschaft: Umkreist das Team und kündigt einen geraden Sprungangriff durch gesenkte Steinpranken an. Keine Lebensphasen; zustandsbasiertes Telegraph/Counterplay.</t>
  </si>
  <si>
    <t>Kampfprofile!T29</t>
  </si>
  <si>
    <t>COMBAT:CP-UE-D1-03</t>
  </si>
  <si>
    <t>Kampfbereitschaft: Wechselt zwischen Roma-Aura, Wölfinruf und Zwillingsmarken; jede Haltung ist sichtbar telegraphiert. Keine Lebensphasen; zustandsbasiertes Telegraph/Counterplay.</t>
  </si>
  <si>
    <t>Kampfprofile!T30</t>
  </si>
  <si>
    <t>COMBAT:CP-UE-D1-04</t>
  </si>
  <si>
    <t>Kampfbereitschaft: Baut eine Schildlinie auf und wechselt nach jeder dritten Teamaktion zur Speerformation. Keine Lebensphasen; zustandsbasiertes Telegraph/Counterplay.</t>
  </si>
  <si>
    <t>Kampfprofile!T31</t>
  </si>
  <si>
    <t>COMBAT:CP-UE-D1-05</t>
  </si>
  <si>
    <t>Kampfbereitschaft: Legt eine sichtbare Drei-Schritt-Zeitleiste an; verzögerte Aktionen werden verstärkt, hektische Wiederholungen bestraft. Keine Lebensphasen; zustandsbasiertes Telegraph/Counterplay.</t>
  </si>
  <si>
    <t>Kampfprofile!T32</t>
  </si>
  <si>
    <t>COMBAT:CP-UE-D1-06</t>
  </si>
  <si>
    <t>Kampfbereitschaft: Schützt sich mit Steinflügeln und stößt nach einem Fassadenruf auf ein Ziel herab. Keine Lebensphasen; zustandsbasiertes Telegraph/Counterplay.</t>
  </si>
  <si>
    <t>Kampfprofile!T33</t>
  </si>
  <si>
    <t>COMBAT:CP-UE-D1-07</t>
  </si>
  <si>
    <t>Kampfbereitschaft: Schlängelt sich zwischen Heilzeichen und verwandelt übermäßige Heilung in einen Schild. Keine Lebensphasen; zustandsbasiertes Telegraph/Counterplay.</t>
  </si>
  <si>
    <t>Kampfprofile!T34</t>
  </si>
  <si>
    <t>COMBAT:CP-UE-D1-08</t>
  </si>
  <si>
    <t>Kampfbereitschaft: Öffnet und schließt ein kreisförmiges Wasserauge; Angriff trifft nur die zuletzt markierte Reihe. Keine Lebensphasen; zustandsbasiertes Telegraph/Counterplay.</t>
  </si>
  <si>
    <t>Kampfprofile!T35</t>
  </si>
  <si>
    <t>COMBAT:CP-UE-D2-01</t>
  </si>
  <si>
    <t>Kampfbereitschaft: Erscheint als Wagengeist mit zwei Pferdepaaren; wechselt zwischen Parade, Sturm und Siegeskreis. Keine Lebensphasen; zustandsbasiertes Telegraph/Counterplay.</t>
  </si>
  <si>
    <t>Kampfprofile!T36</t>
  </si>
  <si>
    <t>COMBAT:CP-UE-D2-02</t>
  </si>
  <si>
    <t>Kampfbereitschaft: Zwei Tritonen handeln abwechselnd: einer schützt die Muschel, der andere bläst einen Wasserstoß. Keine Lebensphasen; zustandsbasiertes Telegraph/Counterplay.</t>
  </si>
  <si>
    <t>Kampfprofile!T37</t>
  </si>
  <si>
    <t>COMBAT:CP-UE-D2-03</t>
  </si>
  <si>
    <t>Kampfbereitschaft: Der geisterhafte Steuermann lenkt die steinerne Navicella und ruft kleine Wellenkonstrukte. Keine Lebensphasen; zustandsbasiertes Telegraph/Counterplay.</t>
  </si>
  <si>
    <t>Kampfprofile!T38</t>
  </si>
  <si>
    <t>COMBAT:CP-UE-D2-04</t>
  </si>
  <si>
    <t>Kampfbereitschaft: Wechselt zwischen Befehl, Verteidigung und persönlichem Duell; jede Haltung wird durch Handzeichen angekündigt. Keine Lebensphasen; zustandsbasiertes Telegraph/Counterplay.</t>
  </si>
  <si>
    <t>Kampfprofile!T39</t>
  </si>
  <si>
    <t>UNIQUE-ENEMY:UE-D1-01</t>
  </si>
  <si>
    <t>UNIQUE_ENEMY_ART</t>
  </si>
  <si>
    <t>Unique Gegner!AE</t>
  </si>
  <si>
    <t>Encounter-Haltung: Hebt ein Passionsinstrument sichtbar an und kontert in der Folgerunde die zuerst wiederholte Aktionsart.</t>
  </si>
  <si>
    <t>Add a simple looping idle motion; 2–4 s; seamless loop; preserve the location anchor and combat silhouette.</t>
  </si>
  <si>
    <t>Unique Gegner!AE5</t>
  </si>
  <si>
    <t>UNIQUE-ENEMY:UE-D1-02</t>
  </si>
  <si>
    <t>Encounter-Haltung: Umkreist das Team und kündigt einen geraden Sprungangriff durch gesenkte Steinpranken an.</t>
  </si>
  <si>
    <t>Unique Gegner!AE6</t>
  </si>
  <si>
    <t>UNIQUE-ENEMY:UE-D1-03</t>
  </si>
  <si>
    <t>Encounter-Haltung: Wechselt zwischen Roma-Aura, Wölfinruf und Zwillingsmarken; jede Haltung ist sichtbar telegraphiert.</t>
  </si>
  <si>
    <t>Unique Gegner!AE7</t>
  </si>
  <si>
    <t>UNIQUE-ENEMY:UE-D1-04</t>
  </si>
  <si>
    <t>Encounter-Haltung: Baut eine Schildlinie auf und wechselt nach jeder dritten Teamaktion zur Speerformation.</t>
  </si>
  <si>
    <t>Unique Gegner!AE8</t>
  </si>
  <si>
    <t>UNIQUE-ENEMY:UE-D1-05</t>
  </si>
  <si>
    <t>Encounter-Haltung: Legt eine sichtbare Drei-Schritt-Zeitleiste an; verzögerte Aktionen werden verstärkt, hektische Wiederholungen bestraft.</t>
  </si>
  <si>
    <t>Unique Gegner!AE9</t>
  </si>
  <si>
    <t>UNIQUE-ENEMY:UE-D1-06</t>
  </si>
  <si>
    <t>Encounter-Haltung: Schützt sich mit Steinflügeln und stößt nach einem Fassadenruf auf ein Ziel herab.</t>
  </si>
  <si>
    <t>Unique Gegner!AE10</t>
  </si>
  <si>
    <t>UNIQUE-ENEMY:UE-D1-07</t>
  </si>
  <si>
    <t>Encounter-Haltung: Schlängelt sich zwischen Heilzeichen und verwandelt übermäßige Heilung in einen Schild.</t>
  </si>
  <si>
    <t>Unique Gegner!AE11</t>
  </si>
  <si>
    <t>UNIQUE-ENEMY:UE-D1-08</t>
  </si>
  <si>
    <t>Encounter-Haltung: Öffnet und schließt ein kreisförmiges Wasserauge; Angriff trifft nur die zuletzt markierte Reihe.</t>
  </si>
  <si>
    <t>Unique Gegner!AE12</t>
  </si>
  <si>
    <t>UNIQUE-ENEMY:UE-D2-01</t>
  </si>
  <si>
    <t>Encounter-Haltung: Erscheint als Wagengeist mit zwei Pferdepaaren; wechselt zwischen Parade, Sturm und Siegeskreis.</t>
  </si>
  <si>
    <t>Unique Gegner!AE13</t>
  </si>
  <si>
    <t>UNIQUE-ENEMY:UE-D2-02</t>
  </si>
  <si>
    <t>Encounter-Haltung: Zwei Tritonen handeln abwechselnd: einer schützt die Muschel, der andere bläst einen Wasserstoß.</t>
  </si>
  <si>
    <t>Unique Gegner!AE14</t>
  </si>
  <si>
    <t>UNIQUE-ENEMY:UE-D2-03</t>
  </si>
  <si>
    <t>Encounter-Haltung: Der geisterhafte Steuermann lenkt die steinerne Navicella und ruft kleine Wellenkonstrukte.</t>
  </si>
  <si>
    <t>Unique Gegner!AE15</t>
  </si>
  <si>
    <t>UNIQUE-ENEMY:UE-D2-04</t>
  </si>
  <si>
    <t>Encounter-Haltung: Wechselt zwischen Befehl, Verteidigung und persönlichem Duell; jede Haltung wird durch Handzeichen angekündigt.</t>
  </si>
  <si>
    <t>Unique Gegner!AE16</t>
  </si>
  <si>
    <t>QUEST-ILL:D1-Q01</t>
  </si>
  <si>
    <t>QUEST_ILLUSTRATION</t>
  </si>
  <si>
    <t>Quest Master!AA</t>
  </si>
  <si>
    <t>Statische Szene; keine animierte Figur erforderlich</t>
  </si>
  <si>
    <t>Quest Master!AA5</t>
  </si>
  <si>
    <t>QUEST-ILL:D1-Q02</t>
  </si>
  <si>
    <t>Quest Master!AA6</t>
  </si>
  <si>
    <t>QUEST-ILL:D1-Q03</t>
  </si>
  <si>
    <t>Quest Master!AA7</t>
  </si>
  <si>
    <t>QUEST-ILL:D1-Q04</t>
  </si>
  <si>
    <t>Quest Master!AA8</t>
  </si>
  <si>
    <t>QUEST-ILL:D1-Q05</t>
  </si>
  <si>
    <t>Quest Master!AA9</t>
  </si>
  <si>
    <t>QUEST-ILL:D1-Q06</t>
  </si>
  <si>
    <t>Quest Master!AA10</t>
  </si>
  <si>
    <t>QUEST-ILL:D1-Q07</t>
  </si>
  <si>
    <t>Quest Master!AA11</t>
  </si>
  <si>
    <t>QUEST-ILL:D1-Q08</t>
  </si>
  <si>
    <t>Quest Master!AA12</t>
  </si>
  <si>
    <t>QUEST-ILL:D1-Q09</t>
  </si>
  <si>
    <t>Quest Master!AA13</t>
  </si>
  <si>
    <t>QUEST-ILL:D1-Q10</t>
  </si>
  <si>
    <t>Quest Master!AA14</t>
  </si>
  <si>
    <t>QUEST-ILL:D1-Q11</t>
  </si>
  <si>
    <t>Quest Master!AA15</t>
  </si>
  <si>
    <t>QUEST-ILL:D1-Q12</t>
  </si>
  <si>
    <t>Quest Master!AA16</t>
  </si>
  <si>
    <t>QUEST-ILL:D1-Q13</t>
  </si>
  <si>
    <t>Quest Master!AA17</t>
  </si>
  <si>
    <t>QUEST-ILL:D1-Q14</t>
  </si>
  <si>
    <t>Quest Master!AA18</t>
  </si>
  <si>
    <t>QUEST-ILL:D1-Q15</t>
  </si>
  <si>
    <t>Quest Master!AA19</t>
  </si>
  <si>
    <t>QUEST-ILL:D1-Q16</t>
  </si>
  <si>
    <t>Quest Master!AA20</t>
  </si>
  <si>
    <t>QUEST-ILL:D2-Q01</t>
  </si>
  <si>
    <t>Quest Master!AA21</t>
  </si>
  <si>
    <t>QUEST-ILL:D2-Q02</t>
  </si>
  <si>
    <t>Quest Master!AA22</t>
  </si>
  <si>
    <t>QUEST-ILL:D2-Q03</t>
  </si>
  <si>
    <t>Quest Master!AA23</t>
  </si>
  <si>
    <t>QUEST-ILL:D2-Q04</t>
  </si>
  <si>
    <t>Quest Master!AA24</t>
  </si>
  <si>
    <t>QUEST-ILL:D2-Q05</t>
  </si>
  <si>
    <t>Quest Master!AA25</t>
  </si>
  <si>
    <t>QUEST-ILL:D2-Q06</t>
  </si>
  <si>
    <t>Quest Master!AA26</t>
  </si>
  <si>
    <t>QUEST-ILL:D2-Q07</t>
  </si>
  <si>
    <t>Quest Master!AA27</t>
  </si>
  <si>
    <t>QUEST-ILL:D2-Q08</t>
  </si>
  <si>
    <t>Quest Master!AA28</t>
  </si>
  <si>
    <t>QUEST-ILL:D2-Q09</t>
  </si>
  <si>
    <t>Quest Master!AA29</t>
  </si>
  <si>
    <t>QUEST-ILL:D2-Q10</t>
  </si>
  <si>
    <t>Quest Master!AA30</t>
  </si>
  <si>
    <t>QUEST-ILL:M-D1-01</t>
  </si>
  <si>
    <t>Quest Master!AA31</t>
  </si>
  <si>
    <t>QUEST-ILL:M-D1-02</t>
  </si>
  <si>
    <t>Quest Master!AA32</t>
  </si>
  <si>
    <t>QUEST-ILL:M-D1-03</t>
  </si>
  <si>
    <t>Quest Master!AA33</t>
  </si>
  <si>
    <t>QUEST-ILL:M-LT-01</t>
  </si>
  <si>
    <t>Quest Master!AA34</t>
  </si>
  <si>
    <t>QUEST-ILL:M-D2-01</t>
  </si>
  <si>
    <t>Quest Master!AA35</t>
  </si>
  <si>
    <t>QUEST-ILL:M-D2-02</t>
  </si>
  <si>
    <t>Quest Master!AA36</t>
  </si>
  <si>
    <t>QUEST-ILL:M-D2-03</t>
  </si>
  <si>
    <t>Quest Master!AA37</t>
  </si>
  <si>
    <t>QUEST-ILL:H-D1-01</t>
  </si>
  <si>
    <t>Quest Master!AA38</t>
  </si>
  <si>
    <t>QUEST-ILL:H-D1-02</t>
  </si>
  <si>
    <t>Quest Master!AA39</t>
  </si>
  <si>
    <t>QUEST-ILL:H-D1-03</t>
  </si>
  <si>
    <t>Quest Master!AA40</t>
  </si>
  <si>
    <t>QUEST-ILL:H-D2-01</t>
  </si>
  <si>
    <t>Quest Master!AA41</t>
  </si>
  <si>
    <t>QUEST-ILL:H-D2-02</t>
  </si>
  <si>
    <t>Quest Master!AA42</t>
  </si>
  <si>
    <t>QUEST-ILL:B-D1-01</t>
  </si>
  <si>
    <t>Quest Master!AA43</t>
  </si>
  <si>
    <t>QUEST-ILL:B-D2-01</t>
  </si>
  <si>
    <t>Quest Master!AA44</t>
  </si>
  <si>
    <t>CLASS-SCHWEIZER-GARDIST</t>
  </si>
  <si>
    <t>CLASS_KEY_ART</t>
  </si>
  <si>
    <t>GDD §42.4</t>
  </si>
  <si>
    <t>Schweizer Gardist</t>
  </si>
  <si>
    <t>KEY_ART</t>
  </si>
  <si>
    <t>Historisches Chiaroscuro, mobile-RPG-Klassenbild. Aufrechter Verteidiger mit Hellebarde, blau-gelb-roter Uniform, dunkler Brustharnisch, warmes Gegenlicht, klare Schutzsilhouette. Klare Silhouette, keine Schrift, kein Logo, keine modernen Gegenstände.</t>
  </si>
  <si>
    <t>Klassenrolle sichtbar durch Körperhaltung und Ausrüstung</t>
  </si>
  <si>
    <t>CLASS-NONNE-MOENCH</t>
  </si>
  <si>
    <t>Nonne/Mönch</t>
  </si>
  <si>
    <t>Historisches Chiaroscuro, mobile-RPG-Klassenbild. Ruhige heilende Ordensfigur in cremefarbenem Gewand, Reisebeutel und Relikt, schützende Hände, warmes Licht und tiefe Schatten. Klare Silhouette, keine Schrift, kein Logo, keine modernen Gegenstände.</t>
  </si>
  <si>
    <t>CLASS-BILDHAUER</t>
  </si>
  <si>
    <t>Bildhauer</t>
  </si>
  <si>
    <t>Historisches Chiaroscuro, mobile-RPG-Klassenbild. Kreativer Nahkämpfer mit Meißel, Skizzenbuch und staubiger Lederschürze, energische Handhaltung, Bronze- und Steinakzente. Klare Silhouette, keine Schrift, kein Logo, keine modernen Gegenstände.</t>
  </si>
  <si>
    <t>CLASS-CONDOTTIERE</t>
  </si>
  <si>
    <t>Condottiere</t>
  </si>
  <si>
    <t>Historisches Chiaroscuro, mobile-RPG-Klassenbild. Taktischer Söldner mit dunkler Plattenrüstung, scharlachrotem Mantel und Kartenrolle, kontrollierte Duellpose, gerichtetes Licht. Klare Silhouette, keine Schrift, kein Logo, keine modernen Gegenstände.</t>
  </si>
  <si>
    <t>PRESTIGE-RANK-EMBLEM</t>
  </si>
  <si>
    <t>PRESTIGE_ART</t>
  </si>
  <si>
    <t>GDD §42.5/42.6</t>
  </si>
  <si>
    <t>Historisches Chiaroscuro beziehungsweise Marmor/Bronze gemäss Rolle. Rangabzeichen aus hellem Marmor mit bronzenem Relief und kleinem antikem Goldakzent. Keine Schrift im generierten Motiv, keine Logos, ausreichend freie UI-Zone.</t>
  </si>
  <si>
    <t>Statisches Motiv</t>
  </si>
  <si>
    <t>GDD §42.5–42.6</t>
  </si>
  <si>
    <t>PRESTIGE-ACHIEVEMENT-MEDAL</t>
  </si>
  <si>
    <t>Historisches Chiaroscuro beziehungsweise Marmor/Bronze gemäss Rolle. Bronzene Medaille auf ruhiger Marmorplatte, gravierte Symbolform ohne lesbaren Text. Keine Schrift im generierten Motiv, keine Logos, ausreichend freie UI-Zone.</t>
  </si>
  <si>
    <t>EVENT-DAY1-GIANICOLO</t>
  </si>
  <si>
    <t>EVENT_IMAGE</t>
  </si>
  <si>
    <t>Historisches Chiaroscuro beziehungsweise Marmor/Bronze gemäss Rolle. Monumentale Terrasse mit Geisterkanone, roten Standarten, warmem Abendlicht und kontrolliertem Rauch. Keine Schrift im generierten Motiv, keine Logos, ausreichend freie UI-Zone.</t>
  </si>
  <si>
    <t>EVENT-DAY2-SNOW-BASILICA</t>
  </si>
  <si>
    <t>Historisches Chiaroscuro beziehungsweise Marmor/Bronze gemäss Rolle. Basilika-Außenfläche mit Schnee, Mosaiklicht und aufbrechenden Eislinien, dramatische aber mobile lesbare Komposition. Keine Schrift im generierten Motiv, keine Logos, ausreichend freie UI-Zone.</t>
  </si>
  <si>
    <t>PRESTIGE-FINAL-MOSAIC</t>
  </si>
  <si>
    <t>Historisches Chiaroscuro beziehungsweise Marmor/Bronze gemäss Rolle. Helle Marmorfläche mit bronzenem Via-Romae-Mosaik, dezente Patina, freie Textzone für Ranglisten-UI. Keine Schrift im generierten Motiv, keine Logos, ausreichend freie UI-Zone.</t>
  </si>
  <si>
    <t>Via Romae – Character-Stances v0.9</t>
  </si>
  <si>
    <t>Jede Figur erhält mindestens eine lesbare Startframe-Haltung. Bosse erhalten je eine Haltung für jede ihrer drei Kampfphasen. Die anschließende Gonk-Imagine-Animation bleibt 2–4 Sekunden, 720p und nahtlos loopend.</t>
  </si>
  <si>
    <t>Stance-Asset-ID</t>
  </si>
  <si>
    <t>Charakter</t>
  </si>
  <si>
    <t>Stance-Name</t>
  </si>
  <si>
    <t>Stance-Beschreibung</t>
  </si>
  <si>
    <t>Loop</t>
  </si>
  <si>
    <t>Prompt-Referenz</t>
  </si>
  <si>
    <t>Ruhige Bereitschaft</t>
  </si>
  <si>
    <t>aufrechter Stand, Gewicht leicht verlagert, Blick aufmerksam; junger Gardist in renaissancezeitlicher blau-gelb-roter Uniform, dunkler Brustharnisch, Hellebarde, staubiger Umhang, ruhiger konzentrierter Blick.</t>
  </si>
  <si>
    <t>SEAMLESS_LOOP</t>
  </si>
  <si>
    <t>Asset-Prompts!STANCE:npc_konrad_schildwacht:IDLE_READY</t>
  </si>
  <si>
    <t>aufrechter Stand, Gewicht leicht verlagert, Blick aufmerksam; älterer italienischer Söldnerhauptmann, scharlachroter Mantel über dunkler Plattenrüstung, Federbarett, gepflegter Schnurrbart, Kartenrolle und Katzengrinsen.</t>
  </si>
  <si>
    <t>Asset-Prompts!STANCE:npc_capitano_malatesta:IDLE_READY</t>
  </si>
  <si>
    <t>aufrechter Stand, Gewicht leicht verlagert, Blick aufmerksam; junge römische Stadtbotin, sandfarbener Reisemantel, drei bronzene Wegnadeln im Haar, kleine Kartenfragmente, wacher Blick, Wind bewegt den Stoff.</t>
  </si>
  <si>
    <t>Asset-Prompts!STANCE:npc_flaminia_trivium:IDLE_READY</t>
  </si>
  <si>
    <t>Schreiberhaltung</t>
  </si>
  <si>
    <t>Schreibpalette oder Pergament vor dem Körper, Kopf leicht geneigt, konzentrierte Hände; ägyptisch-römische Schreiberin als geisterhafte Steinfigur, Leinengewand, Schreibpalette, Sternsymbol im Haar, blassgoldene Hieroglyphen leuchten auf Armen.</t>
  </si>
  <si>
    <t>Asset-Prompts!STANCE:npc_seshat_pincio:IDLE_READY</t>
  </si>
  <si>
    <t>Wasserwacht</t>
  </si>
  <si>
    <t>ruhige, fliessende Haltung, Wasser- oder Schiffsanker deutlich sichtbar, leichte Wellenbewegung; kleiner Wassergeist in Form eines halb im Becken liegenden steinernen Boots, Gesicht aus Wasserreflexen, winziger Kapitänshut, barocke Ornamente.</t>
  </si>
  <si>
    <t>Asset-Prompts!STANCE:npc_barcaccia:IDLE_READY</t>
  </si>
  <si>
    <t>aufrechter Stand, Gewicht leicht verlagert, Blick aufmerksam; italienischer Barockbildhauer mittleren Alters, lockiges dunkles Haar, feiner Bart, weißes Hemd mit hochgekrempelten Ärmeln, dunkle Weste, Meißel und Skizzenbuch, lebhafte Hände.</t>
  </si>
  <si>
    <t>Asset-Prompts!STANCE:npc_bernini_echo:IDLE_READY</t>
  </si>
  <si>
    <t>aufrechter Stand, Gewicht leicht verlagert, Blick aufmerksam; römischer Staatsmann in schlichter Toga, kantiges Gesicht, Wachstafel, bronzene Messschnur, Buchstaben AGRIPPA als schwaches Licht hinter ihm.</t>
  </si>
  <si>
    <t>Asset-Prompts!STANCE:npc_agrippa_echo:IDLE_READY</t>
  </si>
  <si>
    <t>Schreibpalette oder Pergament vor dem Körper, Kopf leicht geneigt, konzentrierte Hände; römischer Archivar mit ockerfarbener Tunika, Lederrollenbehälter, zwei Pergamente – eines mit Hieroglyphen, eines mit Spiralzeichnung –, Tintenflecken an den Fingern.</t>
  </si>
  <si>
    <t>Asset-Prompts!STANCE:npc_cassius_archivar:IDLE_READY</t>
  </si>
  <si>
    <t>ruhige, fliessende Haltung, Wasser- oder Schiffsanker deutlich sichtbar, leichte Wellenbewegung; römische Wasserhüterin aus klarem blaugrünem Wasser, Travertin-Schulterplatten, Muschelschmuck, Amphore, Lichtlinien wie Aquäduktkanäle im Gewand.</t>
  </si>
  <si>
    <t>Asset-Prompts!STANCE:npc_aqua_virgo:IDLE_READY</t>
  </si>
  <si>
    <t>Kommandopose</t>
  </si>
  <si>
    <t>eine Hand weist die Route, die andere hält das Rollenobjekt, fester sichernder Stand; albanischer Renaissancefeldherr, dunkler Mantel, verzierter Helm mit Ziegenkopf-Silhouette, Schwertgurt, markantes Profil, steinerne Textur an einer Gesichtshälfte.</t>
  </si>
  <si>
    <t>Asset-Prompts!STANCE:npc_skanderbeg_echo:IDLE_READY</t>
  </si>
  <si>
    <t>aufrechter Stand, Gewicht leicht verlagert, Blick aufmerksam; römische Frau in schlichtem dunkelblauem Mantel, kleine Messinglaterne, vier geschnitzte Figuren am Gürtel, warmes Licht, ruhiges offenes Gesicht.</t>
  </si>
  <si>
    <t>Asset-Prompts!STANCE:npc_lucia_laternenhueterin:IDLE_READY</t>
  </si>
  <si>
    <t>Kontemplative Haltung</t>
  </si>
  <si>
    <t>geschlossenes Buch an die Brust, Kopf leicht zur Seite, dunkler Mantel bewegt sich minimal; dunkle bronzene Renaissancefigur mit Kapuze, geschlossenes Buch unter gekreuzten Händen, glimmende rote Reflexe, ernster Blick, Mantel im Wind.</t>
  </si>
  <si>
    <t>Asset-Prompts!STANCE:npc_giordano_bruno_echo:IDLE_READY</t>
  </si>
  <si>
    <t>Regiehaltung</t>
  </si>
  <si>
    <t>ein Arm gibt eine knappe Regieanweisung, der andere hält den Spielplan, dynamischer Stand; römisch-barocke Bühnenmeisterin, schwarzes Kleid mit goldenen Nähten, Halbmaske am Gürtel, Pergament-Spielplan, Kreidestaub, entschlossener Blick.</t>
  </si>
  <si>
    <t>Asset-Prompts!STANCE:npc_marcella_scaena:IDLE_READY</t>
  </si>
  <si>
    <t>Heilerhaltung</t>
  </si>
  <si>
    <t>eine Hand schützend über der Amphore beziehungsweise dem Stab, ruhiger prüfender Blick; antiker römischer Arzt, helles Leinengewand, Ledertasche, Stab mit einzelner Schlange, feuchte Travertinfragmente, freundliche müde Augen.</t>
  </si>
  <si>
    <t>Asset-Prompts!STANCE:npc_tiberinus_medicus:IDLE_READY</t>
  </si>
  <si>
    <t>aufrechter Stand, Gewicht leicht verlagert, Blick aufmerksam; junge frühchristliche Frau, cremefarbenes Gewand, dunkelroter Mantel, kleine tragbare Leier, goldene Mosaiklichtpunkte, ernster freundlicher Blick.</t>
  </si>
  <si>
    <t>Asset-Prompts!STANCE:npc_cecilia_vox:IDLE_READY</t>
  </si>
  <si>
    <t>aufrechter Stand, Gewicht leicht verlagert, Blick aufmerksam; brasilianisch-italienische Freiheitskämpferin zu Pferd, dunkles Reitkleid, rotes Halstuch, Wind im Haar, Pistole gesenkt, heroisch aber menschlich.</t>
  </si>
  <si>
    <t>Asset-Prompts!STANCE:npc_anita_garibaldi:IDLE_READY</t>
  </si>
  <si>
    <t>Meisterpose</t>
  </si>
  <si>
    <t>Werkzeug und Skizzenobjekt werden vor der Brust gehalten, prüfender Blick über die Schulter; älterer Renaissancekünstler mit grauem Bart, dunkler Kappe, staubigem schwarzem Gewand, Zirkel und Platzskizze, strenger Blick.</t>
  </si>
  <si>
    <t>Asset-Prompts!STANCE:npc_michelangelo_campidoglio:IDLE_READY</t>
  </si>
  <si>
    <t>aufrechter Stand, Gewicht leicht verlagert, Blick aufmerksam; allegorische geflügelte Frau in weiß-goldenem Gewand, bronzene Flügel, Lorbeerkranz, zwei kleine Quadriga-Silhouetten als Licht hinter ihr.</t>
  </si>
  <si>
    <t>Asset-Prompts!STANCE:npc_vittoria_alata:IDLE_READY</t>
  </si>
  <si>
    <t>aufrechter Stand, Gewicht leicht verlagert, Blick aufmerksam; kräftiger römischer Trainer in Lederharnisch, hölzerner Trainingsstab, rote Tunika, Narben, breites Grinsen, Sandstaub.</t>
  </si>
  <si>
    <t>Asset-Prompts!STANCE:npc_lanista_felix:IDLE_READY</t>
  </si>
  <si>
    <t>Offene Händlerhaltung</t>
  </si>
  <si>
    <t>offene Hand zum Angebot, die andere nahe am Warenbeutel, geschäftiger aber kontrollierter Blick; antiker römischer Händler in gestreifter Tunika, Lederbeutel, bronzene Waage, vier kleine Tormarken am Gürtel, listiges freundliches Gesicht.</t>
  </si>
  <si>
    <t>Asset-Prompts!STANCE:npc_mercator_gaius:IDLE_READY</t>
  </si>
  <si>
    <t>ruhige, fliessende Haltung, Wasser- oder Schiffsanker deutlich sichtbar, leichte Wellenbewegung; muskulöser Triton mit bronzener Muschelschale, blaugrüne Schuppen, steinerne Patina, breites Lachen, Wasserwirbel um die Schultern.</t>
  </si>
  <si>
    <t>Asset-Prompts!STANCE:npc_triton_callidus:IDLE_READY</t>
  </si>
  <si>
    <t>aufrechter Stand, Gewicht leicht verlagert, Blick aufmerksam; kleiner römischer Steuermann in wettergegerbtem Umhang, bronzenes Ruder, steinerne Schiffssilhouette hinter ihm, Salz- und Moosspuren.</t>
  </si>
  <si>
    <t>Asset-Prompts!STANCE:npc_nauta_celimontanus:IDLE_READY</t>
  </si>
  <si>
    <t>aufrechter Stand, Gewicht leicht verlagert, Blick aufmerksam; päpstlicher Renaissance-Verwalter in weiß-rotem Gewand, Messstab, Pergamentplan, scharfe Augen, schlichter Ring, keine moderne Insignie.</t>
  </si>
  <si>
    <t>Asset-Prompts!STANCE:npc_sixtus_vermesser:IDLE_READY</t>
  </si>
  <si>
    <t>eine Hand weist die Route, die andere hält das Rollenobjekt, fester sichernder Stand; spätrömischer Offizier in Schuppenpanzer, roter Mantel, rechteckiger Schild, Ziegelstaub, Wachstafel mit Mauerlinie.</t>
  </si>
  <si>
    <t>Asset-Prompts!STANCE:npc_aurelian_murus:IDLE_READY</t>
  </si>
  <si>
    <t>aufrechter Stand, Gewicht leicht verlagert, Blick aufmerksam; römische Feldarchäologin im staubigen braunen Mantel, Ledertasche, Pinsel, drei Materialproben – Marmor, Granit, Ziegel –, leuchtende Notizzettel.</t>
  </si>
  <si>
    <t>Asset-Prompts!STANCE:npc_livia_strata:IDLE_READY</t>
  </si>
  <si>
    <t>ruhige, fliessende Haltung, Wasser- oder Schiffsanker deutlich sichtbar, leichte Wellenbewegung; römischer Ingenieur in kurzer Tunika und Mantel, Messstab, Bleiplombe, Wachstafel mit Aquäduktquerschnitt, graues Haar, prüfender Blick.</t>
  </si>
  <si>
    <t>Asset-Prompts!STANCE:npc_frontinus_aquarius:IDLE_READY</t>
  </si>
  <si>
    <t>aufrechter Stand, Gewicht leicht verlagert, Blick aufmerksam; junge römische Chronistin im Renaissance-Reisemantel, kleine Messingkamera als magisches Artefakt, zwölf leere Bildrahmen am Gürtel, lebhafte braune Augen.</t>
  </si>
  <si>
    <t>Asset-Prompts!STANCE:npc_livia_lens:IDLE_READY</t>
  </si>
  <si>
    <t>aufrechter Stand, Gewicht leicht verlagert, Blick aufmerksam; römische Wagenlenkerin in grüner Tunika, Lederhelm, Zügel um die Schulter, Staub, selbstbewusstes Grinsen.</t>
  </si>
  <si>
    <t>Asset-Prompts!STANCE:npc_auriga_quinta:IDLE_READY</t>
  </si>
  <si>
    <t>aufrechter Stand, Gewicht leicht verlagert, Blick aufmerksam; kleiner römischer Händler hinter übergroßer Wachstafel, violette Tunika, Münzwaage, winzige Preisschilder, hochgezogene Augenbraue.</t>
  </si>
  <si>
    <t>Asset-Prompts!STANCE:npc_mercator_minimus:IDLE_READY</t>
  </si>
  <si>
    <t>ruhige, fliessende Haltung, Wasser- oder Schiffsanker deutlich sichtbar, leichte Wellenbewegung; kleine bronzene Schildkröte mit grüner Patina, winziger Wächterhelm, leuchtende Augen, Wassertropfen.</t>
  </si>
  <si>
    <t>Asset-Prompts!STANCE:npc_tartaruga_quarta:IDLE_READY</t>
  </si>
  <si>
    <t>aufrechter Stand, Gewicht leicht verlagert, Blick aufmerksam; große nasse Kanalratte mit zerfetzter römischer Schärpe, kleine gestohlene Münzen, Travertinstaub, wacher listiger Blick.</t>
  </si>
  <si>
    <t>Asset-Prompts!STANCE:npc_rattus_virgo:IDLE_READY</t>
  </si>
  <si>
    <t>Listige Bereitschaft</t>
  </si>
  <si>
    <t>leicht versetzter Stand, Hände bereit für die nächste Täuschung, wacher seitlicher Blick; zwei kleine Satyrwesen aus dunklem Stein, lockiges Haar, kleine Hörner, einer mit Panflöte, einer mit Traubenranke, lebendige Augen.</t>
  </si>
  <si>
    <t>Asset-Prompts!STANCE:npc_satirelli_gemelli:IDLE_READY</t>
  </si>
  <si>
    <t>leicht versetzter Stand, Hände bereit für die nächste Täuschung, wacher seitlicher Blick; Renaissance-Alchemistin in dunkelgrünem Mantel, Messingzirkel, kleine Glasphiolen, zwei steinerne Wächter hinter ihr, goldene Symbole.</t>
  </si>
  <si>
    <t>Asset-Prompts!STANCE:npc_porta_alchemica:IDLE_READY</t>
  </si>
  <si>
    <t>aufrechter Stand, Gewicht leicht verlagert, Blick aufmerksam; schlanke Gestalt aus rotem Mantel und Windlinien, Lorbeerkranz, Pergamentstreifen, Windrose als Licht unter den Füßen.</t>
  </si>
  <si>
    <t>Asset-Prompts!STANCE:npc_dante_rosa:IDLE_READY</t>
  </si>
  <si>
    <t>Zielmarke</t>
  </si>
  <si>
    <t>Breiter Stand hinter der Geisterkanone, eine Hand hebt die Zielmarke, Mantel und Banner bewegen sich ruhig im Wind; die Kanone bleibt klar lesbar.</t>
  </si>
  <si>
    <t>Asset-Prompts!STANCE:npc_cannoniere_gianicolo:STAGE_1_TARGETING</t>
  </si>
  <si>
    <t>Überhitztes Rohr</t>
  </si>
  <si>
    <t>Leicht nach hinten geneigte Kampfhaltung neben dem glühenden Kanonenrohr, orange Hitze und dünner Rauch, angespannte Schultern, bereit zur nächsten Salve.</t>
  </si>
  <si>
    <t>Asset-Prompts!STANCE:npc_cannoniere_gianicolo:STAGE_2_OVERHEATED</t>
  </si>
  <si>
    <t>Letzte Standarte</t>
  </si>
  <si>
    <t>Aufrechter finaler Stand, die letzte Standarte hoch erhoben, Kanone abgesenkt, entschlossener Blick, Glut und Staub als kontrollierte Akzente.</t>
  </si>
  <si>
    <t>Asset-Prompts!STANCE:npc_cannoniere_gianicolo:STAGE_3_LAST_STANDARD</t>
  </si>
  <si>
    <t>Schneesiegel</t>
  </si>
  <si>
    <t>Ruhige Wächterhaltung mit gesenktem Stab, Schneesiegel deutlich auf Brust und Schultern, feine Eiskristalle schweben ohne die Silhouette zu verdecken.</t>
  </si>
  <si>
    <t>Asset-Prompts!STANCE:npc_custode_neve:STAGE_1_SNOW_SEAL</t>
  </si>
  <si>
    <t>Weiße Nacht</t>
  </si>
  <si>
    <t>Arme weit geöffnet, ein kontrollierter Wirbel aus Schnee und Mosaiklicht um den Körper, Kopf leicht angehoben, globale Schutzphase sichtbar.</t>
  </si>
  <si>
    <t>Asset-Prompts!STANCE:npc_custode_neve:STAGE_2_WHITE_NIGHT</t>
  </si>
  <si>
    <t>Mosaikrisse</t>
  </si>
  <si>
    <t>Schwerer finaler Stand mit sichtbaren Mosaikrissen und hellem Lichtkern, eine Hand am Boden, die andere schützt die letzte Bruchstelle.</t>
  </si>
  <si>
    <t>Asset-Prompts!STANCE:npc_custode_neve:STAGE_3_MOSAIC_CRACKS</t>
  </si>
  <si>
    <t>APPROVED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</si>
</sst>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5">
    <font>
      <sz val="11"/>
      <name val="Carlito"/>
    </font>
    <font>
      <b/>
      <sz val="18"/>
      <color rgb="FFDDB94F"/>
      <name val="Carlito"/>
    </font>
    <font>
      <i/>
      <sz val="10"/>
      <color rgb="FF655E55"/>
      <name val="Carlito"/>
    </font>
    <font>
      <b/>
      <sz val="10"/>
      <color rgb="FFFFFFFF"/>
      <name val="Carlito"/>
    </font>
    <font>
      <sz val="9"/>
      <color rgb="FF332F2A"/>
      <name val="Carlito"/>
    </font>
    <font>
      <b/>
      <sz val="16"/>
      <color rgb="FF332F2A"/>
      <name val="Carlito"/>
    </font>
    <font>
      <b/>
      <sz val="11"/>
      <color rgb="FF211D18"/>
      <name val="Carlito"/>
    </font>
    <font>
      <sz val="10"/>
      <color rgb="FF332F2A"/>
      <name val="Carlito"/>
    </font>
    <font>
      <b/>
      <sz val="9"/>
      <color rgb="FFFFFFFF"/>
      <name val="Carlito"/>
    </font>
    <font>
      <b/>
      <sz val="9"/>
      <color rgb="FF211D18"/>
      <name val="Carlito"/>
    </font>
    <font>
      <b/>
      <sz val="12"/>
      <color rgb="FF332F2A"/>
      <name val="Carlito"/>
    </font>
    <font>
      <b/>
      <sz val="11"/>
      <color rgb="FFFFFFFF"/>
      <name val="Carlito"/>
    </font>
    <font>
      <b/>
      <sz val="14"/>
      <color rgb="FFFFFFFF"/>
      <name val="Carlito"/>
    </font>
    <font>
      <i/>
      <sz val="11"/>
      <color rgb="FF1F1F1F"/>
      <name val="Carlito"/>
    </font>
    <font>
      <sz val="11"/>
      <name val="Carlito"/>
    </font>
  </fonts>
  <fills count="19">
    <fill>
      <patternFill patternType="none"/>
    </fill>
    <fill>
      <patternFill patternType="gray125"/>
    </fill>
    <fill>
      <patternFill patternType="solid">
        <fgColor rgb="FF211D18"/>
      </patternFill>
    </fill>
    <fill>
      <patternFill patternType="solid">
        <fgColor rgb="FFF7F0E4"/>
      </patternFill>
    </fill>
    <fill>
      <patternFill patternType="solid">
        <fgColor rgb="FFDDB94F"/>
      </patternFill>
    </fill>
    <fill>
      <patternFill patternType="solid">
        <fgColor rgb="FF211D18"/>
      </patternFill>
    </fill>
    <fill>
      <patternFill patternType="solid">
        <fgColor rgb="FFF7F0E4"/>
      </patternFill>
    </fill>
    <fill>
      <patternFill patternType="solid">
        <fgColor rgb="FFC5E9F5"/>
      </patternFill>
    </fill>
    <fill>
      <patternFill patternType="solid">
        <fgColor rgb="FFFFFFFF"/>
      </patternFill>
    </fill>
    <fill>
      <patternFill patternType="solid">
        <fgColor rgb="FF211D18"/>
      </patternFill>
    </fill>
    <fill>
      <patternFill patternType="solid">
        <fgColor rgb="FFF7F0E4"/>
      </patternFill>
    </fill>
    <fill>
      <patternFill patternType="solid">
        <fgColor rgb="FFC5E9F5"/>
      </patternFill>
    </fill>
    <fill>
      <patternFill patternType="solid">
        <fgColor rgb="FFFFFFFF"/>
      </patternFill>
    </fill>
    <fill>
      <patternFill patternType="solid">
        <fgColor rgb="FFF8E7B7"/>
      </patternFill>
    </fill>
    <fill>
      <patternFill patternType="solid">
        <fgColor rgb="FFDDB94F"/>
      </patternFill>
    </fill>
    <fill>
      <patternFill patternType="solid">
        <fgColor rgb="FFE8F6FB"/>
      </patternFill>
    </fill>
    <fill>
      <patternFill patternType="solid">
        <fgColor rgb="FF5B9BD5"/>
      </patternFill>
    </fill>
    <fill>
      <patternFill patternType="solid">
        <fgColor rgb="FF1F4E78"/>
      </patternFill>
    </fill>
    <fill>
      <patternFill patternType="solid">
        <fgColor rgb="FFD9EAF7"/>
      </patternFill>
    </fill>
  </fills>
  <borders count="5">
    <border>
      <left/>
      <right/>
      <top/>
      <bottom/>
      <diagonal/>
    </border>
    <border>
      <left/>
      <right/>
      <top/>
      <bottom style="thin">
        <color rgb="FFD9CDBB"/>
      </bottom>
      <diagonal/>
    </border>
    <border>
      <left/>
      <right/>
      <top style="thin">
        <color rgb="FFD9CDBB"/>
      </top>
      <bottom style="thin">
        <color rgb="FFD9CDBB"/>
      </bottom>
      <diagonal/>
    </border>
    <border>
      <left/>
      <right/>
      <top style="thin">
        <color rgb="FFD9CDBB"/>
      </top>
      <bottom/>
      <diagonal/>
    </border>
    <border>
      <left style="thin">
        <color rgb="FFD9E2F3"/>
      </left>
      <right style="thin">
        <color rgb="FFD9E2F3"/>
      </right>
      <top style="thin">
        <color rgb="FFD9E2F3"/>
      </top>
      <bottom style="thin">
        <color rgb="FFD9E2F3"/>
      </bottom>
      <diagonal/>
    </border>
  </borders>
  <cellStyleXfs count="2">
    <xf numFmtId="0" fontId="0" fillId="0" borderId="0"/>
    <xf numFmtId="0" fontId="14" fillId="0" borderId="0"/>
  </cellStyleXfs>
  <cellXfs count="80">
    <xf numFmtId="0" fontId="0" fillId="0" borderId="0" xfId="0"/>
    <xf numFmtId="0" fontId="3" fillId="2" borderId="0" xfId="1" applyFont="1" applyFill="1" applyAlignment="1">
      <alignment vertical="center" wrapText="1"/>
    </xf>
    <xf numFmtId="0" fontId="0" fillId="0" borderId="0" xfId="1" applyFont="1" applyAlignment="1">
      <alignment wrapText="1"/>
    </xf>
    <xf numFmtId="9" fontId="0" fillId="0" borderId="0" xfId="1" applyNumberFormat="1" applyFont="1" applyAlignment="1">
      <alignment wrapText="1"/>
    </xf>
    <xf numFmtId="0" fontId="4" fillId="0" borderId="1" xfId="1" applyFont="1" applyBorder="1" applyAlignment="1">
      <alignment vertical="top" wrapText="1"/>
    </xf>
    <xf numFmtId="0" fontId="4" fillId="0" borderId="2" xfId="1" applyFont="1" applyBorder="1" applyAlignment="1">
      <alignment vertical="top" wrapText="1"/>
    </xf>
    <xf numFmtId="0" fontId="4" fillId="0" borderId="3" xfId="1" applyFont="1" applyBorder="1" applyAlignment="1">
      <alignment vertical="top" wrapText="1"/>
    </xf>
    <xf numFmtId="164" fontId="4" fillId="0" borderId="1" xfId="1" applyNumberFormat="1" applyFont="1" applyBorder="1" applyAlignment="1">
      <alignment vertical="top" wrapText="1"/>
    </xf>
    <xf numFmtId="164" fontId="4" fillId="0" borderId="2" xfId="1" applyNumberFormat="1" applyFont="1" applyBorder="1" applyAlignment="1">
      <alignment vertical="top" wrapText="1"/>
    </xf>
    <xf numFmtId="164" fontId="4" fillId="0" borderId="3" xfId="1" applyNumberFormat="1" applyFont="1" applyBorder="1" applyAlignment="1">
      <alignment vertical="top" wrapText="1"/>
    </xf>
    <xf numFmtId="3" fontId="4" fillId="0" borderId="1" xfId="1" applyNumberFormat="1" applyFont="1" applyBorder="1" applyAlignment="1">
      <alignment vertical="top" wrapText="1"/>
    </xf>
    <xf numFmtId="3" fontId="4" fillId="0" borderId="2" xfId="1" applyNumberFormat="1" applyFont="1" applyBorder="1" applyAlignment="1">
      <alignment vertical="top" wrapText="1"/>
    </xf>
    <xf numFmtId="3" fontId="4" fillId="0" borderId="3" xfId="1" applyNumberFormat="1" applyFont="1" applyBorder="1" applyAlignment="1">
      <alignment vertical="top" wrapText="1"/>
    </xf>
    <xf numFmtId="165" fontId="4" fillId="0" borderId="1" xfId="1" applyNumberFormat="1" applyFont="1" applyBorder="1" applyAlignment="1">
      <alignment vertical="top" wrapText="1"/>
    </xf>
    <xf numFmtId="165" fontId="4" fillId="0" borderId="2" xfId="1" applyNumberFormat="1" applyFont="1" applyBorder="1" applyAlignment="1">
      <alignment vertical="top" wrapText="1"/>
    </xf>
    <xf numFmtId="165" fontId="4" fillId="0" borderId="3" xfId="1" applyNumberFormat="1" applyFont="1" applyBorder="1" applyAlignment="1">
      <alignment vertical="top" wrapText="1"/>
    </xf>
    <xf numFmtId="0" fontId="5" fillId="3" borderId="0" xfId="1" applyFont="1" applyFill="1" applyAlignment="1">
      <alignment horizontal="center"/>
    </xf>
    <xf numFmtId="0" fontId="0" fillId="0" borderId="1" xfId="1" applyFont="1" applyBorder="1" applyAlignment="1">
      <alignment wrapText="1"/>
    </xf>
    <xf numFmtId="0" fontId="0" fillId="0" borderId="2" xfId="1" applyFont="1" applyBorder="1" applyAlignment="1">
      <alignment wrapText="1"/>
    </xf>
    <xf numFmtId="0" fontId="0" fillId="0" borderId="3" xfId="1" applyFont="1" applyBorder="1" applyAlignment="1">
      <alignment wrapText="1"/>
    </xf>
    <xf numFmtId="0" fontId="0" fillId="0" borderId="1" xfId="1" applyFont="1" applyBorder="1" applyAlignment="1">
      <alignment horizontal="center" wrapText="1"/>
    </xf>
    <xf numFmtId="0" fontId="0" fillId="0" borderId="2" xfId="1" applyFont="1" applyBorder="1" applyAlignment="1">
      <alignment horizontal="center" wrapText="1"/>
    </xf>
    <xf numFmtId="0" fontId="0" fillId="0" borderId="3" xfId="1" applyFont="1" applyBorder="1" applyAlignment="1">
      <alignment horizontal="center" wrapText="1"/>
    </xf>
    <xf numFmtId="0" fontId="6" fillId="4" borderId="0" xfId="1" applyFont="1" applyFill="1"/>
    <xf numFmtId="0" fontId="0" fillId="0" borderId="0" xfId="1" applyFont="1" applyAlignment="1">
      <alignment vertical="top"/>
    </xf>
    <xf numFmtId="0" fontId="3" fillId="2" borderId="0" xfId="1" applyFont="1" applyFill="1" applyAlignment="1">
      <alignment vertical="top" wrapText="1"/>
    </xf>
    <xf numFmtId="0" fontId="4" fillId="0" borderId="0" xfId="1" applyFont="1" applyAlignment="1">
      <alignment vertical="top"/>
    </xf>
    <xf numFmtId="0" fontId="3" fillId="5" borderId="0" xfId="1" applyFont="1" applyFill="1" applyAlignment="1">
      <alignment vertical="center" wrapText="1"/>
    </xf>
    <xf numFmtId="0" fontId="4" fillId="7" borderId="1" xfId="1" applyFont="1" applyFill="1" applyBorder="1" applyAlignment="1">
      <alignment vertical="top" wrapText="1"/>
    </xf>
    <xf numFmtId="0" fontId="4" fillId="8" borderId="1" xfId="1" applyFont="1" applyFill="1" applyBorder="1" applyAlignment="1">
      <alignment vertical="top" wrapText="1"/>
    </xf>
    <xf numFmtId="0" fontId="4" fillId="7" borderId="1" xfId="1" applyFont="1" applyFill="1" applyBorder="1" applyAlignment="1">
      <alignment horizontal="center" vertical="top" wrapText="1"/>
    </xf>
    <xf numFmtId="0" fontId="4" fillId="8" borderId="1" xfId="1" applyFont="1" applyFill="1" applyBorder="1" applyAlignment="1">
      <alignment horizontal="center" vertical="top" wrapText="1"/>
    </xf>
    <xf numFmtId="1" fontId="4" fillId="7" borderId="1" xfId="1" applyNumberFormat="1" applyFont="1" applyFill="1" applyBorder="1" applyAlignment="1">
      <alignment horizontal="center" vertical="top" wrapText="1"/>
    </xf>
    <xf numFmtId="1" fontId="4" fillId="8" borderId="1" xfId="1" applyNumberFormat="1" applyFont="1" applyFill="1" applyBorder="1" applyAlignment="1">
      <alignment horizontal="center" vertical="top" wrapText="1"/>
    </xf>
    <xf numFmtId="165" fontId="4" fillId="7" borderId="1" xfId="1" applyNumberFormat="1" applyFont="1" applyFill="1" applyBorder="1" applyAlignment="1">
      <alignment horizontal="center" vertical="top" wrapText="1"/>
    </xf>
    <xf numFmtId="165" fontId="4" fillId="8" borderId="1" xfId="1" applyNumberFormat="1" applyFont="1" applyFill="1" applyBorder="1" applyAlignment="1">
      <alignment horizontal="center" vertical="top" wrapText="1"/>
    </xf>
    <xf numFmtId="0" fontId="3" fillId="5" borderId="0" xfId="1" applyFont="1" applyFill="1" applyAlignment="1">
      <alignment wrapText="1"/>
    </xf>
    <xf numFmtId="0" fontId="5" fillId="6" borderId="0" xfId="1" applyFont="1" applyFill="1" applyAlignment="1">
      <alignment horizontal="center"/>
    </xf>
    <xf numFmtId="0" fontId="8" fillId="9" borderId="0" xfId="1" applyFont="1" applyFill="1" applyAlignment="1">
      <alignment vertical="top" wrapText="1"/>
    </xf>
    <xf numFmtId="0" fontId="8" fillId="9" borderId="0" xfId="1" applyFont="1" applyFill="1" applyAlignment="1">
      <alignment vertical="center" wrapText="1"/>
    </xf>
    <xf numFmtId="0" fontId="4" fillId="11" borderId="1" xfId="1" applyFont="1" applyFill="1" applyBorder="1" applyAlignment="1">
      <alignment vertical="top" wrapText="1"/>
    </xf>
    <xf numFmtId="0" fontId="4" fillId="12" borderId="1" xfId="1" applyFont="1" applyFill="1" applyBorder="1" applyAlignment="1">
      <alignment vertical="top" wrapText="1"/>
    </xf>
    <xf numFmtId="0" fontId="4" fillId="11" borderId="1" xfId="1" applyFont="1" applyFill="1" applyBorder="1" applyAlignment="1">
      <alignment horizontal="center" vertical="top" wrapText="1"/>
    </xf>
    <xf numFmtId="0" fontId="4" fillId="12" borderId="1" xfId="1" applyFont="1" applyFill="1" applyBorder="1" applyAlignment="1">
      <alignment horizontal="center" vertical="top" wrapText="1"/>
    </xf>
    <xf numFmtId="1" fontId="4" fillId="11" borderId="1" xfId="1" applyNumberFormat="1" applyFont="1" applyFill="1" applyBorder="1" applyAlignment="1">
      <alignment horizontal="center" vertical="top" wrapText="1"/>
    </xf>
    <xf numFmtId="1" fontId="4" fillId="12" borderId="1" xfId="1" applyNumberFormat="1" applyFont="1" applyFill="1" applyBorder="1" applyAlignment="1">
      <alignment horizontal="center" vertical="top" wrapText="1"/>
    </xf>
    <xf numFmtId="1" fontId="4" fillId="11" borderId="1" xfId="1" applyNumberFormat="1" applyFont="1" applyFill="1" applyBorder="1" applyAlignment="1">
      <alignment vertical="top" wrapText="1"/>
    </xf>
    <xf numFmtId="1" fontId="4" fillId="12" borderId="1" xfId="1" applyNumberFormat="1" applyFont="1" applyFill="1" applyBorder="1" applyAlignment="1">
      <alignment vertical="top" wrapText="1"/>
    </xf>
    <xf numFmtId="0" fontId="4" fillId="13" borderId="1" xfId="1" applyFont="1" applyFill="1" applyBorder="1" applyAlignment="1">
      <alignment vertical="top" wrapText="1"/>
    </xf>
    <xf numFmtId="0" fontId="8" fillId="9" borderId="0" xfId="1" applyFont="1" applyFill="1" applyAlignment="1">
      <alignment wrapText="1"/>
    </xf>
    <xf numFmtId="0" fontId="9" fillId="14" borderId="0" xfId="1" applyFont="1" applyFill="1" applyAlignment="1">
      <alignment wrapText="1"/>
    </xf>
    <xf numFmtId="0" fontId="4" fillId="10" borderId="0" xfId="1" applyFont="1" applyFill="1" applyAlignment="1">
      <alignment wrapText="1"/>
    </xf>
    <xf numFmtId="0" fontId="4" fillId="10" borderId="1" xfId="1" applyFont="1" applyFill="1" applyBorder="1" applyAlignment="1">
      <alignment wrapText="1"/>
    </xf>
    <xf numFmtId="0" fontId="4" fillId="15" borderId="0" xfId="1" applyFont="1" applyFill="1" applyAlignment="1">
      <alignment wrapText="1"/>
    </xf>
    <xf numFmtId="0" fontId="4" fillId="15" borderId="1" xfId="1" applyFont="1" applyFill="1" applyBorder="1" applyAlignment="1">
      <alignment wrapText="1"/>
    </xf>
    <xf numFmtId="0" fontId="4" fillId="0" borderId="0" xfId="1" applyFont="1" applyAlignment="1">
      <alignment vertical="top" wrapText="1"/>
    </xf>
    <xf numFmtId="0" fontId="4" fillId="11" borderId="1" xfId="1" applyFont="1" applyFill="1" applyBorder="1" applyAlignment="1">
      <alignment vertical="top" wrapText="1"/>
      <extLst>
        <ext xmlns:xfpb="http://schemas.microsoft.com/office/spreadsheetml/2022/featurepropertybag" uri="{C7286773-470A-42A8-94C5-96B5CB345126}">
          <xfpb:xfComplement i="0"/>
        </ext>
      </extLst>
    </xf>
    <xf numFmtId="0" fontId="4" fillId="15" borderId="1" xfId="1" applyFont="1" applyFill="1" applyBorder="1" applyAlignment="1">
      <alignment vertical="top" wrapText="1"/>
    </xf>
    <xf numFmtId="0" fontId="8" fillId="9" borderId="0" xfId="1" applyFont="1" applyFill="1" applyAlignment="1">
      <alignment horizontal="center" wrapText="1"/>
    </xf>
    <xf numFmtId="1" fontId="10" fillId="10" borderId="0" xfId="1" applyNumberFormat="1" applyFont="1" applyFill="1" applyAlignment="1">
      <alignment horizontal="center"/>
    </xf>
    <xf numFmtId="0" fontId="11" fillId="16" borderId="4" xfId="1" applyFont="1" applyFill="1" applyBorder="1" applyAlignment="1">
      <alignment horizontal="center" vertical="center" wrapText="1"/>
    </xf>
    <xf numFmtId="0" fontId="0" fillId="0" borderId="4" xfId="1" applyFont="1" applyBorder="1" applyAlignment="1">
      <alignment vertical="top" wrapText="1"/>
    </xf>
    <xf numFmtId="1" fontId="0" fillId="0" borderId="4" xfId="1" applyNumberFormat="1" applyFont="1" applyBorder="1" applyAlignment="1">
      <alignment vertical="top" wrapText="1"/>
    </xf>
    <xf numFmtId="9" fontId="0" fillId="0" borderId="4" xfId="1" applyNumberFormat="1" applyFont="1" applyBorder="1" applyAlignment="1">
      <alignment vertical="top" wrapText="1"/>
    </xf>
    <xf numFmtId="0" fontId="11" fillId="16" borderId="4" xfId="1" applyFont="1" applyFill="1" applyBorder="1" applyAlignment="1">
      <alignment vertical="top" wrapText="1"/>
    </xf>
    <xf numFmtId="0" fontId="7" fillId="3" borderId="0" xfId="1" applyFont="1" applyFill="1" applyAlignment="1">
      <alignment wrapText="1"/>
    </xf>
    <xf numFmtId="0" fontId="1" fillId="9" borderId="0" xfId="1" applyFont="1" applyFill="1" applyAlignment="1">
      <alignment vertical="center"/>
    </xf>
    <xf numFmtId="0" fontId="2" fillId="10" borderId="0" xfId="1" applyFont="1" applyFill="1" applyAlignment="1">
      <alignment vertical="center" wrapText="1"/>
    </xf>
    <xf numFmtId="0" fontId="2" fillId="10" borderId="0" xfId="1" applyFont="1" applyFill="1" applyAlignment="1">
      <alignment wrapText="1"/>
    </xf>
    <xf numFmtId="0" fontId="1" fillId="2" borderId="0" xfId="1" applyFont="1" applyFill="1" applyAlignment="1">
      <alignment vertical="top"/>
    </xf>
    <xf numFmtId="0" fontId="2" fillId="3" borderId="0" xfId="1" applyFont="1" applyFill="1" applyAlignment="1">
      <alignment vertical="top" wrapText="1"/>
    </xf>
    <xf numFmtId="0" fontId="1" fillId="2" borderId="0" xfId="1" applyFont="1" applyFill="1" applyAlignment="1">
      <alignment vertical="center"/>
    </xf>
    <xf numFmtId="0" fontId="2" fillId="3" borderId="0" xfId="1" applyFont="1" applyFill="1" applyAlignment="1">
      <alignment vertical="center" wrapText="1"/>
    </xf>
    <xf numFmtId="0" fontId="1" fillId="5" borderId="0" xfId="1" applyFont="1" applyFill="1" applyAlignment="1">
      <alignment vertical="center"/>
    </xf>
    <xf numFmtId="0" fontId="0" fillId="0" borderId="0" xfId="0"/>
    <xf numFmtId="0" fontId="2" fillId="6" borderId="0" xfId="1" applyFont="1" applyFill="1" applyAlignment="1">
      <alignment vertical="center" wrapText="1"/>
    </xf>
    <xf numFmtId="0" fontId="1" fillId="9" borderId="0" xfId="1" applyFont="1" applyFill="1" applyAlignment="1">
      <alignment vertical="top" wrapText="1"/>
    </xf>
    <xf numFmtId="0" fontId="2" fillId="10" borderId="0" xfId="1" applyFont="1" applyFill="1" applyAlignment="1">
      <alignment vertical="top" wrapText="1"/>
    </xf>
    <xf numFmtId="0" fontId="12" fillId="17" borderId="0" xfId="1" applyFont="1" applyFill="1" applyAlignment="1">
      <alignment horizontal="left" vertical="center"/>
    </xf>
    <xf numFmtId="0" fontId="13" fillId="18" borderId="0" xfId="1" applyFont="1" applyFill="1" applyAlignment="1">
      <alignment vertical="center" wrapText="1"/>
    </xf>
  </cellXfs>
  <cellStyles count="2">
    <cellStyle name="Normal" xfId="1" xr:uid="{00000000-0005-0000-0000-000000000000}"/>
    <cellStyle name="Standard" xfId="0" builtinId="0"/>
  </cellStyles>
  <dxfs count="43">
    <dxf>
      <font>
        <b/>
        <color rgb="FFA61B1B"/>
      </font>
      <fill>
        <patternFill>
          <bgColor rgb="FFF4CCCC"/>
        </patternFill>
      </fill>
    </dxf>
    <dxf>
      <font>
        <b/>
        <color rgb="FF287352"/>
      </font>
      <fill>
        <patternFill>
          <bgColor rgb="FFD8F0DC"/>
        </patternFill>
      </fill>
    </dxf>
    <dxf>
      <font>
        <b/>
        <color rgb="FF287352"/>
      </font>
      <fill>
        <patternFill>
          <bgColor rgb="FFD8F0DC"/>
        </patternFill>
      </fill>
    </dxf>
    <dxf>
      <font>
        <b/>
        <color rgb="FF287352"/>
      </font>
      <fill>
        <patternFill>
          <bgColor rgb="FFD8F0DC"/>
        </patternFill>
      </fill>
    </dxf>
    <dxf>
      <font>
        <b/>
        <color rgb="FF8A6116"/>
      </font>
      <fill>
        <patternFill>
          <bgColor rgb="FFF8E7B7"/>
        </patternFill>
      </fill>
    </dxf>
    <dxf>
      <font>
        <b/>
        <color rgb="FF8A6116"/>
      </font>
      <fill>
        <patternFill>
          <bgColor rgb="FFF8E7B7"/>
        </patternFill>
      </fill>
    </dxf>
    <dxf>
      <font>
        <b/>
        <color rgb="FF8A6116"/>
      </font>
      <fill>
        <patternFill>
          <bgColor rgb="FFF8E7B7"/>
        </patternFill>
      </fill>
    </dxf>
    <dxf>
      <font>
        <b/>
        <color rgb="FF9A4B00"/>
      </font>
      <fill>
        <patternFill>
          <bgColor rgb="FFF7C89D"/>
        </patternFill>
      </fill>
    </dxf>
    <dxf>
      <font>
        <b/>
        <color rgb="FF61458F"/>
      </font>
      <fill>
        <patternFill>
          <bgColor rgb="FFE7DCF5"/>
        </patternFill>
      </fill>
    </dxf>
    <dxf>
      <font>
        <b/>
        <color rgb="FF8A6116"/>
      </font>
      <fill>
        <patternFill>
          <bgColor rgb="FFF8E7B7"/>
        </patternFill>
      </fill>
    </dxf>
    <dxf>
      <font>
        <b/>
        <color rgb="FF8A6116"/>
      </font>
      <fill>
        <patternFill>
          <bgColor rgb="FFF8E7B7"/>
        </patternFill>
      </fill>
    </dxf>
    <dxf>
      <font>
        <b/>
        <color rgb="FFA61B1B"/>
      </font>
      <fill>
        <patternFill>
          <bgColor rgb="FFF4CCCC"/>
        </patternFill>
      </fill>
    </dxf>
    <dxf>
      <font>
        <color rgb="FF61458F"/>
      </font>
      <fill>
        <patternFill>
          <bgColor rgb="FFE7DCF5"/>
        </patternFill>
      </fill>
    </dxf>
    <dxf>
      <font>
        <color rgb="FF8A6116"/>
      </font>
      <fill>
        <patternFill>
          <bgColor rgb="FFF8E7B7"/>
        </patternFill>
      </fill>
    </dxf>
    <dxf>
      <font>
        <b/>
        <color rgb="FF287352"/>
      </font>
      <fill>
        <patternFill>
          <bgColor rgb="FFD8F0DC"/>
        </patternFill>
      </fill>
    </dxf>
    <dxf>
      <font>
        <color rgb="FF287352"/>
      </font>
      <fill>
        <patternFill>
          <bgColor rgb="FFD8F0DC"/>
        </patternFill>
      </fill>
    </dxf>
    <dxf>
      <font>
        <b/>
        <color rgb="FF8A6116"/>
      </font>
      <fill>
        <patternFill>
          <bgColor rgb="FFF8E7B7"/>
        </patternFill>
      </fill>
    </dxf>
    <dxf>
      <font>
        <b/>
        <color rgb="FF61458F"/>
      </font>
      <fill>
        <patternFill>
          <bgColor rgb="FFE7DCF5"/>
        </patternFill>
      </fill>
    </dxf>
    <dxf>
      <font>
        <b/>
        <color rgb="FF8A6116"/>
      </font>
      <fill>
        <patternFill>
          <bgColor rgb="FFF8E7B7"/>
        </patternFill>
      </fill>
    </dxf>
    <dxf>
      <font>
        <color rgb="FF8A6116"/>
      </font>
      <fill>
        <patternFill>
          <bgColor rgb="FFF8E7B7"/>
        </patternFill>
      </fill>
    </dxf>
    <dxf>
      <font>
        <color rgb="FF287352"/>
      </font>
      <fill>
        <patternFill>
          <bgColor rgb="FFD8F0DC"/>
        </patternFill>
      </fill>
    </dxf>
    <dxf>
      <font>
        <color rgb="FF8A6116"/>
      </font>
      <fill>
        <patternFill>
          <bgColor rgb="FFF8E7B7"/>
        </patternFill>
      </fill>
    </dxf>
    <dxf>
      <font>
        <color rgb="FF287352"/>
      </font>
      <fill>
        <patternFill>
          <bgColor rgb="FFEAF4D3"/>
        </patternFill>
      </fill>
    </dxf>
    <dxf>
      <font>
        <b/>
        <color rgb="FF287352"/>
      </font>
      <fill>
        <patternFill>
          <bgColor rgb="FFD8F0DC"/>
        </patternFill>
      </fill>
    </dxf>
    <dxf>
      <font>
        <b/>
        <color rgb="FFA61C1C"/>
      </font>
      <fill>
        <patternFill>
          <bgColor rgb="FFF4CCCC"/>
        </patternFill>
      </fill>
    </dxf>
    <dxf>
      <font>
        <b/>
        <color rgb="FF24546B"/>
      </font>
      <fill>
        <patternFill>
          <bgColor rgb="FFDCECF4"/>
        </patternFill>
      </fill>
    </dxf>
    <dxf>
      <font>
        <b/>
        <color rgb="FF287352"/>
      </font>
      <fill>
        <patternFill>
          <bgColor rgb="FFD8F0DC"/>
        </patternFill>
      </fill>
    </dxf>
    <dxf>
      <fill>
        <patternFill>
          <bgColor rgb="FFF8E5C6"/>
        </patternFill>
      </fill>
    </dxf>
    <dxf>
      <fill>
        <patternFill>
          <bgColor rgb="FFD8F0DC"/>
        </patternFill>
      </fill>
    </dxf>
    <dxf>
      <font>
        <b/>
        <color rgb="FFA85B12"/>
      </font>
      <fill>
        <patternFill>
          <bgColor rgb="FFF8E5C6"/>
        </patternFill>
      </fill>
    </dxf>
    <dxf>
      <font>
        <b/>
        <color rgb="FF287352"/>
      </font>
      <fill>
        <patternFill>
          <bgColor rgb="FFD8F0DC"/>
        </patternFill>
      </fill>
    </dxf>
    <dxf>
      <font>
        <b/>
        <color rgb="FFA61C1C"/>
      </font>
      <fill>
        <patternFill>
          <bgColor rgb="FFF4CCCC"/>
        </patternFill>
      </fill>
    </dxf>
    <dxf>
      <font>
        <b/>
        <color rgb="FFA85B12"/>
      </font>
      <fill>
        <patternFill>
          <bgColor rgb="FFF8E5C6"/>
        </patternFill>
      </fill>
    </dxf>
    <dxf>
      <font>
        <b/>
        <color rgb="FF287352"/>
      </font>
      <fill>
        <patternFill>
          <bgColor rgb="FFD8F0DC"/>
        </patternFill>
      </fill>
    </dxf>
    <dxf>
      <font>
        <b/>
        <color rgb="FFA85B12"/>
      </font>
      <fill>
        <patternFill>
          <bgColor rgb="FFF8E5C6"/>
        </patternFill>
      </fill>
    </dxf>
    <dxf>
      <font>
        <b/>
        <color rgb="FF24546B"/>
      </font>
      <fill>
        <patternFill>
          <bgColor rgb="FFDCECF4"/>
        </patternFill>
      </fill>
    </dxf>
    <dxf>
      <font>
        <b/>
        <color rgb="FF287352"/>
      </font>
      <fill>
        <patternFill>
          <bgColor rgb="FFD8F0DC"/>
        </patternFill>
      </fill>
    </dxf>
    <dxf>
      <font>
        <b/>
        <color rgb="FF287352"/>
      </font>
      <fill>
        <patternFill>
          <bgColor rgb="FFD8F0DC"/>
        </patternFill>
      </fill>
    </dxf>
    <dxf>
      <font>
        <color rgb="FF8A6116"/>
      </font>
      <fill>
        <patternFill>
          <bgColor rgb="FFF8E7B7"/>
        </patternFill>
      </fill>
    </dxf>
    <dxf>
      <font>
        <color rgb="FF287352"/>
      </font>
      <fill>
        <patternFill>
          <bgColor rgb="FFD8F0DC"/>
        </patternFill>
      </fill>
    </dxf>
    <dxf>
      <font>
        <b/>
        <color rgb="FFA85B12"/>
      </font>
      <fill>
        <patternFill>
          <bgColor rgb="FFF8E5C6"/>
        </patternFill>
      </fill>
    </dxf>
    <dxf>
      <font>
        <b/>
        <color rgb="FF287352"/>
      </font>
      <fill>
        <patternFill>
          <bgColor rgb="FFD8F0DC"/>
        </patternFill>
      </fill>
    </dxf>
    <dxf>
      <font>
        <b/>
        <color rgb="FF287352"/>
      </font>
      <fill>
        <patternFill>
          <bgColor rgb="FFD8F0D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MatrixcheckTable" displayName="MatrixcheckTable" ref="A4:H20" totalsRowShown="0">
  <autoFilter ref="A4:H20" xr:uid="{00000000-0009-0000-0100-000008000000}"/>
  <tableColumns count="8">
    <tableColumn id="1" xr3:uid="{00000000-0010-0000-0000-000001000000}" name="Dimension"/>
    <tableColumn id="2" xr3:uid="{00000000-0010-0000-0000-000002000000}" name="Ausprägung"/>
    <tableColumn id="3" xr3:uid="{00000000-0010-0000-0000-000003000000}" name="Soll"/>
    <tableColumn id="4" xr3:uid="{00000000-0010-0000-0000-000004000000}" name="Ist"/>
    <tableColumn id="5" xr3:uid="{00000000-0010-0000-0000-000005000000}" name="Check"/>
    <tableColumn id="6" xr3:uid="{00000000-0010-0000-0000-000006000000}" name="Bedeutung"/>
    <tableColumn id="7" xr3:uid="{00000000-0010-0000-0000-000007000000}" name="Abweichung"/>
    <tableColumn id="8" xr3:uid="{00000000-0010-0000-0000-000008000000}" name="Kommenta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estgruppenTable" displayName="QuestgruppenTable" ref="A4:AE30" totalsRowShown="0">
  <autoFilter ref="A4:AE30" xr:uid="{00000000-0009-0000-0100-000002000000}"/>
  <tableColumns count="31">
    <tableColumn id="1" xr3:uid="{00000000-0010-0000-0100-000001000000}" name="Nr."/>
    <tableColumn id="2" xr3:uid="{00000000-0010-0000-0100-000002000000}" name="Quest-ID"/>
    <tableColumn id="3" xr3:uid="{00000000-0010-0000-0100-000003000000}" name="Tag"/>
    <tableColumn id="4" xr3:uid="{00000000-0010-0000-0100-000004000000}" name="Arbeitstitel"/>
    <tableColumn id="5" xr3:uid="{00000000-0010-0000-0100-000005000000}" name="Orte in Reihenfolge"/>
    <tableColumn id="6" xr3:uid="{00000000-0010-0000-0100-000006000000}" name="Orte"/>
    <tableColumn id="7" xr3:uid="{00000000-0010-0000-0100-000007000000}" name="Dauerklasse"/>
    <tableColumn id="8" xr3:uid="{00000000-0010-0000-0100-000008000000}" name="Min"/>
    <tableColumn id="9" xr3:uid="{00000000-0010-0000-0100-000009000000}" name="Max"/>
    <tableColumn id="10" xr3:uid="{00000000-0010-0000-0100-00000A000000}" name="Hauptmechanik"/>
    <tableColumn id="11" xr3:uid="{00000000-0010-0000-0100-00000B000000}" name="Thema"/>
    <tableColumn id="12" xr3:uid="{00000000-0010-0000-0100-00000C000000}" name="Epoche"/>
    <tableColumn id="13" xr3:uid="{00000000-0010-0000-0100-00000D000000}" name="Klassenanker"/>
    <tableColumn id="14" xr3:uid="{00000000-0010-0000-0100-00000E000000}" name="Gegner / Begegnung"/>
    <tableColumn id="15" xr3:uid="{00000000-0010-0000-0100-00000F000000}" name="Gehstrecke (m)"/>
    <tableColumn id="16" xr3:uid="{00000000-0010-0000-0100-000010000000}" name="Gehminuten"/>
    <tableColumn id="17" xr3:uid="{00000000-0010-0000-0100-000011000000}" name="Interaktionsminuten"/>
    <tableColumn id="18" xr3:uid="{00000000-0010-0000-0100-000012000000}" name="Gesamtminuten"/>
    <tableColumn id="19" xr3:uid="{00000000-0010-0000-0100-000013000000}" name="Dauercheck"/>
    <tableColumn id="20" xr3:uid="{00000000-0010-0000-0100-000014000000}" name="Grün"/>
    <tableColumn id="21" xr3:uid="{00000000-0010-0000-0100-000015000000}" name="Gelb"/>
    <tableColumn id="22" xr3:uid="{00000000-0010-0000-0100-000016000000}" name="Rot"/>
    <tableColumn id="23" xr3:uid="{00000000-0010-0000-0100-000017000000}" name="Route"/>
    <tableColumn id="24" xr3:uid="{00000000-0010-0000-0100-000018000000}" name="Narrativ"/>
    <tableColumn id="25" xr3:uid="{00000000-0010-0000-0100-000019000000}" name="Hinweis"/>
    <tableColumn id="26" xr3:uid="{00000000-0010-0000-0100-00001A000000}" name="Zugang"/>
    <tableColumn id="27" xr3:uid="{00000000-0010-0000-0100-00001B000000}" name="Mechanikfit"/>
    <tableColumn id="28" xr3:uid="{00000000-0010-0000-0100-00001C000000}" name="Gesamtscore"/>
    <tableColumn id="29" xr3:uid="{00000000-0010-0000-0100-00001D000000}" name="Empfehlung"/>
    <tableColumn id="30" xr3:uid="{00000000-0010-0000-0100-00001E000000}" name="Hauptrisiko"/>
    <tableColumn id="31" xr3:uid="{00000000-0010-0000-0100-00001F000000}" name="Fallback"/>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QuestdesignTable" displayName="QuestdesignTable" ref="A4:J30" totalsRowShown="0">
  <autoFilter ref="A4:J30" xr:uid="{00000000-0009-0000-0100-000003000000}"/>
  <tableColumns count="10">
    <tableColumn id="1" xr3:uid="{00000000-0010-0000-0200-000001000000}" name="Quest-ID"/>
    <tableColumn id="2" xr3:uid="{00000000-0010-0000-0200-000002000000}" name="Tag"/>
    <tableColumn id="3" xr3:uid="{00000000-0010-0000-0200-000003000000}" name="Arbeitstitel"/>
    <tableColumn id="4" xr3:uid="{00000000-0010-0000-0200-000004000000}" name="Narrativer Hook"/>
    <tableColumn id="5" xr3:uid="{00000000-0010-0000-0200-000005000000}" name="Kernhandlung der Spieler"/>
    <tableColumn id="6" xr3:uid="{00000000-0010-0000-0200-000006000000}" name="Sekundärmechaniken"/>
    <tableColumn id="7" xr3:uid="{00000000-0010-0000-0200-000007000000}" name="Belohnungsvariation"/>
    <tableColumn id="8" xr3:uid="{00000000-0010-0000-0200-000008000000}" name="Hidden Opportunity"/>
    <tableColumn id="9" xr3:uid="{00000000-0010-0000-0200-000009000000}" name="Fallback"/>
    <tableColumn id="10" xr3:uid="{00000000-0010-0000-0200-00000A000000}" name="Redaktionsnotiz"/>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MechanikTable" displayName="MechanikTable" ref="A4:R44" totalsRowShown="0">
  <autoFilter ref="A4:R44" xr:uid="{00000000-0009-0000-0100-000005000000}"/>
  <tableColumns count="18">
    <tableColumn id="1" xr3:uid="{00000000-0010-0000-0300-000001000000}" name="Quest-ID"/>
    <tableColumn id="2" xr3:uid="{00000000-0010-0000-0300-000002000000}" name="Typ"/>
    <tableColumn id="3" xr3:uid="{00000000-0010-0000-0300-000003000000}" name="Tag"/>
    <tableColumn id="4" xr3:uid="{00000000-0010-0000-0300-000004000000}" name="Titel"/>
    <tableColumn id="5" xr3:uid="{00000000-0010-0000-0300-000005000000}" name="Orte"/>
    <tableColumn id="6" xr3:uid="{00000000-0010-0000-0300-000006000000}" name="Hauptmechanik"/>
    <tableColumn id="7" xr3:uid="{00000000-0010-0000-0300-000007000000}" name="GPS / Gehen"/>
    <tableColumn id="8" xr3:uid="{00000000-0010-0000-0300-000008000000}" name="Beobachtung / Suche"/>
    <tableColumn id="9" xr3:uid="{00000000-0010-0000-0300-000009000000}" name="Zählen / MC"/>
    <tableColumn id="10" xr3:uid="{00000000-0010-0000-0300-00000A000000}" name="Zuordnen / Reihenfolge"/>
    <tableColumn id="11" xr3:uid="{00000000-0010-0000-0300-00000B000000}" name="Kurze Texteingabe / Rätsel"/>
    <tableColumn id="12" xr3:uid="{00000000-0010-0000-0300-00000C000000}" name="Dialog / Entscheidung"/>
    <tableColumn id="13" xr3:uid="{00000000-0010-0000-0300-00000D000000}" name="Kampf"/>
    <tableColumn id="14" xr3:uid="{00000000-0010-0000-0300-00000E000000}" name="Medien"/>
    <tableColumn id="15" xr3:uid="{00000000-0010-0000-0300-00000F000000}" name="Max"/>
    <tableColumn id="16" xr3:uid="{00000000-0010-0000-0300-000010000000}" name="Stärkste Eignung"/>
    <tableColumn id="17" xr3:uid="{00000000-0010-0000-0300-000011000000}" name="Warum funktioniert es?"/>
    <tableColumn id="18" xr3:uid="{00000000-0010-0000-0300-000012000000}" name="Schwäche / Bedingu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4000000}" name="OrtszuordnungTable" displayName="OrtszuordnungTable" ref="A4:U85" totalsRowShown="0">
  <autoFilter ref="A4:U85" xr:uid="{00000000-0009-0000-0100-000001000000}"/>
  <tableColumns count="21">
    <tableColumn id="1" xr3:uid="{00000000-0010-0000-0400-000001000000}" name="Quest-ID"/>
    <tableColumn id="2" xr3:uid="{00000000-0010-0000-0400-000002000000}" name="Questtyp"/>
    <tableColumn id="3" xr3:uid="{00000000-0010-0000-0400-000003000000}" name="Tag"/>
    <tableColumn id="4" xr3:uid="{00000000-0010-0000-0400-000004000000}" name="Sequenz"/>
    <tableColumn id="5" xr3:uid="{00000000-0010-0000-0400-000005000000}" name="Kandidaten-ID"/>
    <tableColumn id="6" xr3:uid="{00000000-0010-0000-0400-000006000000}" name="Ort"/>
    <tableColumn id="7" xr3:uid="{00000000-0010-0000-0400-000007000000}" name="Rolle in der Quest"/>
    <tableColumn id="8" xr3:uid="{00000000-0010-0000-0400-000008000000}" name="Cluster"/>
    <tableColumn id="9" xr3:uid="{00000000-0010-0000-0400-000009000000}" name="Breite"/>
    <tableColumn id="10" xr3:uid="{00000000-0010-0000-0400-00000A000000}" name="Länge"/>
    <tableColumn id="11" xr3:uid="{00000000-0010-0000-0400-00000B000000}" name="Ampel"/>
    <tableColumn id="12" xr3:uid="{00000000-0010-0000-0400-00000C000000}" name="Research-Status"/>
    <tableColumn id="13" xr3:uid="{00000000-0010-0000-0400-00000D000000}" name="Sichtbarer Hinweis"/>
    <tableColumn id="14" xr3:uid="{00000000-0010-0000-0400-00000E000000}" name="Ortsfrage"/>
    <tableColumn id="15" xr3:uid="{00000000-0010-0000-0400-00000F000000}" name="Sollantwort"/>
    <tableColumn id="16" xr3:uid="{00000000-0010-0000-0400-000010000000}" name="Primärquelle"/>
    <tableColumn id="17" xr3:uid="{00000000-0010-0000-0400-000011000000}" name="Google Maps"/>
    <tableColumn id="18" xr3:uid="{00000000-0010-0000-0400-000012000000}" name="Segment Luftlinie (m)"/>
    <tableColumn id="19" xr3:uid="{00000000-0010-0000-0400-000013000000}" name="Gehstrecke geschätzt (m)"/>
    <tableColumn id="20" xr3:uid="{00000000-0010-0000-0400-000014000000}" name="Zugangs-/Fallbacknotiz"/>
    <tableColumn id="21" xr3:uid="{00000000-0010-0000-0400-000015000000}" name="Gegnerbezug"/>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SonderquestsTable" displayName="SonderquestsTable" ref="A4:P18" totalsRowShown="0">
  <autoFilter ref="A4:P18" xr:uid="{00000000-0009-0000-0100-000004000000}"/>
  <tableColumns count="16">
    <tableColumn id="1" xr3:uid="{00000000-0010-0000-0500-000001000000}" name="Nr."/>
    <tableColumn id="2" xr3:uid="{00000000-0010-0000-0500-000002000000}" name="Quest-ID"/>
    <tableColumn id="3" xr3:uid="{00000000-0010-0000-0500-000003000000}" name="Typ"/>
    <tableColumn id="4" xr3:uid="{00000000-0010-0000-0500-000004000000}" name="Tag"/>
    <tableColumn id="5" xr3:uid="{00000000-0010-0000-0500-000005000000}" name="Titel"/>
    <tableColumn id="6" xr3:uid="{00000000-0010-0000-0500-000006000000}" name="Orte"/>
    <tableColumn id="7" xr3:uid="{00000000-0010-0000-0500-000007000000}" name="Zeitrahmen"/>
    <tableColumn id="8" xr3:uid="{00000000-0010-0000-0500-000008000000}" name="Briefing / Hook"/>
    <tableColumn id="9" xr3:uid="{00000000-0010-0000-0500-000009000000}" name="Hauptmechanik"/>
    <tableColumn id="10" xr3:uid="{00000000-0010-0000-0500-00000A000000}" name="Sekundärmechaniken"/>
    <tableColumn id="11" xr3:uid="{00000000-0010-0000-0500-00000B000000}" name="Gegner / Boss"/>
    <tableColumn id="12" xr3:uid="{00000000-0010-0000-0500-00000C000000}" name="Limitwirkung"/>
    <tableColumn id="13" xr3:uid="{00000000-0010-0000-0500-00000D000000}" name="Pickup / Abgabe"/>
    <tableColumn id="14" xr3:uid="{00000000-0010-0000-0500-00000E000000}" name="Status"/>
    <tableColumn id="15" xr3:uid="{00000000-0010-0000-0500-00000F000000}" name="Hauptrisiko"/>
    <tableColumn id="16" xr3:uid="{00000000-0010-0000-0500-000010000000}" name="Empfehlung"/>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SupportTable" displayName="SupportTable" ref="A4:K16" totalsRowShown="0">
  <autoFilter ref="A4:K16" xr:uid="{00000000-0009-0000-0100-000006000000}"/>
  <tableColumns count="11">
    <tableColumn id="1" xr3:uid="{00000000-0010-0000-0600-000001000000}" name="Tag"/>
    <tableColumn id="2" xr3:uid="{00000000-0010-0000-0600-000002000000}" name="Kandidaten-ID"/>
    <tableColumn id="3" xr3:uid="{00000000-0010-0000-0600-000003000000}" name="Ort"/>
    <tableColumn id="4" xr3:uid="{00000000-0010-0000-0600-000004000000}" name="Supportrollen"/>
    <tableColumn id="5" xr3:uid="{00000000-0010-0000-0600-000005000000}" name="Reguläre Nutzungen"/>
    <tableColumn id="6" xr3:uid="{00000000-0010-0000-0600-000006000000}" name="Sondernutzungen"/>
    <tableColumn id="7" xr3:uid="{00000000-0010-0000-0600-000007000000}" name="Research-Ampel"/>
    <tableColumn id="8" xr3:uid="{00000000-0010-0000-0600-000008000000}" name="Funktion"/>
    <tableColumn id="9" xr3:uid="{00000000-0010-0000-0600-000009000000}" name="Hauptrisiko"/>
    <tableColumn id="10" xr3:uid="{00000000-0010-0000-0600-00000A000000}" name="Google Maps"/>
    <tableColumn id="11" xr3:uid="{00000000-0010-0000-0600-00000B000000}" name="Empfehlung"/>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KandidatenstatusTable" displayName="KandidatenstatusTable" ref="A4:M94" totalsRowShown="0">
  <autoFilter ref="A4:M94" xr:uid="{00000000-0009-0000-0100-000007000000}"/>
  <tableColumns count="13">
    <tableColumn id="1" xr3:uid="{00000000-0010-0000-0700-000001000000}" name="Kandidaten-ID"/>
    <tableColumn id="2" xr3:uid="{00000000-0010-0000-0700-000002000000}" name="Tag"/>
    <tableColumn id="3" xr3:uid="{00000000-0010-0000-0700-000003000000}" name="Cluster"/>
    <tableColumn id="4" xr3:uid="{00000000-0010-0000-0700-000004000000}" name="Ort"/>
    <tableColumn id="5" xr3:uid="{00000000-0010-0000-0700-000005000000}" name="Ampel"/>
    <tableColumn id="6" xr3:uid="{00000000-0010-0000-0700-000006000000}" name="Research-Status"/>
    <tableColumn id="7" xr3:uid="{00000000-0010-0000-0700-000007000000}" name="Supportrollen"/>
    <tableColumn id="8" xr3:uid="{00000000-0010-0000-0700-000008000000}" name="Kernnutzungen"/>
    <tableColumn id="9" xr3:uid="{00000000-0010-0000-0700-000009000000}" name="Sondernutzungen"/>
    <tableColumn id="10" xr3:uid="{00000000-0010-0000-0700-00000A000000}" name="Entscheidung"/>
    <tableColumn id="11" xr3:uid="{00000000-0010-0000-0700-00000B000000}" name="Score v0.3"/>
    <tableColumn id="12" xr3:uid="{00000000-0010-0000-0700-00000C000000}" name="Gegnerhook"/>
    <tableColumn id="13" xr3:uid="{00000000-0010-0000-0700-00000D000000}" name="Begründung / nächste Verwendung"/>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UniqueEnemiesTable" displayName="UniqueEnemiesTable" ref="A4:W16" totalsRowShown="0">
  <autoFilter ref="A4:W16" xr:uid="{00000000-0009-0000-0100-000009000000}"/>
  <tableColumns count="23">
    <tableColumn id="1" xr3:uid="{00000000-0010-0000-0800-000001000000}" name="Nr."/>
    <tableColumn id="2" xr3:uid="{00000000-0010-0000-0800-000002000000}" name="Encounter-ID"/>
    <tableColumn id="3" xr3:uid="{00000000-0010-0000-0800-000003000000}" name="Systemtyp"/>
    <tableColumn id="4" xr3:uid="{00000000-0010-0000-0800-000004000000}" name="Tag"/>
    <tableColumn id="5" xr3:uid="{00000000-0010-0000-0800-000005000000}" name="Kandidaten-ID"/>
    <tableColumn id="6" xr3:uid="{00000000-0010-0000-0800-000006000000}" name="Ort"/>
    <tableColumn id="7" xr3:uid="{00000000-0010-0000-0800-000007000000}" name="Cluster"/>
    <tableColumn id="8" xr3:uid="{00000000-0010-0000-0800-000008000000}" name="Gegnername"/>
    <tableColumn id="9" xr3:uid="{00000000-0010-0000-0800-000009000000}" name="Gegnerart"/>
    <tableColumn id="10" xr3:uid="{00000000-0010-0000-0800-00000A000000}" name="Was ist es?"/>
    <tableColumn id="11" xr3:uid="{00000000-0010-0000-0800-00000B000000}" name="Referenzart"/>
    <tableColumn id="12" xr3:uid="{00000000-0010-0000-0800-00000C000000}" name="Ortsbezug"/>
    <tableColumn id="13" xr3:uid="{00000000-0010-0000-0800-00000D000000}" name="Visuelle Inspiration"/>
    <tableColumn id="14" xr3:uid="{00000000-0010-0000-0800-00000E000000}" name="Themenfit"/>
    <tableColumn id="15" xr3:uid="{00000000-0010-0000-0800-00000F000000}" name="Operative Robustheit"/>
    <tableColumn id="16" xr3:uid="{00000000-0010-0000-0800-000010000000}" name="Gesamtscore"/>
    <tableColumn id="17" xr3:uid="{00000000-0010-0000-0800-000011000000}" name="Empfehlung"/>
    <tableColumn id="18" xr3:uid="{00000000-0010-0000-0800-000012000000}" name="Sichtbarer / historischer Anker"/>
    <tableColumn id="19" xr3:uid="{00000000-0010-0000-0800-000013000000}" name="Einsatz- und Konfliktregel"/>
    <tableColumn id="20" xr3:uid="{00000000-0010-0000-0800-000014000000}" name="Research-Ampel"/>
    <tableColumn id="21" xr3:uid="{00000000-0010-0000-0800-000015000000}" name="Quellenlink"/>
    <tableColumn id="22" xr3:uid="{00000000-0010-0000-0800-000016000000}" name="Google Maps"/>
    <tableColumn id="23" xr3:uid="{00000000-0010-0000-0800-000017000000}" name="Noch offe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QuestMasterTable" displayName="QuestMasterTable" ref="A4:Z44" totalsRowShown="0">
  <autoFilter ref="A4:Z44" xr:uid="{00000000-0009-0000-0100-00000A000000}"/>
  <tableColumns count="26">
    <tableColumn id="1" xr3:uid="{00000000-0010-0000-0900-000001000000}" name="Quest-ID"/>
    <tableColumn id="2" xr3:uid="{00000000-0010-0000-0900-000002000000}" name="Typ"/>
    <tableColumn id="3" xr3:uid="{00000000-0010-0000-0900-000003000000}" name="Tag"/>
    <tableColumn id="4" xr3:uid="{00000000-0010-0000-0900-000004000000}" name="Titel"/>
    <tableColumn id="5" xr3:uid="{00000000-0010-0000-0900-000005000000}" name="Questgeber-ID"/>
    <tableColumn id="6" xr3:uid="{00000000-0010-0000-0900-000006000000}" name="Questgeber"/>
    <tableColumn id="7" xr3:uid="{00000000-0010-0000-0900-000007000000}" name="Story / Konflikt"/>
    <tableColumn id="8" xr3:uid="{00000000-0010-0000-0900-000008000000}" name="Dramaturgischer Bogen"/>
    <tableColumn id="9" xr3:uid="{00000000-0010-0000-0900-000009000000}" name="Orte"/>
    <tableColumn id="10" xr3:uid="{00000000-0010-0000-0900-00000A000000}" name="Kandidaten-IDs"/>
    <tableColumn id="11" xr3:uid="{00000000-0010-0000-0900-00000B000000}" name="Verifizierte Beobachtungen / Fact-Basis"/>
    <tableColumn id="12" xr3:uid="{00000000-0010-0000-0900-00000C000000}" name="Quellen"/>
    <tableColumn id="13" xr3:uid="{00000000-0010-0000-0900-00000D000000}" name="Min"/>
    <tableColumn id="14" xr3:uid="{00000000-0010-0000-0900-00000E000000}" name="Max"/>
    <tableColumn id="15" xr3:uid="{00000000-0010-0000-0900-00000F000000}" name="Slot / Fortschritt"/>
    <tableColumn id="16" xr3:uid="{00000000-0010-0000-0900-000010000000}" name="Voraussetzungen"/>
    <tableColumn id="17" xr3:uid="{00000000-0010-0000-0900-000011000000}" name="Erfolgsdefinition"/>
    <tableColumn id="18" xr3:uid="{00000000-0010-0000-0900-000012000000}" name="Fallback / Fehlerbehandlung"/>
    <tableColumn id="19" xr3:uid="{00000000-0010-0000-0900-000013000000}" name="Basis-Ruhm*"/>
    <tableColumn id="20" xr3:uid="{00000000-0010-0000-0900-000014000000}" name="Basis-Denare*"/>
    <tableColumn id="21" xr3:uid="{00000000-0010-0000-0900-000015000000}" name="Item / Loot"/>
    <tableColumn id="22" xr3:uid="{00000000-0010-0000-0900-000016000000}" name="Reward-/Encounter-Profil"/>
    <tableColumn id="23" xr3:uid="{00000000-0010-0000-0900-000017000000}" name="Klassen-Spotlight"/>
    <tableColumn id="24" xr3:uid="{00000000-0010-0000-0900-000018000000}" name="Content-Status"/>
    <tableColumn id="25" xr3:uid="{00000000-0010-0000-0900-000019000000}" name="GeoJSON-/Geofence-Status"/>
    <tableColumn id="26" xr3:uid="{00000000-0010-0000-0900-00001A000000}" name="Noch offe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QuestStepsTable" displayName="QuestStepsTable" ref="A4:S400" totalsRowShown="0">
  <autoFilter ref="A4:S400" xr:uid="{00000000-0009-0000-0100-00000B000000}"/>
  <tableColumns count="19">
    <tableColumn id="1" xr3:uid="{00000000-0010-0000-0A00-000001000000}" name="Quest-ID"/>
    <tableColumn id="2" xr3:uid="{00000000-0010-0000-0A00-000002000000}" name="Step-ID"/>
    <tableColumn id="3" xr3:uid="{00000000-0010-0000-0A00-000003000000}" name="Seq"/>
    <tableColumn id="4" xr3:uid="{00000000-0010-0000-0A00-000004000000}" name="Flow-Phase"/>
    <tableColumn id="5" xr3:uid="{00000000-0010-0000-0A00-000005000000}" name="Step-Action-Type"/>
    <tableColumn id="6" xr3:uid="{00000000-0010-0000-0A00-000006000000}" name="Step-Kategorie"/>
    <tableColumn id="7" xr3:uid="{00000000-0010-0000-0A00-000007000000}" name="GDD-Objective-Type"/>
    <tableColumn id="8" xr3:uid="{00000000-0010-0000-0A00-000008000000}" name="Actor-Scope"/>
    <tableColumn id="9" xr3:uid="{00000000-0010-0000-0A00-000009000000}" name="Location-/Kandidaten-ID"/>
    <tableColumn id="10" xr3:uid="{00000000-0010-0000-0A00-00000A000000}" name="Target-Ref"/>
    <tableColumn id="11" xr3:uid="{00000000-0010-0000-0A00-00000B000000}" name="Spieleranweisung"/>
    <tableColumn id="12" xr3:uid="{00000000-0010-0000-0A00-00000C000000}" name="Server-Erfolgsbedingung"/>
    <tableColumn id="13" xr3:uid="{00000000-0010-0000-0A00-00000D000000}" name="Bei Erfolg"/>
    <tableColumn id="14" xr3:uid="{00000000-0010-0000-0A00-00000E000000}" name="Bei Fehler / Timeout"/>
    <tableColumn id="15" xr3:uid="{00000000-0010-0000-0A00-00000F000000}" name="Pflicht"/>
    <tableColumn id="16" xr3:uid="{00000000-0010-0000-0A00-000010000000}" name="Unlock-Bedingung"/>
    <tableColumn id="17" xr3:uid="{00000000-0010-0000-0A00-000011000000}" name="UI-Komponente"/>
    <tableColumn id="18" xr3:uid="{00000000-0010-0000-0A00-000012000000}" name="Analytics-Event"/>
    <tableColumn id="19" xr3:uid="{00000000-0010-0000-0A00-000013000000}" name="Implementierungshinweis"/>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ialogueNodesTable" displayName="DialogueNodesTable" ref="A4:AA124" totalsRowShown="0">
  <autoFilter ref="A4:AA124" xr:uid="{00000000-0009-0000-0100-00000C000000}"/>
  <tableColumns count="27">
    <tableColumn id="1" xr3:uid="{00000000-0010-0000-0B00-000001000000}" name="Quest-ID"/>
    <tableColumn id="2" xr3:uid="{00000000-0010-0000-0B00-000002000000}" name="Sequenz-ID"/>
    <tableColumn id="3" xr3:uid="{00000000-0010-0000-0B00-000003000000}" name="Node-ID"/>
    <tableColumn id="4" xr3:uid="{00000000-0010-0000-0B00-000004000000}" name="Phase"/>
    <tableColumn id="5" xr3:uid="{00000000-0010-0000-0B00-000005000000}" name="Order"/>
    <tableColumn id="6" xr3:uid="{00000000-0010-0000-0B00-000006000000}" name="Speaker-ID"/>
    <tableColumn id="7" xr3:uid="{00000000-0010-0000-0B00-000007000000}" name="Speaker"/>
    <tableColumn id="8" xr3:uid="{00000000-0010-0000-0B00-000008000000}" name="Momentane Stimmung"/>
    <tableColumn id="9" xr3:uid="{00000000-0010-0000-0B00-000009000000}" name="Bedingung"/>
    <tableColumn id="10" xr3:uid="{00000000-0010-0000-0B00-00000A000000}" name="NPC-Text"/>
    <tableColumn id="11" xr3:uid="{00000000-0010-0000-0B00-00000B000000}" name="Option 1 ID"/>
    <tableColumn id="12" xr3:uid="{00000000-0010-0000-0B00-00000C000000}" name="Option 1"/>
    <tableColumn id="13" xr3:uid="{00000000-0010-0000-0B00-00000D000000}" name="Antwort 1"/>
    <tableColumn id="14" xr3:uid="{00000000-0010-0000-0B00-00000E000000}" name="Effect JSON 1"/>
    <tableColumn id="15" xr3:uid="{00000000-0010-0000-0B00-00000F000000}" name="Option 2 ID"/>
    <tableColumn id="16" xr3:uid="{00000000-0010-0000-0B00-000010000000}" name="Option 2"/>
    <tableColumn id="17" xr3:uid="{00000000-0010-0000-0B00-000011000000}" name="Antwort 2"/>
    <tableColumn id="18" xr3:uid="{00000000-0010-0000-0B00-000012000000}" name="Effect JSON 2"/>
    <tableColumn id="19" xr3:uid="{00000000-0010-0000-0B00-000013000000}" name="Option 3 ID"/>
    <tableColumn id="20" xr3:uid="{00000000-0010-0000-0B00-000014000000}" name="Option 3"/>
    <tableColumn id="21" xr3:uid="{00000000-0010-0000-0B00-000015000000}" name="Antwort 3"/>
    <tableColumn id="22" xr3:uid="{00000000-0010-0000-0B00-000016000000}" name="Effect JSON 3"/>
    <tableColumn id="23" xr3:uid="{00000000-0010-0000-0B00-000017000000}" name="Default Next"/>
    <tableColumn id="24" xr3:uid="{00000000-0010-0000-0B00-000018000000}" name="Easter-Egg"/>
    <tableColumn id="25" xr3:uid="{00000000-0010-0000-0B00-000019000000}" name="Node-Zeichen"/>
    <tableColumn id="26" xr3:uid="{00000000-0010-0000-0B00-00001A000000}" name="Sequenz-Zeichen"/>
    <tableColumn id="27" xr3:uid="{00000000-0010-0000-0B00-00001B000000}" name="Hinweis"/>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CharactersTable" displayName="CharactersTable" ref="A4:O40" totalsRowShown="0">
  <autoFilter ref="A4:O40" xr:uid="{00000000-0009-0000-0100-00000D000000}"/>
  <tableColumns count="15">
    <tableColumn id="1" xr3:uid="{00000000-0010-0000-0C00-000001000000}" name="Character-ID"/>
    <tableColumn id="2" xr3:uid="{00000000-0010-0000-0C00-000002000000}" name="Anzeigename"/>
    <tableColumn id="3" xr3:uid="{00000000-0010-0000-0C00-000003000000}" name="Kanonstatus"/>
    <tableColumn id="4" xr3:uid="{00000000-0010-0000-0C00-000004000000}" name="Rolle"/>
    <tableColumn id="5" xr3:uid="{00000000-0010-0000-0C00-000005000000}" name="Quest-IDs"/>
    <tableColumn id="6" xr3:uid="{00000000-0010-0000-0C00-000006000000}" name="Charakter / Persönlichkeit"/>
    <tableColumn id="7" xr3:uid="{00000000-0010-0000-0C00-000007000000}" name="Momentane Stimmung"/>
    <tableColumn id="8" xr3:uid="{00000000-0010-0000-0C00-000008000000}" name="Stimmungsbogen"/>
    <tableColumn id="9" xr3:uid="{00000000-0010-0000-0C00-000009000000}" name="Sprechweise"/>
    <tableColumn id="10" xr3:uid="{00000000-0010-0000-0C00-00000A000000}" name="Visueller Anker"/>
    <tableColumn id="11" xr3:uid="{00000000-0010-0000-0C00-00000B000000}" name="Bildreferenz"/>
    <tableColumn id="12" xr3:uid="{00000000-0010-0000-0C00-00000C000000}" name="Bildgenerierungsbeschreibung"/>
    <tableColumn id="13" xr3:uid="{00000000-0010-0000-0C00-00000D000000}" name="Do / Don't"/>
    <tableColumn id="14" xr3:uid="{00000000-0010-0000-0C00-00000E000000}" name="Quellen"/>
    <tableColumn id="15" xr3:uid="{00000000-0010-0000-0C00-00000F000000}" name="Status"/>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PuzzlesTable" displayName="PuzzlesTable" ref="A4:R116" totalsRowShown="0">
  <autoFilter ref="A4:R116" xr:uid="{00000000-0009-0000-0100-00000E000000}"/>
  <tableColumns count="18">
    <tableColumn id="1" xr3:uid="{00000000-0010-0000-0D00-000001000000}" name="Puzzle-ID"/>
    <tableColumn id="2" xr3:uid="{00000000-0010-0000-0D00-000002000000}" name="Quest-ID"/>
    <tableColumn id="3" xr3:uid="{00000000-0010-0000-0D00-000003000000}" name="Step-Ref"/>
    <tableColumn id="4" xr3:uid="{00000000-0010-0000-0D00-000004000000}" name="Kandidaten-ID"/>
    <tableColumn id="5" xr3:uid="{00000000-0010-0000-0D00-000005000000}" name="Ort"/>
    <tableColumn id="6" xr3:uid="{00000000-0010-0000-0D00-000006000000}" name="Antworttyp"/>
    <tableColumn id="7" xr3:uid="{00000000-0010-0000-0D00-000007000000}" name="Prompt"/>
    <tableColumn id="8" xr3:uid="{00000000-0010-0000-0D00-000008000000}" name="Optionen / Reihenfolge"/>
    <tableColumn id="9" xr3:uid="{00000000-0010-0000-0D00-000009000000}" name="Sollantwort"/>
    <tableColumn id="10" xr3:uid="{00000000-0010-0000-0D00-00000A000000}" name="Akzeptierte Varianten"/>
    <tableColumn id="11" xr3:uid="{00000000-0010-0000-0D00-00000B000000}" name="Observable Evidence"/>
    <tableColumn id="12" xr3:uid="{00000000-0010-0000-0D00-00000C000000}" name="Evidence-Grade"/>
    <tableColumn id="13" xr3:uid="{00000000-0010-0000-0D00-00000D000000}" name="Hinweis 1"/>
    <tableColumn id="14" xr3:uid="{00000000-0010-0000-0D00-00000E000000}" name="Hinweis 2"/>
    <tableColumn id="15" xr3:uid="{00000000-0010-0000-0D00-00000F000000}" name="Fallback"/>
    <tableColumn id="16" xr3:uid="{00000000-0010-0000-0D00-000010000000}" name="Fehlerfolge"/>
    <tableColumn id="17" xr3:uid="{00000000-0010-0000-0D00-000011000000}" name="Validierungsstatus"/>
    <tableColumn id="18" xr3:uid="{00000000-0010-0000-0D00-000012000000}" name="Quell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CombatProfilesTable" displayName="CombatProfilesTable" ref="A4:V39" totalsRowShown="0">
  <autoFilter ref="A4:V39" xr:uid="{00000000-0009-0000-0100-00000F000000}"/>
  <tableColumns count="22">
    <tableColumn id="1" xr3:uid="{00000000-0010-0000-0E00-000001000000}" name="Combat-Profile-ID"/>
    <tableColumn id="2" xr3:uid="{00000000-0010-0000-0E00-000002000000}" name="Quest-/Encounter-IDs"/>
    <tableColumn id="3" xr3:uid="{00000000-0010-0000-0E00-000003000000}" name="Systemtyp"/>
    <tableColumn id="4" xr3:uid="{00000000-0010-0000-0E00-000004000000}" name="Gegner"/>
    <tableColumn id="5" xr3:uid="{00000000-0010-0000-0E00-000005000000}" name="Rarität"/>
    <tableColumn id="6" xr3:uid="{00000000-0010-0000-0E00-000006000000}" name="Kampfrolle"/>
    <tableColumn id="7" xr3:uid="{00000000-0010-0000-0E00-000007000000}" name="Narrativer Auftritt"/>
    <tableColumn id="8" xr3:uid="{00000000-0010-0000-0E00-000008000000}" name="Kampfmuster"/>
    <tableColumn id="9" xr3:uid="{00000000-0010-0000-0E00-000009000000}" name="Fähigkeit 1"/>
    <tableColumn id="10" xr3:uid="{00000000-0010-0000-0E00-00000A000000}" name="Fähigkeit 2"/>
    <tableColumn id="11" xr3:uid="{00000000-0010-0000-0E00-00000B000000}" name="Phasenregel"/>
    <tableColumn id="12" xr3:uid="{00000000-0010-0000-0E00-00000C000000}" name="Zielwahl"/>
    <tableColumn id="13" xr3:uid="{00000000-0010-0000-0E00-00000D000000}" name="Counterplay / Anfälligkeit"/>
    <tableColumn id="14" xr3:uid="{00000000-0010-0000-0E00-00000E000000}" name="Status-Effekte"/>
    <tableColumn id="15" xr3:uid="{00000000-0010-0000-0E00-00000F000000}" name="Siegbedingung"/>
    <tableColumn id="16" xr3:uid="{00000000-0010-0000-0E00-000010000000}" name="Niederlage / Retry"/>
    <tableColumn id="17" xr3:uid="{00000000-0010-0000-0E00-000011000000}" name="Reward-Klasse"/>
    <tableColumn id="18" xr3:uid="{00000000-0010-0000-0E00-000012000000}" name="Respawn / Verfügbarkeit"/>
    <tableColumn id="19" xr3:uid="{00000000-0010-0000-0E00-000013000000}" name="Bildreferenz"/>
    <tableColumn id="20" xr3:uid="{00000000-0010-0000-0E00-000014000000}" name="Bildgenerierungsbeschreibung"/>
    <tableColumn id="21" xr3:uid="{00000000-0010-0000-0E00-000015000000}" name="Noch zu balancieren"/>
    <tableColumn id="22" xr3:uid="{00000000-0010-0000-0E00-000016000000}" name="Status"/>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NavigationChallengesTable" displayName="NavigationChallengesTable" ref="A4:Q8" totalsRowShown="0">
  <autoFilter ref="A4:Q8" xr:uid="{00000000-0009-0000-0100-000010000000}"/>
  <tableColumns count="17">
    <tableColumn id="1" xr3:uid="{00000000-0010-0000-0F00-000001000000}" name="Navigation-ID"/>
    <tableColumn id="2" xr3:uid="{00000000-0010-0000-0F00-000002000000}" name="Quest-ID"/>
    <tableColumn id="3" xr3:uid="{00000000-0010-0000-0F00-000003000000}" name="Segment"/>
    <tableColumn id="4" xr3:uid="{00000000-0010-0000-0F00-000004000000}" name="Modus"/>
    <tableColumn id="5" xr3:uid="{00000000-0010-0000-0F00-000005000000}" name="Teilnehmer / Rollen"/>
    <tableColumn id="6" xr3:uid="{00000000-0010-0000-0F00-000006000000}" name="Start-ID"/>
    <tableColumn id="7" xr3:uid="{00000000-0010-0000-0F00-000007000000}" name="Ziel-ID"/>
    <tableColumn id="8" xr3:uid="{00000000-0010-0000-0F00-000008000000}" name="Kartensichtbarkeit"/>
    <tableColumn id="9" xr3:uid="{00000000-0010-0000-0F00-000009000000}" name="Rolleninformationen"/>
    <tableColumn id="10" xr3:uid="{00000000-0010-0000-0F00-00000A000000}" name="Hinweiskette"/>
    <tableColumn id="11" xr3:uid="{00000000-0010-0000-0F00-00000B000000}" name="Server-Erfolgsbedingung"/>
    <tableColumn id="12" xr3:uid="{00000000-0010-0000-0F00-00000C000000}" name="Hinweis-/Timeoutlogik"/>
    <tableColumn id="13" xr3:uid="{00000000-0010-0000-0F00-00000D000000}" name="Sicherheitsregel"/>
    <tableColumn id="14" xr3:uid="{00000000-0010-0000-0F00-00000E000000}" name="Fallback"/>
    <tableColumn id="15" xr3:uid="{00000000-0010-0000-0F00-00000F000000}" name="Vor-Ort-Status"/>
    <tableColumn id="16" xr3:uid="{00000000-0010-0000-0F00-000010000000}" name="Benötigte GeoJSON-Felder"/>
    <tableColumn id="17" xr3:uid="{00000000-0010-0000-0F00-000011000000}" name="Events / States"/>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QuestTimersTable" displayName="QuestTimersTable" ref="A4:P10" totalsRowShown="0">
  <autoFilter ref="A4:P10" xr:uid="{00000000-0009-0000-0100-000011000000}"/>
  <tableColumns count="16">
    <tableColumn id="1" xr3:uid="{00000000-0010-0000-1000-000001000000}" name="Timer-ID"/>
    <tableColumn id="2" xr3:uid="{00000000-0010-0000-1000-000002000000}" name="Quest-ID"/>
    <tableColumn id="3" xr3:uid="{00000000-0010-0000-1000-000003000000}" name="Step-ID"/>
    <tableColumn id="4" xr3:uid="{00000000-0010-0000-1000-000004000000}" name="Etappe"/>
    <tableColumn id="5" xr3:uid="{00000000-0010-0000-1000-000005000000}" name="Scope"/>
    <tableColumn id="6" xr3:uid="{00000000-0010-0000-1000-000006000000}" name="Dauer s"/>
    <tableColumn id="7" xr3:uid="{00000000-0010-0000-1000-000007000000}" name="StartsWhen"/>
    <tableColumn id="8" xr3:uid="{00000000-0010-0000-1000-000008000000}" name="Warnungen Restzeit s"/>
    <tableColumn id="9" xr3:uid="{00000000-0010-0000-1000-000009000000}" name="OnExpire"/>
    <tableColumn id="10" xr3:uid="{00000000-0010-0000-1000-00000A000000}" name="Retry-Policy"/>
    <tableColumn id="11" xr3:uid="{00000000-0010-0000-1000-00000B000000}" name="Pause / GM"/>
    <tableColumn id="12" xr3:uid="{00000000-0010-0000-1000-00000C000000}" name="UI-Komponente"/>
    <tableColumn id="13" xr3:uid="{00000000-0010-0000-1000-00000D000000}" name="Serverfelder"/>
    <tableColumn id="14" xr3:uid="{00000000-0010-0000-1000-00000E000000}" name="Sicherheit"/>
    <tableColumn id="15" xr3:uid="{00000000-0010-0000-1000-00000F000000}" name="Dialog-Refs"/>
    <tableColumn id="16" xr3:uid="{00000000-0010-0000-1000-000010000000}" name="Content-Status"/>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GddQuestReconciliationTable" displayName="GddQuestReconciliationTable" ref="A4:F14" totalsRowShown="0">
  <autoFilter ref="A4:F14" xr:uid="{00000000-0009-0000-0100-000012000000}"/>
  <tableColumns count="6">
    <tableColumn id="1" xr3:uid="{00000000-0010-0000-1100-000001000000}" name="Bereich"/>
    <tableColumn id="2" xr3:uid="{00000000-0010-0000-1100-000002000000}" name="GDD v0.14"/>
    <tableColumn id="3" xr3:uid="{00000000-0010-0000-1100-000003000000}" name="Questdatei v0.7"/>
    <tableColumn id="4" xr3:uid="{00000000-0010-0000-1100-000004000000}" name="Bewertung"/>
    <tableColumn id="5" xr3:uid="{00000000-0010-0000-1100-000005000000}" name="Auflösung in v0.8 / GDD v0.15"/>
    <tableColumn id="6" xr3:uid="{00000000-0010-0000-1100-000006000000}" name="Verbleibend offen"/>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InteractionCoverageTable" displayName="InteractionCoverageTable" ref="A4:P44" totalsRowShown="0">
  <autoFilter ref="A4:P44" xr:uid="{00000000-0009-0000-0100-000013000000}"/>
  <tableColumns count="16">
    <tableColumn id="1" xr3:uid="{00000000-0010-0000-1200-000001000000}" name="Quest-ID"/>
    <tableColumn id="2" xr3:uid="{00000000-0010-0000-1200-000002000000}" name="Titel"/>
    <tableColumn id="3" xr3:uid="{00000000-0010-0000-1200-000003000000}" name="Typ"/>
    <tableColumn id="4" xr3:uid="{00000000-0010-0000-1200-000004000000}" name="GPS-Ort"/>
    <tableColumn id="5" xr3:uid="{00000000-0010-0000-1200-000005000000}" name="Sichtbarer Hinweis"/>
    <tableColumn id="6" xr3:uid="{00000000-0010-0000-1200-000006000000}" name="Single-/Multiple-Choice"/>
    <tableColumn id="7" xr3:uid="{00000000-0010-0000-1200-000007000000}" name="Sortieren / Zuordnen"/>
    <tableColumn id="8" xr3:uid="{00000000-0010-0000-1200-000008000000}" name="Text-/Codeeingabe"/>
    <tableColumn id="9" xr3:uid="{00000000-0010-0000-1200-000009000000}" name="Inventargegenstand"/>
    <tableColumn id="10" xr3:uid="{00000000-0010-0000-1200-00000A000000}" name="Teamentscheidung"/>
    <tableColumn id="11" xr3:uid="{00000000-0010-0000-1200-00000B000000}" name="Klassenaktion"/>
    <tableColumn id="12" xr3:uid="{00000000-0010-0000-1200-00000C000000}" name="Klasse"/>
    <tableColumn id="13" xr3:uid="{00000000-0010-0000-1200-00000D000000}" name="Pflichtkampf"/>
    <tableColumn id="14" xr3:uid="{00000000-0010-0000-1200-00000E000000}" name="Medienupload"/>
    <tableColumn id="15" xr3:uid="{00000000-0010-0000-1200-00000F000000}" name="Navigation"/>
    <tableColumn id="16" xr3:uid="{00000000-0010-0000-1200-000010000000}" name="Timer-Etapp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9"/>
  <sheetViews>
    <sheetView showGridLines="0" workbookViewId="0">
      <selection sqref="A1:V1"/>
    </sheetView>
  </sheetViews>
  <sheetFormatPr baseColWidth="10" defaultColWidth="9" defaultRowHeight="14.25"/>
  <cols>
    <col min="1" max="1" width="28" customWidth="1"/>
    <col min="2" max="2" width="22" customWidth="1"/>
    <col min="3" max="5" width="25" customWidth="1"/>
    <col min="6" max="10" width="20" customWidth="1"/>
    <col min="11" max="22" width="16" customWidth="1"/>
  </cols>
  <sheetData>
    <row r="1" spans="1:22" ht="30" customHeight="1">
      <c r="A1" s="66" t="s">
        <v>0</v>
      </c>
      <c r="B1" s="66"/>
      <c r="C1" s="66"/>
      <c r="D1" s="66"/>
      <c r="E1" s="66"/>
      <c r="F1" s="66"/>
      <c r="G1" s="66"/>
      <c r="H1" s="66"/>
      <c r="I1" s="66"/>
      <c r="J1" s="66"/>
      <c r="K1" s="66"/>
      <c r="L1" s="66"/>
      <c r="M1" s="66"/>
      <c r="N1" s="66"/>
      <c r="O1" s="66"/>
      <c r="P1" s="66"/>
      <c r="Q1" s="66"/>
      <c r="R1" s="66"/>
      <c r="S1" s="66"/>
      <c r="T1" s="66"/>
      <c r="U1" s="66"/>
      <c r="V1" s="66"/>
    </row>
    <row r="2" spans="1:22" ht="32.1" customHeight="1">
      <c r="A2" s="67" t="s">
        <v>1</v>
      </c>
      <c r="B2" s="67"/>
      <c r="C2" s="67"/>
      <c r="D2" s="67"/>
      <c r="E2" s="67"/>
      <c r="F2" s="67"/>
      <c r="G2" s="67"/>
      <c r="H2" s="67"/>
      <c r="I2" s="67"/>
      <c r="J2" s="67"/>
      <c r="K2" s="68"/>
      <c r="L2" s="68"/>
      <c r="M2" s="68"/>
      <c r="N2" s="68"/>
      <c r="O2" s="68"/>
      <c r="P2" s="68"/>
      <c r="Q2" s="68"/>
      <c r="R2" s="68"/>
      <c r="S2" s="68"/>
      <c r="T2" s="68"/>
      <c r="U2" s="68"/>
      <c r="V2" s="68"/>
    </row>
    <row r="4" spans="1:22">
      <c r="A4" s="1" t="s">
        <v>2</v>
      </c>
      <c r="B4" s="1" t="s">
        <v>3</v>
      </c>
      <c r="C4" s="1" t="s">
        <v>4</v>
      </c>
      <c r="D4" s="1" t="s">
        <v>5</v>
      </c>
      <c r="E4" s="1" t="s">
        <v>6</v>
      </c>
      <c r="F4" s="1" t="s">
        <v>7</v>
      </c>
      <c r="G4" s="1" t="s">
        <v>8</v>
      </c>
      <c r="H4" s="1" t="s">
        <v>9</v>
      </c>
      <c r="I4" s="1" t="s">
        <v>10</v>
      </c>
      <c r="J4" s="1" t="s">
        <v>11</v>
      </c>
      <c r="K4" s="36" t="s">
        <v>12</v>
      </c>
      <c r="L4" s="36" t="s">
        <v>13</v>
      </c>
      <c r="M4" s="36" t="s">
        <v>14</v>
      </c>
      <c r="N4" s="58" t="s">
        <v>15</v>
      </c>
      <c r="O4" s="58" t="s">
        <v>16</v>
      </c>
      <c r="P4" s="58" t="s">
        <v>17</v>
      </c>
      <c r="Q4" s="58" t="s">
        <v>18</v>
      </c>
      <c r="R4" s="58" t="s">
        <v>19</v>
      </c>
      <c r="S4" s="58" t="s">
        <v>20</v>
      </c>
      <c r="T4" s="58" t="s">
        <v>21</v>
      </c>
      <c r="U4" s="58" t="s">
        <v>22</v>
      </c>
      <c r="V4" s="58" t="s">
        <v>23</v>
      </c>
    </row>
    <row r="5" spans="1:22" ht="20.25">
      <c r="A5" s="16">
        <f>COUNTA(Questgruppen!$B$5:$B$30)</f>
        <v>26</v>
      </c>
      <c r="B5" s="16">
        <f>COUNTIF(Questgruppen!$C$5:$C$30,"DAY_1")</f>
        <v>16</v>
      </c>
      <c r="C5" s="16">
        <f>COUNTIF(Questgruppen!$C$5:$C$30,"DAY_2")</f>
        <v>10</v>
      </c>
      <c r="D5" s="16">
        <f>COUNTIF(Sonderquests!$C$5:$C$18,"MEDIA_LOCAL")+COUNTIF(Sonderquests!$C$5:$C$18,"MEDIA_LANGZEIT")</f>
        <v>7</v>
      </c>
      <c r="E5" s="16">
        <f>COUNTIF(Sonderquests!$C$5:$C$18,"HIDDEN")</f>
        <v>5</v>
      </c>
      <c r="F5" s="16">
        <f>COUNTIF(Sonderquests!$C$5:$C$18,"WORLD_BOSS")</f>
        <v>2</v>
      </c>
      <c r="G5" s="16">
        <f>COUNTIF(Questgruppen!$F$5:$F$30,1)</f>
        <v>6</v>
      </c>
      <c r="H5" s="16">
        <f>COUNTIFS(Questgruppen!$F$5:$F$30,"&gt;=2",Questgruppen!$F$5:$F$30,"&lt;=5")</f>
        <v>20</v>
      </c>
      <c r="I5" s="16">
        <f>ROUND(AVERAGE(Questgruppen!$AB$5:$AB$30),1)</f>
        <v>4.3</v>
      </c>
      <c r="J5" s="16">
        <f>SUM(Questgruppen!$V$5:$V$30)</f>
        <v>0</v>
      </c>
      <c r="K5" s="37">
        <f>COUNTA('Unique Gegner'!$B$5:$B$16)</f>
        <v>12</v>
      </c>
      <c r="L5" s="37">
        <f>COUNTIF('Unique Gegner'!$D$5:$D$16,"DAY_1")</f>
        <v>8</v>
      </c>
      <c r="M5" s="37">
        <f>COUNTIF('Unique Gegner'!$D$5:$D$16,"DAY_2")</f>
        <v>4</v>
      </c>
      <c r="N5" s="59">
        <f>COUNTA('Quest Master'!A5:A44)</f>
        <v>40</v>
      </c>
      <c r="O5" s="59">
        <f>COUNTA(Questablauf!A5:A400)</f>
        <v>396</v>
      </c>
      <c r="P5" s="59">
        <f>COUNTA(Dialoge!A5:A124)</f>
        <v>120</v>
      </c>
      <c r="Q5" s="59">
        <f>COUNTA(Charaktere!A5:A40)</f>
        <v>36</v>
      </c>
      <c r="R5" s="59">
        <f>COUNTA(Rätsel!A5:A116)</f>
        <v>112</v>
      </c>
      <c r="S5" s="59">
        <f>COUNTA(Kampfprofile!A5:A39)</f>
        <v>35</v>
      </c>
      <c r="T5" s="59">
        <f>COUNTA(Navigation!A5:A8)</f>
        <v>4</v>
      </c>
      <c r="U5" s="59">
        <f>COUNTA(Timer!A5:A10)</f>
        <v>6</v>
      </c>
      <c r="V5" s="59">
        <f>COUNTIF(Abdeckung!U5:U16,"OK")+COUNTIF(Abdeckung!T19:T22,"OK")</f>
        <v>16</v>
      </c>
    </row>
    <row r="8" spans="1:22">
      <c r="A8" s="1" t="s">
        <v>24</v>
      </c>
      <c r="B8" s="1" t="s">
        <v>25</v>
      </c>
      <c r="C8" s="1" t="s">
        <v>26</v>
      </c>
      <c r="D8" s="1" t="s">
        <v>27</v>
      </c>
      <c r="E8" s="1" t="s">
        <v>28</v>
      </c>
    </row>
    <row r="9" spans="1:22" ht="48" customHeight="1">
      <c r="A9" s="17" t="s">
        <v>29</v>
      </c>
      <c r="B9" s="20">
        <f>COUNTIF(Questgruppen!$J$5:$J$30,A9)</f>
        <v>4</v>
      </c>
      <c r="C9" s="20" t="s">
        <v>30</v>
      </c>
      <c r="D9" s="20" t="str">
        <f>IF(AND(B9&gt;=4,B9&lt;=6),"AUSGEWOGEN","PRUEFEN")</f>
        <v>AUSGEWOGEN</v>
      </c>
      <c r="E9" s="17" t="s">
        <v>31</v>
      </c>
    </row>
    <row r="10" spans="1:22" ht="48" customHeight="1">
      <c r="A10" s="18" t="s">
        <v>32</v>
      </c>
      <c r="B10" s="21">
        <f>COUNTIF(Questgruppen!$J$5:$J$30,A10)</f>
        <v>6</v>
      </c>
      <c r="C10" s="21" t="s">
        <v>30</v>
      </c>
      <c r="D10" s="21" t="str">
        <f>IF(AND(B10&gt;=4,B10&lt;=6),"AUSGEWOGEN","PRUEFEN")</f>
        <v>AUSGEWOGEN</v>
      </c>
      <c r="E10" s="18" t="s">
        <v>31</v>
      </c>
    </row>
    <row r="11" spans="1:22" ht="48" customHeight="1">
      <c r="A11" s="18" t="s">
        <v>33</v>
      </c>
      <c r="B11" s="21">
        <f>COUNTIF(Questgruppen!$J$5:$J$30,A11)</f>
        <v>4</v>
      </c>
      <c r="C11" s="21" t="s">
        <v>30</v>
      </c>
      <c r="D11" s="21" t="str">
        <f>IF(AND(B11&gt;=4,B11&lt;=6),"AUSGEWOGEN","PRUEFEN")</f>
        <v>AUSGEWOGEN</v>
      </c>
      <c r="E11" s="18" t="s">
        <v>31</v>
      </c>
    </row>
    <row r="12" spans="1:22" ht="48" customHeight="1">
      <c r="A12" s="18" t="s">
        <v>34</v>
      </c>
      <c r="B12" s="21">
        <f>COUNTIF(Questgruppen!$J$5:$J$30,A12)</f>
        <v>6</v>
      </c>
      <c r="C12" s="21" t="s">
        <v>30</v>
      </c>
      <c r="D12" s="21" t="str">
        <f>IF(AND(B12&gt;=4,B12&lt;=6),"AUSGEWOGEN","PRUEFEN")</f>
        <v>AUSGEWOGEN</v>
      </c>
      <c r="E12" s="18" t="s">
        <v>31</v>
      </c>
    </row>
    <row r="13" spans="1:22" ht="48" customHeight="1">
      <c r="A13" s="19" t="s">
        <v>35</v>
      </c>
      <c r="B13" s="22">
        <f>COUNTIF(Questgruppen!$J$5:$J$30,A13)</f>
        <v>6</v>
      </c>
      <c r="C13" s="22" t="s">
        <v>30</v>
      </c>
      <c r="D13" s="22" t="str">
        <f>IF(AND(B13&gt;=4,B13&lt;=6),"AUSGEWOGEN","PRUEFEN")</f>
        <v>AUSGEWOGEN</v>
      </c>
      <c r="E13" s="19" t="s">
        <v>31</v>
      </c>
    </row>
    <row r="16" spans="1:22" ht="15">
      <c r="A16" s="23" t="s">
        <v>36</v>
      </c>
      <c r="B16" s="23" t="s">
        <v>37</v>
      </c>
      <c r="C16" s="23"/>
      <c r="D16" s="23"/>
      <c r="E16" s="23"/>
      <c r="F16" s="23"/>
      <c r="G16" s="23"/>
      <c r="H16" s="23"/>
      <c r="I16" s="23"/>
      <c r="J16" s="23"/>
    </row>
    <row r="17" spans="1:10" ht="32.1" customHeight="1">
      <c r="A17" s="65" t="s">
        <v>38</v>
      </c>
      <c r="B17" s="65"/>
      <c r="C17" s="65"/>
      <c r="D17" s="65"/>
      <c r="E17" s="65"/>
      <c r="F17" s="65"/>
      <c r="G17" s="65"/>
      <c r="H17" s="65"/>
      <c r="I17" s="65"/>
      <c r="J17" s="65"/>
    </row>
    <row r="18" spans="1:10" ht="32.1" customHeight="1">
      <c r="A18" s="65" t="s">
        <v>39</v>
      </c>
      <c r="B18" s="65"/>
      <c r="C18" s="65"/>
      <c r="D18" s="65"/>
      <c r="E18" s="65"/>
      <c r="F18" s="65"/>
      <c r="G18" s="65"/>
      <c r="H18" s="65"/>
      <c r="I18" s="65"/>
      <c r="J18" s="65"/>
    </row>
    <row r="19" spans="1:10" ht="32.1" customHeight="1">
      <c r="A19" s="65" t="s">
        <v>40</v>
      </c>
      <c r="B19" s="65"/>
      <c r="C19" s="65"/>
      <c r="D19" s="65"/>
      <c r="E19" s="65"/>
      <c r="F19" s="65"/>
      <c r="G19" s="65"/>
      <c r="H19" s="65"/>
      <c r="I19" s="65"/>
      <c r="J19" s="65"/>
    </row>
  </sheetData>
  <mergeCells count="5">
    <mergeCell ref="A17:J17"/>
    <mergeCell ref="A18:J18"/>
    <mergeCell ref="A19:J19"/>
    <mergeCell ref="A1:V1"/>
    <mergeCell ref="A2:V2"/>
  </mergeCells>
  <conditionalFormatting sqref="D9:D13">
    <cfRule type="containsText" dxfId="42" priority="1" operator="containsText" text="AUSGEWOGEN"/>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2"/>
  <sheetViews>
    <sheetView showGridLines="0" workbookViewId="0">
      <selection sqref="A1:H1"/>
    </sheetView>
  </sheetViews>
  <sheetFormatPr baseColWidth="10" defaultColWidth="9" defaultRowHeight="14.25"/>
  <cols>
    <col min="1" max="1" width="22" customWidth="1"/>
    <col min="2" max="2" width="24" customWidth="1"/>
    <col min="3" max="4" width="10" customWidth="1"/>
    <col min="5" max="5" width="14" customWidth="1"/>
    <col min="6" max="6" width="35" customWidth="1"/>
    <col min="7" max="7" width="12" customWidth="1"/>
    <col min="8" max="8" width="55" customWidth="1"/>
  </cols>
  <sheetData>
    <row r="1" spans="1:8" ht="30" customHeight="1">
      <c r="A1" s="69" t="s">
        <v>41</v>
      </c>
      <c r="B1" s="69"/>
      <c r="C1" s="69"/>
      <c r="D1" s="69"/>
      <c r="E1" s="69"/>
      <c r="F1" s="69"/>
      <c r="G1" s="69"/>
      <c r="H1" s="69"/>
    </row>
    <row r="2" spans="1:8" ht="32.1" customHeight="1">
      <c r="A2" s="70" t="s">
        <v>42</v>
      </c>
      <c r="B2" s="70"/>
      <c r="C2" s="70"/>
      <c r="D2" s="70"/>
      <c r="E2" s="70"/>
      <c r="F2" s="70"/>
      <c r="G2" s="70"/>
      <c r="H2" s="70"/>
    </row>
    <row r="3" spans="1:8">
      <c r="A3" s="24"/>
      <c r="B3" s="24"/>
      <c r="C3" s="24"/>
      <c r="D3" s="24"/>
      <c r="E3" s="24"/>
      <c r="F3" s="24"/>
      <c r="G3" s="24"/>
      <c r="H3" s="24"/>
    </row>
    <row r="4" spans="1:8">
      <c r="A4" s="25" t="s">
        <v>43</v>
      </c>
      <c r="B4" s="25" t="s">
        <v>44</v>
      </c>
      <c r="C4" s="25" t="s">
        <v>45</v>
      </c>
      <c r="D4" s="25" t="s">
        <v>46</v>
      </c>
      <c r="E4" s="25" t="s">
        <v>47</v>
      </c>
      <c r="F4" s="25" t="s">
        <v>48</v>
      </c>
      <c r="G4" s="25" t="s">
        <v>49</v>
      </c>
      <c r="H4" s="25" t="s">
        <v>28</v>
      </c>
    </row>
    <row r="5" spans="1:8" ht="24" customHeight="1">
      <c r="A5" s="4" t="s">
        <v>25</v>
      </c>
      <c r="B5" s="4" t="s">
        <v>3</v>
      </c>
      <c r="C5" s="4">
        <v>16</v>
      </c>
      <c r="D5" s="4">
        <f>COUNTIF(Questgruppen!$C$5:$C$30,"DAY_1")</f>
        <v>16</v>
      </c>
      <c r="E5" s="4" t="str">
        <f t="shared" ref="E5:E22" si="0">IF(C5=D5,"OK","PRUEFEN")</f>
        <v>OK</v>
      </c>
      <c r="F5" s="4" t="s">
        <v>50</v>
      </c>
      <c r="G5" s="4">
        <f t="shared" ref="G5:G22" si="1">D5-C5</f>
        <v>0</v>
      </c>
      <c r="H5" s="4"/>
    </row>
    <row r="6" spans="1:8" ht="24" customHeight="1">
      <c r="A6" s="5" t="s">
        <v>25</v>
      </c>
      <c r="B6" s="5" t="s">
        <v>4</v>
      </c>
      <c r="C6" s="5">
        <v>10</v>
      </c>
      <c r="D6" s="5">
        <f>COUNTIF(Questgruppen!$C$5:$C$30,"DAY_2")</f>
        <v>10</v>
      </c>
      <c r="E6" s="5" t="str">
        <f t="shared" si="0"/>
        <v>OK</v>
      </c>
      <c r="F6" s="5" t="s">
        <v>50</v>
      </c>
      <c r="G6" s="5">
        <f t="shared" si="1"/>
        <v>0</v>
      </c>
      <c r="H6" s="5" t="s">
        <v>51</v>
      </c>
    </row>
    <row r="7" spans="1:8" ht="24" customHeight="1">
      <c r="A7" s="5" t="s">
        <v>52</v>
      </c>
      <c r="B7" s="5" t="s">
        <v>53</v>
      </c>
      <c r="C7" s="5">
        <v>8</v>
      </c>
      <c r="D7" s="5">
        <f>COUNTIF(Questgruppen!$G$5:$G$30,"5–15")</f>
        <v>8</v>
      </c>
      <c r="E7" s="5" t="str">
        <f t="shared" si="0"/>
        <v>OK</v>
      </c>
      <c r="F7" s="5" t="s">
        <v>54</v>
      </c>
      <c r="G7" s="5">
        <f t="shared" si="1"/>
        <v>0</v>
      </c>
      <c r="H7" s="5" t="s">
        <v>55</v>
      </c>
    </row>
    <row r="8" spans="1:8" ht="24" customHeight="1">
      <c r="A8" s="5" t="s">
        <v>52</v>
      </c>
      <c r="B8" s="5" t="s">
        <v>56</v>
      </c>
      <c r="C8" s="5">
        <v>8</v>
      </c>
      <c r="D8" s="5">
        <f>COUNTIF(Questgruppen!$G$5:$G$30,"15–25")</f>
        <v>8</v>
      </c>
      <c r="E8" s="5" t="str">
        <f t="shared" si="0"/>
        <v>OK</v>
      </c>
      <c r="F8" s="5" t="s">
        <v>57</v>
      </c>
      <c r="G8" s="5">
        <f t="shared" si="1"/>
        <v>0</v>
      </c>
      <c r="H8" s="5" t="s">
        <v>58</v>
      </c>
    </row>
    <row r="9" spans="1:8" ht="24" customHeight="1">
      <c r="A9" s="5" t="s">
        <v>52</v>
      </c>
      <c r="B9" s="5" t="s">
        <v>59</v>
      </c>
      <c r="C9" s="5">
        <v>7</v>
      </c>
      <c r="D9" s="5">
        <f>COUNTIF(Questgruppen!$G$5:$G$30,"25–35")</f>
        <v>7</v>
      </c>
      <c r="E9" s="5" t="str">
        <f t="shared" si="0"/>
        <v>OK</v>
      </c>
      <c r="F9" s="5" t="s">
        <v>60</v>
      </c>
      <c r="G9" s="5">
        <f t="shared" si="1"/>
        <v>0</v>
      </c>
      <c r="H9" s="5"/>
    </row>
    <row r="10" spans="1:8" ht="24" customHeight="1">
      <c r="A10" s="5" t="s">
        <v>52</v>
      </c>
      <c r="B10" s="5" t="s">
        <v>61</v>
      </c>
      <c r="C10" s="5">
        <v>3</v>
      </c>
      <c r="D10" s="5">
        <f>COUNTIF(Questgruppen!$G$5:$G$30,"35–45")</f>
        <v>3</v>
      </c>
      <c r="E10" s="5" t="str">
        <f t="shared" si="0"/>
        <v>OK</v>
      </c>
      <c r="F10" s="5" t="s">
        <v>62</v>
      </c>
      <c r="G10" s="5">
        <f t="shared" si="1"/>
        <v>0</v>
      </c>
      <c r="H10" s="5"/>
    </row>
    <row r="11" spans="1:8" ht="24" customHeight="1">
      <c r="A11" s="5" t="s">
        <v>63</v>
      </c>
      <c r="B11" s="5" t="s">
        <v>64</v>
      </c>
      <c r="C11" s="5">
        <v>6</v>
      </c>
      <c r="D11" s="5">
        <f>COUNTIF(Questgruppen!$F$5:$F$30,1)</f>
        <v>6</v>
      </c>
      <c r="E11" s="5" t="str">
        <f t="shared" si="0"/>
        <v>OK</v>
      </c>
      <c r="F11" s="5" t="s">
        <v>65</v>
      </c>
      <c r="G11" s="5">
        <f t="shared" si="1"/>
        <v>0</v>
      </c>
      <c r="H11" s="5" t="s">
        <v>66</v>
      </c>
    </row>
    <row r="12" spans="1:8" ht="24" customHeight="1">
      <c r="A12" s="5" t="s">
        <v>63</v>
      </c>
      <c r="B12" s="5" t="s">
        <v>67</v>
      </c>
      <c r="C12" s="5">
        <v>20</v>
      </c>
      <c r="D12" s="5">
        <f>COUNTIFS(Questgruppen!$F$5:$F$30,"&gt;=2",Questgruppen!$F$5:$F$30,"&lt;=5")</f>
        <v>20</v>
      </c>
      <c r="E12" s="5" t="str">
        <f t="shared" si="0"/>
        <v>OK</v>
      </c>
      <c r="F12" s="5" t="s">
        <v>68</v>
      </c>
      <c r="G12" s="5">
        <f t="shared" si="1"/>
        <v>0</v>
      </c>
      <c r="H12" s="5"/>
    </row>
    <row r="13" spans="1:8" ht="24" customHeight="1">
      <c r="A13" s="5" t="s">
        <v>5</v>
      </c>
      <c r="B13" s="5" t="s">
        <v>69</v>
      </c>
      <c r="C13" s="5">
        <v>3</v>
      </c>
      <c r="D13" s="5">
        <f>COUNTIFS(Sonderquests!$C$5:$C$18,"MEDIA_LOCAL",Sonderquests!$D$5:$D$18,"DAY_1")</f>
        <v>3</v>
      </c>
      <c r="E13" s="5" t="str">
        <f t="shared" si="0"/>
        <v>OK</v>
      </c>
      <c r="F13" s="5" t="s">
        <v>70</v>
      </c>
      <c r="G13" s="5">
        <f t="shared" si="1"/>
        <v>0</v>
      </c>
      <c r="H13" s="5"/>
    </row>
    <row r="14" spans="1:8" ht="24" customHeight="1">
      <c r="A14" s="5" t="s">
        <v>5</v>
      </c>
      <c r="B14" s="5" t="s">
        <v>71</v>
      </c>
      <c r="C14" s="5">
        <v>3</v>
      </c>
      <c r="D14" s="5">
        <f>COUNTIFS(Sonderquests!$C$5:$C$18,"MEDIA_LOCAL",Sonderquests!$D$5:$D$18,"DAY_2")</f>
        <v>3</v>
      </c>
      <c r="E14" s="5" t="str">
        <f t="shared" si="0"/>
        <v>OK</v>
      </c>
      <c r="F14" s="5" t="s">
        <v>70</v>
      </c>
      <c r="G14" s="5">
        <f t="shared" si="1"/>
        <v>0</v>
      </c>
      <c r="H14" s="5"/>
    </row>
    <row r="15" spans="1:8" ht="24" customHeight="1">
      <c r="A15" s="5" t="s">
        <v>72</v>
      </c>
      <c r="B15" s="5" t="s">
        <v>73</v>
      </c>
      <c r="C15" s="5">
        <v>1</v>
      </c>
      <c r="D15" s="5">
        <f>COUNTIF(Sonderquests!$C$5:$C$18,"MEDIA_LANGZEIT")</f>
        <v>1</v>
      </c>
      <c r="E15" s="5" t="str">
        <f t="shared" si="0"/>
        <v>OK</v>
      </c>
      <c r="F15" s="5" t="s">
        <v>74</v>
      </c>
      <c r="G15" s="5">
        <f t="shared" si="1"/>
        <v>0</v>
      </c>
      <c r="H15" s="5"/>
    </row>
    <row r="16" spans="1:8" ht="24" customHeight="1">
      <c r="A16" s="5" t="s">
        <v>6</v>
      </c>
      <c r="B16" s="5" t="s">
        <v>75</v>
      </c>
      <c r="C16" s="5">
        <v>5</v>
      </c>
      <c r="D16" s="5">
        <f>COUNTIF(Sonderquests!$C$5:$C$18,"HIDDEN")</f>
        <v>5</v>
      </c>
      <c r="E16" s="5" t="str">
        <f t="shared" si="0"/>
        <v>OK</v>
      </c>
      <c r="F16" s="5" t="s">
        <v>76</v>
      </c>
      <c r="G16" s="5">
        <f t="shared" si="1"/>
        <v>0</v>
      </c>
      <c r="H16" s="5" t="s">
        <v>77</v>
      </c>
    </row>
    <row r="17" spans="1:8" ht="24" customHeight="1">
      <c r="A17" s="5" t="s">
        <v>78</v>
      </c>
      <c r="B17" s="5" t="s">
        <v>79</v>
      </c>
      <c r="C17" s="5">
        <v>2</v>
      </c>
      <c r="D17" s="5">
        <f>COUNTIF(Sonderquests!$C$5:$C$18,"WORLD_BOSS")</f>
        <v>2</v>
      </c>
      <c r="E17" s="5" t="str">
        <f t="shared" si="0"/>
        <v>OK</v>
      </c>
      <c r="F17" s="5" t="s">
        <v>76</v>
      </c>
      <c r="G17" s="5">
        <f t="shared" si="1"/>
        <v>0</v>
      </c>
      <c r="H17" s="5" t="s">
        <v>80</v>
      </c>
    </row>
    <row r="18" spans="1:8" ht="24" customHeight="1">
      <c r="A18" s="5" t="s">
        <v>81</v>
      </c>
      <c r="B18" s="5" t="s">
        <v>82</v>
      </c>
      <c r="C18" s="5">
        <v>4</v>
      </c>
      <c r="D18" s="5">
        <f>COUNTIF(Questgruppen!$M$5:$M$30,"SWISS_GUARD")+COUNTIF(Questgruppen!$M$5:$M$30,"CONDOTTIERE")+COUNTIF(Questgruppen!$M$5:$M$30,"SCULPTOR")+COUNTIF(Questgruppen!$M$5:$M$30,"CLERIC")</f>
        <v>4</v>
      </c>
      <c r="E18" s="5" t="str">
        <f t="shared" si="0"/>
        <v>OK</v>
      </c>
      <c r="F18" s="5" t="s">
        <v>83</v>
      </c>
      <c r="G18" s="5">
        <f t="shared" si="1"/>
        <v>0</v>
      </c>
      <c r="H18" s="5" t="s">
        <v>84</v>
      </c>
    </row>
    <row r="19" spans="1:8" ht="24" customHeight="1">
      <c r="A19" s="5" t="s">
        <v>85</v>
      </c>
      <c r="B19" s="5" t="s">
        <v>86</v>
      </c>
      <c r="C19" s="5">
        <v>0</v>
      </c>
      <c r="D19" s="5">
        <f>SUM(Questgruppen!$V$5:$V$30)</f>
        <v>0</v>
      </c>
      <c r="E19" s="5" t="str">
        <f t="shared" si="0"/>
        <v>OK</v>
      </c>
      <c r="F19" s="5" t="s">
        <v>87</v>
      </c>
      <c r="G19" s="5">
        <f t="shared" si="1"/>
        <v>0</v>
      </c>
      <c r="H19" s="5"/>
    </row>
    <row r="20" spans="1:8" ht="24" customHeight="1">
      <c r="A20" s="6" t="s">
        <v>52</v>
      </c>
      <c r="B20" s="6" t="s">
        <v>88</v>
      </c>
      <c r="C20" s="6">
        <v>26</v>
      </c>
      <c r="D20" s="6">
        <f>COUNTIF(Questgruppen!$S$5:$S$30,"OK")</f>
        <v>26</v>
      </c>
      <c r="E20" s="6" t="str">
        <f t="shared" si="0"/>
        <v>OK</v>
      </c>
      <c r="F20" s="6" t="s">
        <v>89</v>
      </c>
      <c r="G20" s="6">
        <f t="shared" si="1"/>
        <v>0</v>
      </c>
      <c r="H20" s="6" t="s">
        <v>90</v>
      </c>
    </row>
    <row r="21" spans="1:8">
      <c r="A21" s="28" t="s">
        <v>12</v>
      </c>
      <c r="B21" s="28" t="s">
        <v>3</v>
      </c>
      <c r="C21" s="28">
        <v>8</v>
      </c>
      <c r="D21" s="28">
        <f>COUNTIF('Unique Gegner'!$D$5:$D$16,"DAY_1")</f>
        <v>8</v>
      </c>
      <c r="E21" s="28" t="str">
        <f t="shared" si="0"/>
        <v>OK</v>
      </c>
      <c r="F21" s="28" t="s">
        <v>91</v>
      </c>
      <c r="G21" s="28">
        <f t="shared" si="1"/>
        <v>0</v>
      </c>
      <c r="H21" s="28" t="s">
        <v>92</v>
      </c>
    </row>
    <row r="22" spans="1:8">
      <c r="A22" s="29" t="s">
        <v>12</v>
      </c>
      <c r="B22" s="29" t="s">
        <v>4</v>
      </c>
      <c r="C22" s="29">
        <v>4</v>
      </c>
      <c r="D22" s="29">
        <f>COUNTIF('Unique Gegner'!$D$5:$D$16,"DAY_2")</f>
        <v>4</v>
      </c>
      <c r="E22" s="29" t="str">
        <f t="shared" si="0"/>
        <v>OK</v>
      </c>
      <c r="F22" s="29" t="s">
        <v>91</v>
      </c>
      <c r="G22" s="29">
        <f t="shared" si="1"/>
        <v>0</v>
      </c>
      <c r="H22" s="29" t="s">
        <v>93</v>
      </c>
    </row>
  </sheetData>
  <mergeCells count="2">
    <mergeCell ref="A1:H1"/>
    <mergeCell ref="A2:H2"/>
  </mergeCells>
  <conditionalFormatting sqref="E5:E20">
    <cfRule type="containsText" dxfId="41" priority="1" operator="containsText" text="OK"/>
    <cfRule type="containsText" dxfId="40" priority="2" operator="containsText" text="PRUEFEN"/>
  </conditionalFormatting>
  <conditionalFormatting sqref="E21:E22">
    <cfRule type="containsText" dxfId="39" priority="3" operator="containsText" text="OK"/>
    <cfRule type="containsText" dxfId="38" priority="4" operator="containsText" text="PRUEFEN"/>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0"/>
  <sheetViews>
    <sheetView showGridLines="0" workbookViewId="0">
      <selection sqref="A1:AC1"/>
    </sheetView>
  </sheetViews>
  <sheetFormatPr baseColWidth="10" defaultColWidth="9" defaultRowHeight="14.25"/>
  <cols>
    <col min="1" max="1" width="7" customWidth="1"/>
    <col min="2" max="2" width="12" customWidth="1"/>
    <col min="3" max="3" width="10" customWidth="1"/>
    <col min="4" max="4" width="28" customWidth="1"/>
    <col min="5" max="5" width="60" customWidth="1"/>
    <col min="6" max="6" width="8" customWidth="1"/>
    <col min="7" max="7" width="12" customWidth="1"/>
    <col min="8" max="9" width="8" customWidth="1"/>
    <col min="10" max="10" width="24" customWidth="1"/>
    <col min="11" max="11" width="28" customWidth="1"/>
    <col min="12" max="12" width="24" customWidth="1"/>
    <col min="13" max="13" width="18" customWidth="1"/>
    <col min="14" max="14" width="28" customWidth="1"/>
    <col min="15" max="15" width="15" customWidth="1"/>
    <col min="16" max="16" width="14" customWidth="1"/>
    <col min="17" max="17" width="18" customWidth="1"/>
    <col min="18" max="18" width="15" customWidth="1"/>
    <col min="19" max="19" width="13" customWidth="1"/>
    <col min="20" max="22" width="8" customWidth="1"/>
    <col min="23" max="26" width="10" customWidth="1"/>
    <col min="27" max="27" width="12" customWidth="1"/>
    <col min="28" max="28" width="13" customWidth="1"/>
    <col min="29" max="29" width="18" customWidth="1"/>
    <col min="30" max="30" width="50" customWidth="1"/>
    <col min="31" max="31" width="52" customWidth="1"/>
  </cols>
  <sheetData>
    <row r="1" spans="1:31" ht="30" customHeight="1">
      <c r="A1" s="69" t="s">
        <v>94</v>
      </c>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24"/>
      <c r="AE1" s="24"/>
    </row>
    <row r="2" spans="1:31" ht="32.1" customHeight="1">
      <c r="A2" s="70" t="s">
        <v>95</v>
      </c>
      <c r="B2" s="70"/>
      <c r="C2" s="70"/>
      <c r="D2" s="70"/>
      <c r="E2" s="70"/>
      <c r="F2" s="70"/>
      <c r="G2" s="70"/>
      <c r="H2" s="70"/>
      <c r="I2" s="70"/>
      <c r="J2" s="70"/>
      <c r="K2" s="70"/>
      <c r="L2" s="70"/>
      <c r="M2" s="70"/>
      <c r="N2" s="70"/>
      <c r="O2" s="70"/>
      <c r="P2" s="70"/>
      <c r="Q2" s="70"/>
      <c r="R2" s="70"/>
      <c r="S2" s="70"/>
      <c r="T2" s="70"/>
      <c r="U2" s="70"/>
      <c r="V2" s="70"/>
      <c r="W2" s="70"/>
      <c r="X2" s="70"/>
      <c r="Y2" s="70"/>
      <c r="Z2" s="70"/>
      <c r="AA2" s="70"/>
      <c r="AB2" s="70"/>
      <c r="AC2" s="70"/>
      <c r="AD2" s="24"/>
      <c r="AE2" s="24"/>
    </row>
    <row r="3" spans="1:31">
      <c r="A3" s="24"/>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row>
    <row r="4" spans="1:31">
      <c r="A4" s="25" t="s">
        <v>96</v>
      </c>
      <c r="B4" s="25" t="s">
        <v>97</v>
      </c>
      <c r="C4" s="25" t="s">
        <v>98</v>
      </c>
      <c r="D4" s="25" t="s">
        <v>99</v>
      </c>
      <c r="E4" s="25" t="s">
        <v>100</v>
      </c>
      <c r="F4" s="25" t="s">
        <v>101</v>
      </c>
      <c r="G4" s="25" t="s">
        <v>102</v>
      </c>
      <c r="H4" s="25" t="s">
        <v>103</v>
      </c>
      <c r="I4" s="25" t="s">
        <v>104</v>
      </c>
      <c r="J4" s="25" t="s">
        <v>24</v>
      </c>
      <c r="K4" s="25" t="s">
        <v>105</v>
      </c>
      <c r="L4" s="25" t="s">
        <v>106</v>
      </c>
      <c r="M4" s="25" t="s">
        <v>107</v>
      </c>
      <c r="N4" s="25" t="s">
        <v>108</v>
      </c>
      <c r="O4" s="25" t="s">
        <v>109</v>
      </c>
      <c r="P4" s="25" t="s">
        <v>110</v>
      </c>
      <c r="Q4" s="25" t="s">
        <v>111</v>
      </c>
      <c r="R4" s="25" t="s">
        <v>112</v>
      </c>
      <c r="S4" s="25" t="s">
        <v>113</v>
      </c>
      <c r="T4" s="25" t="s">
        <v>114</v>
      </c>
      <c r="U4" s="25" t="s">
        <v>115</v>
      </c>
      <c r="V4" s="25" t="s">
        <v>116</v>
      </c>
      <c r="W4" s="25" t="s">
        <v>117</v>
      </c>
      <c r="X4" s="25" t="s">
        <v>118</v>
      </c>
      <c r="Y4" s="25" t="s">
        <v>119</v>
      </c>
      <c r="Z4" s="25" t="s">
        <v>120</v>
      </c>
      <c r="AA4" s="25" t="s">
        <v>121</v>
      </c>
      <c r="AB4" s="25" t="s">
        <v>122</v>
      </c>
      <c r="AC4" s="25" t="s">
        <v>123</v>
      </c>
      <c r="AD4" s="25" t="s">
        <v>124</v>
      </c>
      <c r="AE4" s="25" t="s">
        <v>125</v>
      </c>
    </row>
    <row r="5" spans="1:31" ht="42" customHeight="1">
      <c r="A5" s="4">
        <v>1</v>
      </c>
      <c r="B5" s="4" t="s">
        <v>126</v>
      </c>
      <c r="C5" s="4" t="s">
        <v>127</v>
      </c>
      <c r="D5" s="4" t="s">
        <v>128</v>
      </c>
      <c r="E5" s="4" t="s">
        <v>129</v>
      </c>
      <c r="F5" s="4">
        <f>COUNTIF(Ortszuordnung!$A$5:$A$85,B5)</f>
        <v>3</v>
      </c>
      <c r="G5" s="4" t="s">
        <v>59</v>
      </c>
      <c r="H5" s="4">
        <v>25</v>
      </c>
      <c r="I5" s="4">
        <v>35</v>
      </c>
      <c r="J5" s="4" t="s">
        <v>34</v>
      </c>
      <c r="K5" s="4" t="s">
        <v>130</v>
      </c>
      <c r="L5" s="4" t="s">
        <v>131</v>
      </c>
      <c r="M5" s="4" t="s">
        <v>132</v>
      </c>
      <c r="N5" s="4" t="s">
        <v>133</v>
      </c>
      <c r="O5" s="4">
        <f>SUMIF(Ortszuordnung!$A$5:$A$85,B5,Ortszuordnung!$S$5:$S$85)</f>
        <v>1015</v>
      </c>
      <c r="P5" s="4">
        <f>ROUND(O5/Kriterien!$B$5,0)</f>
        <v>14</v>
      </c>
      <c r="Q5" s="4">
        <v>18</v>
      </c>
      <c r="R5" s="4">
        <f t="shared" ref="R5:R30" si="0">P5+Q5</f>
        <v>32</v>
      </c>
      <c r="S5" s="4" t="str">
        <f t="shared" ref="S5:S30" si="1">IF(AND(R5&gt;=H5,R5&lt;=I5),"OK",IF(R5&lt;H5,"ZU_KURZ","ZU_LANG"))</f>
        <v>OK</v>
      </c>
      <c r="T5" s="4">
        <f>COUNTIFS(Ortszuordnung!$A$5:$A$85,B5,Ortszuordnung!$K$5:$K$85,"GRUEN")</f>
        <v>2</v>
      </c>
      <c r="U5" s="4">
        <f>COUNTIFS(Ortszuordnung!$A$5:$A$85,B5,Ortszuordnung!$K$5:$K$85,"GELB")</f>
        <v>1</v>
      </c>
      <c r="V5" s="4">
        <f>COUNTIFS(Ortszuordnung!$A$5:$A$85,B5,Ortszuordnung!$K$5:$K$85,"ROT")</f>
        <v>0</v>
      </c>
      <c r="W5" s="13">
        <v>4.2</v>
      </c>
      <c r="X5" s="13">
        <v>5</v>
      </c>
      <c r="Y5" s="13">
        <v>3.8</v>
      </c>
      <c r="Z5" s="13">
        <v>3.4</v>
      </c>
      <c r="AA5" s="13">
        <v>4.8</v>
      </c>
      <c r="AB5" s="13">
        <f>ROUND(W5*Kriterien!$B$7+X5*Kriterien!$B$8+Y5*Kriterien!$B$9+Z5*Kriterien!$B$10+AA5*Kriterien!$B$11,1)</f>
        <v>4.3</v>
      </c>
      <c r="AC5" s="4" t="str">
        <f t="shared" ref="AC5:AC30" si="2">IF(V5&gt;0,"NICHT_EMPFOHLEN",IF(AB5&gt;=4.2,"SEHR_GUT",IF(AB5&gt;=3.6,"GUT",IF(AB5&gt;=3,"BEDINGT","NICHT_EMPFOHLEN"))))</f>
        <v>SEHR_GUT</v>
      </c>
      <c r="AD5" s="4" t="s">
        <v>134</v>
      </c>
      <c r="AE5" s="4" t="s">
        <v>135</v>
      </c>
    </row>
    <row r="6" spans="1:31" ht="42" customHeight="1">
      <c r="A6" s="5">
        <v>2</v>
      </c>
      <c r="B6" s="5" t="s">
        <v>136</v>
      </c>
      <c r="C6" s="5" t="s">
        <v>127</v>
      </c>
      <c r="D6" s="5" t="s">
        <v>137</v>
      </c>
      <c r="E6" s="5" t="s">
        <v>138</v>
      </c>
      <c r="F6" s="5">
        <f>COUNTIF(Ortszuordnung!$A$5:$A$85,B6)</f>
        <v>3</v>
      </c>
      <c r="G6" s="5" t="s">
        <v>59</v>
      </c>
      <c r="H6" s="5">
        <v>25</v>
      </c>
      <c r="I6" s="5">
        <v>35</v>
      </c>
      <c r="J6" s="5" t="s">
        <v>35</v>
      </c>
      <c r="K6" s="5" t="s">
        <v>139</v>
      </c>
      <c r="L6" s="5" t="s">
        <v>131</v>
      </c>
      <c r="M6" s="5" t="s">
        <v>140</v>
      </c>
      <c r="N6" s="5" t="s">
        <v>141</v>
      </c>
      <c r="O6" s="5">
        <f>SUMIF(Ortszuordnung!$A$5:$A$85,B6,Ortszuordnung!$S$5:$S$85)</f>
        <v>970</v>
      </c>
      <c r="P6" s="5">
        <f>ROUND(O6/Kriterien!$B$5,0)</f>
        <v>13</v>
      </c>
      <c r="Q6" s="5">
        <v>18</v>
      </c>
      <c r="R6" s="5">
        <f t="shared" si="0"/>
        <v>31</v>
      </c>
      <c r="S6" s="5" t="str">
        <f t="shared" si="1"/>
        <v>OK</v>
      </c>
      <c r="T6" s="5">
        <f>COUNTIFS(Ortszuordnung!$A$5:$A$85,B6,Ortszuordnung!$K$5:$K$85,"GRUEN")</f>
        <v>1</v>
      </c>
      <c r="U6" s="5">
        <f>COUNTIFS(Ortszuordnung!$A$5:$A$85,B6,Ortszuordnung!$K$5:$K$85,"GELB")</f>
        <v>2</v>
      </c>
      <c r="V6" s="5">
        <f>COUNTIFS(Ortszuordnung!$A$5:$A$85,B6,Ortszuordnung!$K$5:$K$85,"ROT")</f>
        <v>0</v>
      </c>
      <c r="W6" s="14">
        <v>3.8</v>
      </c>
      <c r="X6" s="14">
        <v>4.5999999999999996</v>
      </c>
      <c r="Y6" s="14">
        <v>3.2</v>
      </c>
      <c r="Z6" s="14">
        <v>3.3</v>
      </c>
      <c r="AA6" s="14">
        <v>4.7</v>
      </c>
      <c r="AB6" s="14">
        <f>ROUND(W6*Kriterien!$B$7+X6*Kriterien!$B$8+Y6*Kriterien!$B$9+Z6*Kriterien!$B$10+AA6*Kriterien!$B$11,1)</f>
        <v>3.9</v>
      </c>
      <c r="AC6" s="5" t="str">
        <f t="shared" si="2"/>
        <v>GUT</v>
      </c>
      <c r="AD6" s="5" t="s">
        <v>142</v>
      </c>
      <c r="AE6" s="5" t="s">
        <v>143</v>
      </c>
    </row>
    <row r="7" spans="1:31" ht="42" customHeight="1">
      <c r="A7" s="5">
        <v>3</v>
      </c>
      <c r="B7" s="5" t="s">
        <v>144</v>
      </c>
      <c r="C7" s="5" t="s">
        <v>127</v>
      </c>
      <c r="D7" s="5" t="s">
        <v>145</v>
      </c>
      <c r="E7" s="5" t="s">
        <v>146</v>
      </c>
      <c r="F7" s="5">
        <f>COUNTIF(Ortszuordnung!$A$5:$A$85,B7)</f>
        <v>3</v>
      </c>
      <c r="G7" s="5" t="s">
        <v>56</v>
      </c>
      <c r="H7" s="5">
        <v>15</v>
      </c>
      <c r="I7" s="5">
        <v>25</v>
      </c>
      <c r="J7" s="5" t="s">
        <v>29</v>
      </c>
      <c r="K7" s="5" t="s">
        <v>147</v>
      </c>
      <c r="L7" s="5" t="s">
        <v>148</v>
      </c>
      <c r="M7" s="5"/>
      <c r="N7" s="5"/>
      <c r="O7" s="5">
        <f>SUMIF(Ortszuordnung!$A$5:$A$85,B7,Ortszuordnung!$S$5:$S$85)</f>
        <v>125</v>
      </c>
      <c r="P7" s="5">
        <f>ROUND(O7/Kriterien!$B$5,0)</f>
        <v>2</v>
      </c>
      <c r="Q7" s="5">
        <v>15</v>
      </c>
      <c r="R7" s="5">
        <f t="shared" si="0"/>
        <v>17</v>
      </c>
      <c r="S7" s="5" t="str">
        <f t="shared" si="1"/>
        <v>OK</v>
      </c>
      <c r="T7" s="5">
        <f>COUNTIFS(Ortszuordnung!$A$5:$A$85,B7,Ortszuordnung!$K$5:$K$85,"GRUEN")</f>
        <v>3</v>
      </c>
      <c r="U7" s="5">
        <f>COUNTIFS(Ortszuordnung!$A$5:$A$85,B7,Ortszuordnung!$K$5:$K$85,"GELB")</f>
        <v>0</v>
      </c>
      <c r="V7" s="5">
        <f>COUNTIFS(Ortszuordnung!$A$5:$A$85,B7,Ortszuordnung!$K$5:$K$85,"ROT")</f>
        <v>0</v>
      </c>
      <c r="W7" s="14">
        <v>5</v>
      </c>
      <c r="X7" s="14">
        <v>4.5</v>
      </c>
      <c r="Y7" s="14">
        <v>4.8</v>
      </c>
      <c r="Z7" s="14">
        <v>4.2</v>
      </c>
      <c r="AA7" s="14">
        <v>4.8</v>
      </c>
      <c r="AB7" s="14">
        <f>ROUND(W7*Kriterien!$B$7+X7*Kriterien!$B$8+Y7*Kriterien!$B$9+Z7*Kriterien!$B$10+AA7*Kriterien!$B$11,1)</f>
        <v>4.7</v>
      </c>
      <c r="AC7" s="5" t="str">
        <f t="shared" si="2"/>
        <v>SEHR_GUT</v>
      </c>
      <c r="AD7" s="5" t="s">
        <v>149</v>
      </c>
      <c r="AE7" s="5" t="s">
        <v>150</v>
      </c>
    </row>
    <row r="8" spans="1:31" ht="42" customHeight="1">
      <c r="A8" s="5">
        <v>4</v>
      </c>
      <c r="B8" s="5" t="s">
        <v>151</v>
      </c>
      <c r="C8" s="5" t="s">
        <v>127</v>
      </c>
      <c r="D8" s="5" t="s">
        <v>152</v>
      </c>
      <c r="E8" s="5" t="s">
        <v>153</v>
      </c>
      <c r="F8" s="5">
        <f>COUNTIF(Ortszuordnung!$A$5:$A$85,B8)</f>
        <v>3</v>
      </c>
      <c r="G8" s="5" t="s">
        <v>56</v>
      </c>
      <c r="H8" s="5">
        <v>15</v>
      </c>
      <c r="I8" s="5">
        <v>25</v>
      </c>
      <c r="J8" s="5" t="s">
        <v>35</v>
      </c>
      <c r="K8" s="5" t="s">
        <v>154</v>
      </c>
      <c r="L8" s="5" t="s">
        <v>155</v>
      </c>
      <c r="M8" s="5"/>
      <c r="N8" s="5" t="s">
        <v>156</v>
      </c>
      <c r="O8" s="5">
        <f>SUMIF(Ortszuordnung!$A$5:$A$85,B8,Ortszuordnung!$S$5:$S$85)</f>
        <v>347</v>
      </c>
      <c r="P8" s="5">
        <f>ROUND(O8/Kriterien!$B$5,0)</f>
        <v>5</v>
      </c>
      <c r="Q8" s="5">
        <v>15</v>
      </c>
      <c r="R8" s="5">
        <f t="shared" si="0"/>
        <v>20</v>
      </c>
      <c r="S8" s="5" t="str">
        <f t="shared" si="1"/>
        <v>OK</v>
      </c>
      <c r="T8" s="5">
        <f>COUNTIFS(Ortszuordnung!$A$5:$A$85,B8,Ortszuordnung!$K$5:$K$85,"GRUEN")</f>
        <v>3</v>
      </c>
      <c r="U8" s="5">
        <f>COUNTIFS(Ortszuordnung!$A$5:$A$85,B8,Ortszuordnung!$K$5:$K$85,"GELB")</f>
        <v>0</v>
      </c>
      <c r="V8" s="5">
        <f>COUNTIFS(Ortszuordnung!$A$5:$A$85,B8,Ortszuordnung!$K$5:$K$85,"ROT")</f>
        <v>0</v>
      </c>
      <c r="W8" s="14">
        <v>4.8</v>
      </c>
      <c r="X8" s="14">
        <v>4.5</v>
      </c>
      <c r="Y8" s="14">
        <v>4.5</v>
      </c>
      <c r="Z8" s="14">
        <v>4</v>
      </c>
      <c r="AA8" s="14">
        <v>4.7</v>
      </c>
      <c r="AB8" s="14">
        <f>ROUND(W8*Kriterien!$B$7+X8*Kriterien!$B$8+Y8*Kriterien!$B$9+Z8*Kriterien!$B$10+AA8*Kriterien!$B$11,1)</f>
        <v>4.5</v>
      </c>
      <c r="AC8" s="5" t="str">
        <f t="shared" si="2"/>
        <v>SEHR_GUT</v>
      </c>
      <c r="AD8" s="5" t="s">
        <v>157</v>
      </c>
      <c r="AE8" s="5" t="s">
        <v>158</v>
      </c>
    </row>
    <row r="9" spans="1:31" ht="42" customHeight="1">
      <c r="A9" s="5">
        <v>5</v>
      </c>
      <c r="B9" s="5" t="s">
        <v>159</v>
      </c>
      <c r="C9" s="5" t="s">
        <v>127</v>
      </c>
      <c r="D9" s="5" t="s">
        <v>160</v>
      </c>
      <c r="E9" s="5" t="s">
        <v>161</v>
      </c>
      <c r="F9" s="5">
        <f>COUNTIF(Ortszuordnung!$A$5:$A$85,B9)</f>
        <v>1</v>
      </c>
      <c r="G9" s="5" t="s">
        <v>53</v>
      </c>
      <c r="H9" s="5">
        <v>5</v>
      </c>
      <c r="I9" s="5">
        <v>15</v>
      </c>
      <c r="J9" s="5" t="s">
        <v>29</v>
      </c>
      <c r="K9" s="5" t="s">
        <v>162</v>
      </c>
      <c r="L9" s="5" t="s">
        <v>163</v>
      </c>
      <c r="M9" s="5"/>
      <c r="N9" s="5"/>
      <c r="O9" s="5">
        <f>SUMIF(Ortszuordnung!$A$5:$A$85,B9,Ortszuordnung!$S$5:$S$85)</f>
        <v>0</v>
      </c>
      <c r="P9" s="5">
        <f>ROUND(O9/Kriterien!$B$5,0)</f>
        <v>0</v>
      </c>
      <c r="Q9" s="5">
        <v>8</v>
      </c>
      <c r="R9" s="5">
        <f t="shared" si="0"/>
        <v>8</v>
      </c>
      <c r="S9" s="5" t="str">
        <f t="shared" si="1"/>
        <v>OK</v>
      </c>
      <c r="T9" s="5">
        <f>COUNTIFS(Ortszuordnung!$A$5:$A$85,B9,Ortszuordnung!$K$5:$K$85,"GRUEN")</f>
        <v>1</v>
      </c>
      <c r="U9" s="5">
        <f>COUNTIFS(Ortszuordnung!$A$5:$A$85,B9,Ortszuordnung!$K$5:$K$85,"GELB")</f>
        <v>0</v>
      </c>
      <c r="V9" s="5">
        <f>COUNTIFS(Ortszuordnung!$A$5:$A$85,B9,Ortszuordnung!$K$5:$K$85,"ROT")</f>
        <v>0</v>
      </c>
      <c r="W9" s="14">
        <v>5</v>
      </c>
      <c r="X9" s="14">
        <v>4</v>
      </c>
      <c r="Y9" s="14">
        <v>4.2</v>
      </c>
      <c r="Z9" s="14">
        <v>3</v>
      </c>
      <c r="AA9" s="14">
        <v>4.4000000000000004</v>
      </c>
      <c r="AB9" s="14">
        <f>ROUND(W9*Kriterien!$B$7+X9*Kriterien!$B$8+Y9*Kriterien!$B$9+Z9*Kriterien!$B$10+AA9*Kriterien!$B$11,1)</f>
        <v>4.2</v>
      </c>
      <c r="AC9" s="5" t="str">
        <f t="shared" si="2"/>
        <v>SEHR_GUT</v>
      </c>
      <c r="AD9" s="5" t="s">
        <v>164</v>
      </c>
      <c r="AE9" s="5" t="s">
        <v>165</v>
      </c>
    </row>
    <row r="10" spans="1:31" ht="42" customHeight="1">
      <c r="A10" s="5">
        <v>6</v>
      </c>
      <c r="B10" s="5" t="s">
        <v>166</v>
      </c>
      <c r="C10" s="5" t="s">
        <v>127</v>
      </c>
      <c r="D10" s="5" t="s">
        <v>167</v>
      </c>
      <c r="E10" s="5" t="s">
        <v>168</v>
      </c>
      <c r="F10" s="5">
        <f>COUNTIF(Ortszuordnung!$A$5:$A$85,B10)</f>
        <v>3</v>
      </c>
      <c r="G10" s="5" t="s">
        <v>56</v>
      </c>
      <c r="H10" s="5">
        <v>15</v>
      </c>
      <c r="I10" s="5">
        <v>25</v>
      </c>
      <c r="J10" s="5" t="s">
        <v>32</v>
      </c>
      <c r="K10" s="5" t="s">
        <v>169</v>
      </c>
      <c r="L10" s="5" t="s">
        <v>163</v>
      </c>
      <c r="M10" s="5" t="s">
        <v>170</v>
      </c>
      <c r="N10" s="5"/>
      <c r="O10" s="5">
        <f>SUMIF(Ortszuordnung!$A$5:$A$85,B10,Ortszuordnung!$S$5:$S$85)</f>
        <v>355</v>
      </c>
      <c r="P10" s="5">
        <f>ROUND(O10/Kriterien!$B$5,0)</f>
        <v>5</v>
      </c>
      <c r="Q10" s="5">
        <v>18</v>
      </c>
      <c r="R10" s="5">
        <f t="shared" si="0"/>
        <v>23</v>
      </c>
      <c r="S10" s="5" t="str">
        <f t="shared" si="1"/>
        <v>OK</v>
      </c>
      <c r="T10" s="5">
        <f>COUNTIFS(Ortszuordnung!$A$5:$A$85,B10,Ortszuordnung!$K$5:$K$85,"GRUEN")</f>
        <v>3</v>
      </c>
      <c r="U10" s="5">
        <f>COUNTIFS(Ortszuordnung!$A$5:$A$85,B10,Ortszuordnung!$K$5:$K$85,"GELB")</f>
        <v>0</v>
      </c>
      <c r="V10" s="5">
        <f>COUNTIFS(Ortszuordnung!$A$5:$A$85,B10,Ortszuordnung!$K$5:$K$85,"ROT")</f>
        <v>0</v>
      </c>
      <c r="W10" s="14">
        <v>5</v>
      </c>
      <c r="X10" s="14">
        <v>5</v>
      </c>
      <c r="Y10" s="14">
        <v>4.5</v>
      </c>
      <c r="Z10" s="14">
        <v>3.4</v>
      </c>
      <c r="AA10" s="14">
        <v>5</v>
      </c>
      <c r="AB10" s="14">
        <f>ROUND(W10*Kriterien!$B$7+X10*Kriterien!$B$8+Y10*Kriterien!$B$9+Z10*Kriterien!$B$10+AA10*Kriterien!$B$11,1)</f>
        <v>4.5999999999999996</v>
      </c>
      <c r="AC10" s="5" t="str">
        <f t="shared" si="2"/>
        <v>SEHR_GUT</v>
      </c>
      <c r="AD10" s="5" t="s">
        <v>171</v>
      </c>
      <c r="AE10" s="5" t="s">
        <v>172</v>
      </c>
    </row>
    <row r="11" spans="1:31" ht="42" customHeight="1">
      <c r="A11" s="5">
        <v>7</v>
      </c>
      <c r="B11" s="5" t="s">
        <v>173</v>
      </c>
      <c r="C11" s="5" t="s">
        <v>127</v>
      </c>
      <c r="D11" s="5" t="s">
        <v>174</v>
      </c>
      <c r="E11" s="5" t="s">
        <v>175</v>
      </c>
      <c r="F11" s="5">
        <f>COUNTIF(Ortszuordnung!$A$5:$A$85,B11)</f>
        <v>2</v>
      </c>
      <c r="G11" s="5" t="s">
        <v>53</v>
      </c>
      <c r="H11" s="5">
        <v>5</v>
      </c>
      <c r="I11" s="5">
        <v>15</v>
      </c>
      <c r="J11" s="5" t="s">
        <v>33</v>
      </c>
      <c r="K11" s="5" t="s">
        <v>176</v>
      </c>
      <c r="L11" s="5" t="s">
        <v>177</v>
      </c>
      <c r="M11" s="5"/>
      <c r="N11" s="5" t="s">
        <v>178</v>
      </c>
      <c r="O11" s="5">
        <f>SUMIF(Ortszuordnung!$A$5:$A$85,B11,Ortszuordnung!$S$5:$S$85)</f>
        <v>96</v>
      </c>
      <c r="P11" s="5">
        <f>ROUND(O11/Kriterien!$B$5,0)</f>
        <v>1</v>
      </c>
      <c r="Q11" s="5">
        <v>10</v>
      </c>
      <c r="R11" s="5">
        <f t="shared" si="0"/>
        <v>11</v>
      </c>
      <c r="S11" s="5" t="str">
        <f t="shared" si="1"/>
        <v>OK</v>
      </c>
      <c r="T11" s="5">
        <f>COUNTIFS(Ortszuordnung!$A$5:$A$85,B11,Ortszuordnung!$K$5:$K$85,"GRUEN")</f>
        <v>2</v>
      </c>
      <c r="U11" s="5">
        <f>COUNTIFS(Ortszuordnung!$A$5:$A$85,B11,Ortszuordnung!$K$5:$K$85,"GELB")</f>
        <v>0</v>
      </c>
      <c r="V11" s="5">
        <f>COUNTIFS(Ortszuordnung!$A$5:$A$85,B11,Ortszuordnung!$K$5:$K$85,"ROT")</f>
        <v>0</v>
      </c>
      <c r="W11" s="14">
        <v>5</v>
      </c>
      <c r="X11" s="14">
        <v>4.7</v>
      </c>
      <c r="Y11" s="14">
        <v>4.3</v>
      </c>
      <c r="Z11" s="14">
        <v>3.7</v>
      </c>
      <c r="AA11" s="14">
        <v>4.5</v>
      </c>
      <c r="AB11" s="14">
        <f>ROUND(W11*Kriterien!$B$7+X11*Kriterien!$B$8+Y11*Kriterien!$B$9+Z11*Kriterien!$B$10+AA11*Kriterien!$B$11,1)</f>
        <v>4.5</v>
      </c>
      <c r="AC11" s="5" t="str">
        <f t="shared" si="2"/>
        <v>SEHR_GUT</v>
      </c>
      <c r="AD11" s="5" t="s">
        <v>179</v>
      </c>
      <c r="AE11" s="5" t="s">
        <v>180</v>
      </c>
    </row>
    <row r="12" spans="1:31" ht="42" customHeight="1">
      <c r="A12" s="5">
        <v>8</v>
      </c>
      <c r="B12" s="5" t="s">
        <v>181</v>
      </c>
      <c r="C12" s="5" t="s">
        <v>127</v>
      </c>
      <c r="D12" s="5" t="s">
        <v>182</v>
      </c>
      <c r="E12" s="5" t="s">
        <v>183</v>
      </c>
      <c r="F12" s="5">
        <f>COUNTIF(Ortszuordnung!$A$5:$A$85,B12)</f>
        <v>2</v>
      </c>
      <c r="G12" s="5" t="s">
        <v>53</v>
      </c>
      <c r="H12" s="5">
        <v>5</v>
      </c>
      <c r="I12" s="5">
        <v>15</v>
      </c>
      <c r="J12" s="5" t="s">
        <v>32</v>
      </c>
      <c r="K12" s="5" t="s">
        <v>184</v>
      </c>
      <c r="L12" s="5" t="s">
        <v>185</v>
      </c>
      <c r="M12" s="5"/>
      <c r="N12" s="5"/>
      <c r="O12" s="5">
        <f>SUMIF(Ortszuordnung!$A$5:$A$85,B12,Ortszuordnung!$S$5:$S$85)</f>
        <v>139</v>
      </c>
      <c r="P12" s="5">
        <f>ROUND(O12/Kriterien!$B$5,0)</f>
        <v>2</v>
      </c>
      <c r="Q12" s="5">
        <v>10</v>
      </c>
      <c r="R12" s="5">
        <f t="shared" si="0"/>
        <v>12</v>
      </c>
      <c r="S12" s="5" t="str">
        <f t="shared" si="1"/>
        <v>OK</v>
      </c>
      <c r="T12" s="5">
        <f>COUNTIFS(Ortszuordnung!$A$5:$A$85,B12,Ortszuordnung!$K$5:$K$85,"GRUEN")</f>
        <v>2</v>
      </c>
      <c r="U12" s="5">
        <f>COUNTIFS(Ortszuordnung!$A$5:$A$85,B12,Ortszuordnung!$K$5:$K$85,"GELB")</f>
        <v>0</v>
      </c>
      <c r="V12" s="5">
        <f>COUNTIFS(Ortszuordnung!$A$5:$A$85,B12,Ortszuordnung!$K$5:$K$85,"ROT")</f>
        <v>0</v>
      </c>
      <c r="W12" s="14">
        <v>4.8</v>
      </c>
      <c r="X12" s="14">
        <v>4.5999999999999996</v>
      </c>
      <c r="Y12" s="14">
        <v>4.8</v>
      </c>
      <c r="Z12" s="14">
        <v>4</v>
      </c>
      <c r="AA12" s="14">
        <v>4.5</v>
      </c>
      <c r="AB12" s="14">
        <f>ROUND(W12*Kriterien!$B$7+X12*Kriterien!$B$8+Y12*Kriterien!$B$9+Z12*Kriterien!$B$10+AA12*Kriterien!$B$11,1)</f>
        <v>4.5999999999999996</v>
      </c>
      <c r="AC12" s="5" t="str">
        <f t="shared" si="2"/>
        <v>SEHR_GUT</v>
      </c>
      <c r="AD12" s="5" t="s">
        <v>186</v>
      </c>
      <c r="AE12" s="5" t="s">
        <v>187</v>
      </c>
    </row>
    <row r="13" spans="1:31" ht="42" customHeight="1">
      <c r="A13" s="5">
        <v>9</v>
      </c>
      <c r="B13" s="5" t="s">
        <v>188</v>
      </c>
      <c r="C13" s="5" t="s">
        <v>127</v>
      </c>
      <c r="D13" s="5" t="s">
        <v>189</v>
      </c>
      <c r="E13" s="5" t="s">
        <v>190</v>
      </c>
      <c r="F13" s="5">
        <f>COUNTIF(Ortszuordnung!$A$5:$A$85,B13)</f>
        <v>3</v>
      </c>
      <c r="G13" s="5" t="s">
        <v>59</v>
      </c>
      <c r="H13" s="5">
        <v>25</v>
      </c>
      <c r="I13" s="5">
        <v>35</v>
      </c>
      <c r="J13" s="5" t="s">
        <v>35</v>
      </c>
      <c r="K13" s="5" t="s">
        <v>191</v>
      </c>
      <c r="L13" s="5" t="s">
        <v>192</v>
      </c>
      <c r="M13" s="5"/>
      <c r="N13" s="5" t="s">
        <v>193</v>
      </c>
      <c r="O13" s="5">
        <f>SUMIF(Ortszuordnung!$A$5:$A$85,B13,Ortszuordnung!$S$5:$S$85)</f>
        <v>747</v>
      </c>
      <c r="P13" s="5">
        <f>ROUND(O13/Kriterien!$B$5,0)</f>
        <v>10</v>
      </c>
      <c r="Q13" s="5">
        <v>18</v>
      </c>
      <c r="R13" s="5">
        <f t="shared" si="0"/>
        <v>28</v>
      </c>
      <c r="S13" s="5" t="str">
        <f t="shared" si="1"/>
        <v>OK</v>
      </c>
      <c r="T13" s="5">
        <f>COUNTIFS(Ortszuordnung!$A$5:$A$85,B13,Ortszuordnung!$K$5:$K$85,"GRUEN")</f>
        <v>1</v>
      </c>
      <c r="U13" s="5">
        <f>COUNTIFS(Ortszuordnung!$A$5:$A$85,B13,Ortszuordnung!$K$5:$K$85,"GELB")</f>
        <v>2</v>
      </c>
      <c r="V13" s="5">
        <f>COUNTIFS(Ortszuordnung!$A$5:$A$85,B13,Ortszuordnung!$K$5:$K$85,"ROT")</f>
        <v>0</v>
      </c>
      <c r="W13" s="14">
        <v>3.7</v>
      </c>
      <c r="X13" s="14">
        <v>4.8</v>
      </c>
      <c r="Y13" s="14">
        <v>3.2</v>
      </c>
      <c r="Z13" s="14">
        <v>2.8</v>
      </c>
      <c r="AA13" s="14">
        <v>4.5999999999999996</v>
      </c>
      <c r="AB13" s="14">
        <f>ROUND(W13*Kriterien!$B$7+X13*Kriterien!$B$8+Y13*Kriterien!$B$9+Z13*Kriterien!$B$10+AA13*Kriterien!$B$11,1)</f>
        <v>3.9</v>
      </c>
      <c r="AC13" s="5" t="str">
        <f t="shared" si="2"/>
        <v>GUT</v>
      </c>
      <c r="AD13" s="5" t="s">
        <v>194</v>
      </c>
      <c r="AE13" s="5" t="s">
        <v>195</v>
      </c>
    </row>
    <row r="14" spans="1:31" ht="42" customHeight="1">
      <c r="A14" s="5">
        <v>10</v>
      </c>
      <c r="B14" s="5" t="s">
        <v>196</v>
      </c>
      <c r="C14" s="5" t="s">
        <v>127</v>
      </c>
      <c r="D14" s="5" t="s">
        <v>197</v>
      </c>
      <c r="E14" s="5" t="s">
        <v>198</v>
      </c>
      <c r="F14" s="5">
        <f>COUNTIF(Ortszuordnung!$A$5:$A$85,B14)</f>
        <v>3</v>
      </c>
      <c r="G14" s="5" t="s">
        <v>59</v>
      </c>
      <c r="H14" s="5">
        <v>25</v>
      </c>
      <c r="I14" s="5">
        <v>35</v>
      </c>
      <c r="J14" s="5" t="s">
        <v>34</v>
      </c>
      <c r="K14" s="5" t="s">
        <v>199</v>
      </c>
      <c r="L14" s="5" t="s">
        <v>200</v>
      </c>
      <c r="M14" s="5"/>
      <c r="N14" s="5" t="s">
        <v>201</v>
      </c>
      <c r="O14" s="5">
        <f>SUMIF(Ortszuordnung!$A$5:$A$85,B14,Ortszuordnung!$S$5:$S$85)</f>
        <v>534</v>
      </c>
      <c r="P14" s="5">
        <f>ROUND(O14/Kriterien!$B$5,0)</f>
        <v>7</v>
      </c>
      <c r="Q14" s="5">
        <v>22</v>
      </c>
      <c r="R14" s="5">
        <f t="shared" si="0"/>
        <v>29</v>
      </c>
      <c r="S14" s="5" t="str">
        <f t="shared" si="1"/>
        <v>OK</v>
      </c>
      <c r="T14" s="5">
        <f>COUNTIFS(Ortszuordnung!$A$5:$A$85,B14,Ortszuordnung!$K$5:$K$85,"GRUEN")</f>
        <v>2</v>
      </c>
      <c r="U14" s="5">
        <f>COUNTIFS(Ortszuordnung!$A$5:$A$85,B14,Ortszuordnung!$K$5:$K$85,"GELB")</f>
        <v>1</v>
      </c>
      <c r="V14" s="5">
        <f>COUNTIFS(Ortszuordnung!$A$5:$A$85,B14,Ortszuordnung!$K$5:$K$85,"ROT")</f>
        <v>0</v>
      </c>
      <c r="W14" s="14">
        <v>4.5</v>
      </c>
      <c r="X14" s="14">
        <v>4.5999999999999996</v>
      </c>
      <c r="Y14" s="14">
        <v>3.5</v>
      </c>
      <c r="Z14" s="14">
        <v>3.2</v>
      </c>
      <c r="AA14" s="14">
        <v>4.7</v>
      </c>
      <c r="AB14" s="14">
        <f>ROUND(W14*Kriterien!$B$7+X14*Kriterien!$B$8+Y14*Kriterien!$B$9+Z14*Kriterien!$B$10+AA14*Kriterien!$B$11,1)</f>
        <v>4.0999999999999996</v>
      </c>
      <c r="AC14" s="5" t="str">
        <f t="shared" si="2"/>
        <v>GUT</v>
      </c>
      <c r="AD14" s="5" t="s">
        <v>202</v>
      </c>
      <c r="AE14" s="5" t="s">
        <v>203</v>
      </c>
    </row>
    <row r="15" spans="1:31" ht="42" customHeight="1">
      <c r="A15" s="5">
        <v>11</v>
      </c>
      <c r="B15" s="5" t="s">
        <v>204</v>
      </c>
      <c r="C15" s="5" t="s">
        <v>127</v>
      </c>
      <c r="D15" s="5" t="s">
        <v>205</v>
      </c>
      <c r="E15" s="5" t="s">
        <v>206</v>
      </c>
      <c r="F15" s="5">
        <f>COUNTIF(Ortszuordnung!$A$5:$A$85,B15)</f>
        <v>1</v>
      </c>
      <c r="G15" s="5" t="s">
        <v>53</v>
      </c>
      <c r="H15" s="5">
        <v>5</v>
      </c>
      <c r="I15" s="5">
        <v>15</v>
      </c>
      <c r="J15" s="5" t="s">
        <v>33</v>
      </c>
      <c r="K15" s="5" t="s">
        <v>207</v>
      </c>
      <c r="L15" s="5" t="s">
        <v>208</v>
      </c>
      <c r="M15" s="5"/>
      <c r="N15" s="5"/>
      <c r="O15" s="5">
        <f>SUMIF(Ortszuordnung!$A$5:$A$85,B15,Ortszuordnung!$S$5:$S$85)</f>
        <v>0</v>
      </c>
      <c r="P15" s="5">
        <f>ROUND(O15/Kriterien!$B$5,0)</f>
        <v>0</v>
      </c>
      <c r="Q15" s="5">
        <v>9</v>
      </c>
      <c r="R15" s="5">
        <f t="shared" si="0"/>
        <v>9</v>
      </c>
      <c r="S15" s="5" t="str">
        <f t="shared" si="1"/>
        <v>OK</v>
      </c>
      <c r="T15" s="5">
        <f>COUNTIFS(Ortszuordnung!$A$5:$A$85,B15,Ortszuordnung!$K$5:$K$85,"GRUEN")</f>
        <v>1</v>
      </c>
      <c r="U15" s="5">
        <f>COUNTIFS(Ortszuordnung!$A$5:$A$85,B15,Ortszuordnung!$K$5:$K$85,"GELB")</f>
        <v>0</v>
      </c>
      <c r="V15" s="5">
        <f>COUNTIFS(Ortszuordnung!$A$5:$A$85,B15,Ortszuordnung!$K$5:$K$85,"ROT")</f>
        <v>0</v>
      </c>
      <c r="W15" s="14">
        <v>5</v>
      </c>
      <c r="X15" s="14">
        <v>4.2</v>
      </c>
      <c r="Y15" s="14">
        <v>4.7</v>
      </c>
      <c r="Z15" s="14">
        <v>3.8</v>
      </c>
      <c r="AA15" s="14">
        <v>4.2</v>
      </c>
      <c r="AB15" s="14">
        <f>ROUND(W15*Kriterien!$B$7+X15*Kriterien!$B$8+Y15*Kriterien!$B$9+Z15*Kriterien!$B$10+AA15*Kriterien!$B$11,1)</f>
        <v>4.4000000000000004</v>
      </c>
      <c r="AC15" s="5" t="str">
        <f t="shared" si="2"/>
        <v>SEHR_GUT</v>
      </c>
      <c r="AD15" s="5" t="s">
        <v>209</v>
      </c>
      <c r="AE15" s="5" t="s">
        <v>210</v>
      </c>
    </row>
    <row r="16" spans="1:31" ht="42" customHeight="1">
      <c r="A16" s="5">
        <v>12</v>
      </c>
      <c r="B16" s="5" t="s">
        <v>211</v>
      </c>
      <c r="C16" s="5" t="s">
        <v>127</v>
      </c>
      <c r="D16" s="5" t="s">
        <v>212</v>
      </c>
      <c r="E16" s="5" t="s">
        <v>213</v>
      </c>
      <c r="F16" s="5">
        <f>COUNTIF(Ortszuordnung!$A$5:$A$85,B16)</f>
        <v>4</v>
      </c>
      <c r="G16" s="5" t="s">
        <v>61</v>
      </c>
      <c r="H16" s="5">
        <v>35</v>
      </c>
      <c r="I16" s="5">
        <v>45</v>
      </c>
      <c r="J16" s="5" t="s">
        <v>34</v>
      </c>
      <c r="K16" s="5" t="s">
        <v>214</v>
      </c>
      <c r="L16" s="5" t="s">
        <v>148</v>
      </c>
      <c r="M16" s="5"/>
      <c r="N16" s="5"/>
      <c r="O16" s="5">
        <f>SUMIF(Ortszuordnung!$A$5:$A$85,B16,Ortszuordnung!$S$5:$S$85)</f>
        <v>1009</v>
      </c>
      <c r="P16" s="5">
        <f>ROUND(O16/Kriterien!$B$5,0)</f>
        <v>13</v>
      </c>
      <c r="Q16" s="5">
        <v>24</v>
      </c>
      <c r="R16" s="5">
        <f t="shared" si="0"/>
        <v>37</v>
      </c>
      <c r="S16" s="5" t="str">
        <f t="shared" si="1"/>
        <v>OK</v>
      </c>
      <c r="T16" s="5">
        <f>COUNTIFS(Ortszuordnung!$A$5:$A$85,B16,Ortszuordnung!$K$5:$K$85,"GRUEN")</f>
        <v>2</v>
      </c>
      <c r="U16" s="5">
        <f>COUNTIFS(Ortszuordnung!$A$5:$A$85,B16,Ortszuordnung!$K$5:$K$85,"GELB")</f>
        <v>2</v>
      </c>
      <c r="V16" s="5">
        <f>COUNTIFS(Ortszuordnung!$A$5:$A$85,B16,Ortszuordnung!$K$5:$K$85,"ROT")</f>
        <v>0</v>
      </c>
      <c r="W16" s="14">
        <v>4.2</v>
      </c>
      <c r="X16" s="14">
        <v>5</v>
      </c>
      <c r="Y16" s="14">
        <v>3.6</v>
      </c>
      <c r="Z16" s="14">
        <v>3.3</v>
      </c>
      <c r="AA16" s="14">
        <v>4.8</v>
      </c>
      <c r="AB16" s="14">
        <f>ROUND(W16*Kriterien!$B$7+X16*Kriterien!$B$8+Y16*Kriterien!$B$9+Z16*Kriterien!$B$10+AA16*Kriterien!$B$11,1)</f>
        <v>4.2</v>
      </c>
      <c r="AC16" s="5" t="str">
        <f t="shared" si="2"/>
        <v>SEHR_GUT</v>
      </c>
      <c r="AD16" s="5" t="s">
        <v>215</v>
      </c>
      <c r="AE16" s="5" t="s">
        <v>216</v>
      </c>
    </row>
    <row r="17" spans="1:31" ht="42" customHeight="1">
      <c r="A17" s="5">
        <v>13</v>
      </c>
      <c r="B17" s="5" t="s">
        <v>217</v>
      </c>
      <c r="C17" s="5" t="s">
        <v>127</v>
      </c>
      <c r="D17" s="5" t="s">
        <v>218</v>
      </c>
      <c r="E17" s="5" t="s">
        <v>219</v>
      </c>
      <c r="F17" s="5">
        <f>COUNTIF(Ortszuordnung!$A$5:$A$85,B17)</f>
        <v>3</v>
      </c>
      <c r="G17" s="5" t="s">
        <v>56</v>
      </c>
      <c r="H17" s="5">
        <v>15</v>
      </c>
      <c r="I17" s="5">
        <v>25</v>
      </c>
      <c r="J17" s="5" t="s">
        <v>32</v>
      </c>
      <c r="K17" s="5" t="s">
        <v>220</v>
      </c>
      <c r="L17" s="5" t="s">
        <v>192</v>
      </c>
      <c r="M17" s="5"/>
      <c r="N17" s="5" t="s">
        <v>221</v>
      </c>
      <c r="O17" s="5">
        <f>SUMIF(Ortszuordnung!$A$5:$A$85,B17,Ortszuordnung!$S$5:$S$85)</f>
        <v>784</v>
      </c>
      <c r="P17" s="5">
        <f>ROUND(O17/Kriterien!$B$5,0)</f>
        <v>10</v>
      </c>
      <c r="Q17" s="5">
        <v>15</v>
      </c>
      <c r="R17" s="5">
        <f t="shared" si="0"/>
        <v>25</v>
      </c>
      <c r="S17" s="5" t="str">
        <f t="shared" si="1"/>
        <v>OK</v>
      </c>
      <c r="T17" s="5">
        <f>COUNTIFS(Ortszuordnung!$A$5:$A$85,B17,Ortszuordnung!$K$5:$K$85,"GRUEN")</f>
        <v>2</v>
      </c>
      <c r="U17" s="5">
        <f>COUNTIFS(Ortszuordnung!$A$5:$A$85,B17,Ortszuordnung!$K$5:$K$85,"GELB")</f>
        <v>1</v>
      </c>
      <c r="V17" s="5">
        <f>COUNTIFS(Ortszuordnung!$A$5:$A$85,B17,Ortszuordnung!$K$5:$K$85,"ROT")</f>
        <v>0</v>
      </c>
      <c r="W17" s="14">
        <v>4</v>
      </c>
      <c r="X17" s="14">
        <v>4.4000000000000004</v>
      </c>
      <c r="Y17" s="14">
        <v>3.4</v>
      </c>
      <c r="Z17" s="14">
        <v>3.4</v>
      </c>
      <c r="AA17" s="14">
        <v>4.4000000000000004</v>
      </c>
      <c r="AB17" s="14">
        <f>ROUND(W17*Kriterien!$B$7+X17*Kriterien!$B$8+Y17*Kriterien!$B$9+Z17*Kriterien!$B$10+AA17*Kriterien!$B$11,1)</f>
        <v>3.9</v>
      </c>
      <c r="AC17" s="5" t="str">
        <f t="shared" si="2"/>
        <v>GUT</v>
      </c>
      <c r="AD17" s="5" t="s">
        <v>222</v>
      </c>
      <c r="AE17" s="5" t="s">
        <v>223</v>
      </c>
    </row>
    <row r="18" spans="1:31" ht="42" customHeight="1">
      <c r="A18" s="5">
        <v>14</v>
      </c>
      <c r="B18" s="5" t="s">
        <v>224</v>
      </c>
      <c r="C18" s="5" t="s">
        <v>127</v>
      </c>
      <c r="D18" s="5" t="s">
        <v>225</v>
      </c>
      <c r="E18" s="5" t="s">
        <v>226</v>
      </c>
      <c r="F18" s="5">
        <f>COUNTIF(Ortszuordnung!$A$5:$A$85,B18)</f>
        <v>1</v>
      </c>
      <c r="G18" s="5" t="s">
        <v>53</v>
      </c>
      <c r="H18" s="5">
        <v>5</v>
      </c>
      <c r="I18" s="5">
        <v>15</v>
      </c>
      <c r="J18" s="5" t="s">
        <v>33</v>
      </c>
      <c r="K18" s="5" t="s">
        <v>227</v>
      </c>
      <c r="L18" s="5" t="s">
        <v>228</v>
      </c>
      <c r="M18" s="5"/>
      <c r="N18" s="5"/>
      <c r="O18" s="5">
        <f>SUMIF(Ortszuordnung!$A$5:$A$85,B18,Ortszuordnung!$S$5:$S$85)</f>
        <v>0</v>
      </c>
      <c r="P18" s="5">
        <f>ROUND(O18/Kriterien!$B$5,0)</f>
        <v>0</v>
      </c>
      <c r="Q18" s="5">
        <v>10</v>
      </c>
      <c r="R18" s="5">
        <f t="shared" si="0"/>
        <v>10</v>
      </c>
      <c r="S18" s="5" t="str">
        <f t="shared" si="1"/>
        <v>OK</v>
      </c>
      <c r="T18" s="5">
        <f>COUNTIFS(Ortszuordnung!$A$5:$A$85,B18,Ortszuordnung!$K$5:$K$85,"GRUEN")</f>
        <v>0</v>
      </c>
      <c r="U18" s="5">
        <f>COUNTIFS(Ortszuordnung!$A$5:$A$85,B18,Ortszuordnung!$K$5:$K$85,"GELB")</f>
        <v>1</v>
      </c>
      <c r="V18" s="5">
        <f>COUNTIFS(Ortszuordnung!$A$5:$A$85,B18,Ortszuordnung!$K$5:$K$85,"ROT")</f>
        <v>0</v>
      </c>
      <c r="W18" s="14">
        <v>5</v>
      </c>
      <c r="X18" s="14">
        <v>4.5</v>
      </c>
      <c r="Y18" s="14">
        <v>3.3</v>
      </c>
      <c r="Z18" s="14">
        <v>3.5</v>
      </c>
      <c r="AA18" s="14">
        <v>4.4000000000000004</v>
      </c>
      <c r="AB18" s="14">
        <f>ROUND(W18*Kriterien!$B$7+X18*Kriterien!$B$8+Y18*Kriterien!$B$9+Z18*Kriterien!$B$10+AA18*Kriterien!$B$11,1)</f>
        <v>4.0999999999999996</v>
      </c>
      <c r="AC18" s="5" t="str">
        <f t="shared" si="2"/>
        <v>GUT</v>
      </c>
      <c r="AD18" s="5" t="s">
        <v>229</v>
      </c>
      <c r="AE18" s="5" t="s">
        <v>230</v>
      </c>
    </row>
    <row r="19" spans="1:31" ht="42" customHeight="1">
      <c r="A19" s="5">
        <v>15</v>
      </c>
      <c r="B19" s="5" t="s">
        <v>231</v>
      </c>
      <c r="C19" s="5" t="s">
        <v>127</v>
      </c>
      <c r="D19" s="5" t="s">
        <v>232</v>
      </c>
      <c r="E19" s="5" t="s">
        <v>233</v>
      </c>
      <c r="F19" s="5">
        <f>COUNTIF(Ortszuordnung!$A$5:$A$85,B19)</f>
        <v>2</v>
      </c>
      <c r="G19" s="5" t="s">
        <v>56</v>
      </c>
      <c r="H19" s="5">
        <v>15</v>
      </c>
      <c r="I19" s="5">
        <v>25</v>
      </c>
      <c r="J19" s="5" t="s">
        <v>34</v>
      </c>
      <c r="K19" s="5" t="s">
        <v>234</v>
      </c>
      <c r="L19" s="5" t="s">
        <v>235</v>
      </c>
      <c r="M19" s="5" t="s">
        <v>236</v>
      </c>
      <c r="N19" s="5"/>
      <c r="O19" s="5">
        <f>SUMIF(Ortszuordnung!$A$5:$A$85,B19,Ortszuordnung!$S$5:$S$85)</f>
        <v>706</v>
      </c>
      <c r="P19" s="5">
        <f>ROUND(O19/Kriterien!$B$5,0)</f>
        <v>9</v>
      </c>
      <c r="Q19" s="5">
        <v>16</v>
      </c>
      <c r="R19" s="5">
        <f t="shared" si="0"/>
        <v>25</v>
      </c>
      <c r="S19" s="5" t="str">
        <f t="shared" si="1"/>
        <v>OK</v>
      </c>
      <c r="T19" s="5">
        <f>COUNTIFS(Ortszuordnung!$A$5:$A$85,B19,Ortszuordnung!$K$5:$K$85,"GRUEN")</f>
        <v>1</v>
      </c>
      <c r="U19" s="5">
        <f>COUNTIFS(Ortszuordnung!$A$5:$A$85,B19,Ortszuordnung!$K$5:$K$85,"GELB")</f>
        <v>1</v>
      </c>
      <c r="V19" s="5">
        <f>COUNTIFS(Ortszuordnung!$A$5:$A$85,B19,Ortszuordnung!$K$5:$K$85,"ROT")</f>
        <v>0</v>
      </c>
      <c r="W19" s="14">
        <v>4.2</v>
      </c>
      <c r="X19" s="14">
        <v>5</v>
      </c>
      <c r="Y19" s="14">
        <v>3.3</v>
      </c>
      <c r="Z19" s="14">
        <v>3.2</v>
      </c>
      <c r="AA19" s="14">
        <v>4.8</v>
      </c>
      <c r="AB19" s="14">
        <f>ROUND(W19*Kriterien!$B$7+X19*Kriterien!$B$8+Y19*Kriterien!$B$9+Z19*Kriterien!$B$10+AA19*Kriterien!$B$11,1)</f>
        <v>4.0999999999999996</v>
      </c>
      <c r="AC19" s="5" t="str">
        <f t="shared" si="2"/>
        <v>GUT</v>
      </c>
      <c r="AD19" s="5" t="s">
        <v>237</v>
      </c>
      <c r="AE19" s="5" t="s">
        <v>238</v>
      </c>
    </row>
    <row r="20" spans="1:31" ht="42" customHeight="1">
      <c r="A20" s="5">
        <v>16</v>
      </c>
      <c r="B20" s="5" t="s">
        <v>239</v>
      </c>
      <c r="C20" s="5" t="s">
        <v>127</v>
      </c>
      <c r="D20" s="5" t="s">
        <v>240</v>
      </c>
      <c r="E20" s="5" t="s">
        <v>241</v>
      </c>
      <c r="F20" s="5">
        <f>COUNTIF(Ortszuordnung!$A$5:$A$85,B20)</f>
        <v>5</v>
      </c>
      <c r="G20" s="5" t="s">
        <v>61</v>
      </c>
      <c r="H20" s="5">
        <v>35</v>
      </c>
      <c r="I20" s="5">
        <v>45</v>
      </c>
      <c r="J20" s="5" t="s">
        <v>35</v>
      </c>
      <c r="K20" s="5" t="s">
        <v>242</v>
      </c>
      <c r="L20" s="5" t="s">
        <v>243</v>
      </c>
      <c r="M20" s="5"/>
      <c r="N20" s="5" t="s">
        <v>244</v>
      </c>
      <c r="O20" s="5">
        <f>SUMIF(Ortszuordnung!$A$5:$A$85,B20,Ortszuordnung!$S$5:$S$85)</f>
        <v>1404</v>
      </c>
      <c r="P20" s="5">
        <f>ROUND(O20/Kriterien!$B$5,0)</f>
        <v>19</v>
      </c>
      <c r="Q20" s="5">
        <v>25</v>
      </c>
      <c r="R20" s="5">
        <f t="shared" si="0"/>
        <v>44</v>
      </c>
      <c r="S20" s="5" t="str">
        <f t="shared" si="1"/>
        <v>OK</v>
      </c>
      <c r="T20" s="5">
        <f>COUNTIFS(Ortszuordnung!$A$5:$A$85,B20,Ortszuordnung!$K$5:$K$85,"GRUEN")</f>
        <v>5</v>
      </c>
      <c r="U20" s="5">
        <f>COUNTIFS(Ortszuordnung!$A$5:$A$85,B20,Ortszuordnung!$K$5:$K$85,"GELB")</f>
        <v>0</v>
      </c>
      <c r="V20" s="5">
        <f>COUNTIFS(Ortszuordnung!$A$5:$A$85,B20,Ortszuordnung!$K$5:$K$85,"ROT")</f>
        <v>0</v>
      </c>
      <c r="W20" s="14">
        <v>3.5</v>
      </c>
      <c r="X20" s="14">
        <v>5</v>
      </c>
      <c r="Y20" s="14">
        <v>4.4000000000000004</v>
      </c>
      <c r="Z20" s="14">
        <v>3.8</v>
      </c>
      <c r="AA20" s="14">
        <v>5</v>
      </c>
      <c r="AB20" s="14">
        <f>ROUND(W20*Kriterien!$B$7+X20*Kriterien!$B$8+Y20*Kriterien!$B$9+Z20*Kriterien!$B$10+AA20*Kriterien!$B$11,1)</f>
        <v>4.4000000000000004</v>
      </c>
      <c r="AC20" s="5" t="str">
        <f t="shared" si="2"/>
        <v>SEHR_GUT</v>
      </c>
      <c r="AD20" s="5" t="s">
        <v>245</v>
      </c>
      <c r="AE20" s="5" t="s">
        <v>246</v>
      </c>
    </row>
    <row r="21" spans="1:31" ht="42" customHeight="1">
      <c r="A21" s="5">
        <v>17</v>
      </c>
      <c r="B21" s="5" t="s">
        <v>247</v>
      </c>
      <c r="C21" s="5" t="s">
        <v>248</v>
      </c>
      <c r="D21" s="5" t="s">
        <v>249</v>
      </c>
      <c r="E21" s="5" t="s">
        <v>250</v>
      </c>
      <c r="F21" s="5">
        <f>COUNTIF(Ortszuordnung!$A$5:$A$85,B21)</f>
        <v>2</v>
      </c>
      <c r="G21" s="5" t="s">
        <v>56</v>
      </c>
      <c r="H21" s="5">
        <v>15</v>
      </c>
      <c r="I21" s="5">
        <v>25</v>
      </c>
      <c r="J21" s="5" t="s">
        <v>32</v>
      </c>
      <c r="K21" s="5" t="s">
        <v>251</v>
      </c>
      <c r="L21" s="5" t="s">
        <v>252</v>
      </c>
      <c r="M21" s="5"/>
      <c r="N21" s="5"/>
      <c r="O21" s="5">
        <f>SUMIF(Ortszuordnung!$A$5:$A$85,B21,Ortszuordnung!$S$5:$S$85)</f>
        <v>271</v>
      </c>
      <c r="P21" s="5">
        <f>ROUND(O21/Kriterien!$B$5,0)</f>
        <v>4</v>
      </c>
      <c r="Q21" s="5">
        <v>15</v>
      </c>
      <c r="R21" s="5">
        <f t="shared" si="0"/>
        <v>19</v>
      </c>
      <c r="S21" s="5" t="str">
        <f t="shared" si="1"/>
        <v>OK</v>
      </c>
      <c r="T21" s="5">
        <f>COUNTIFS(Ortszuordnung!$A$5:$A$85,B21,Ortszuordnung!$K$5:$K$85,"GRUEN")</f>
        <v>1</v>
      </c>
      <c r="U21" s="5">
        <f>COUNTIFS(Ortszuordnung!$A$5:$A$85,B21,Ortszuordnung!$K$5:$K$85,"GELB")</f>
        <v>1</v>
      </c>
      <c r="V21" s="5">
        <f>COUNTIFS(Ortszuordnung!$A$5:$A$85,B21,Ortszuordnung!$K$5:$K$85,"ROT")</f>
        <v>0</v>
      </c>
      <c r="W21" s="14">
        <v>4.8</v>
      </c>
      <c r="X21" s="14">
        <v>4.8</v>
      </c>
      <c r="Y21" s="14">
        <v>4</v>
      </c>
      <c r="Z21" s="14">
        <v>4</v>
      </c>
      <c r="AA21" s="14">
        <v>4.7</v>
      </c>
      <c r="AB21" s="14">
        <f>ROUND(W21*Kriterien!$B$7+X21*Kriterien!$B$8+Y21*Kriterien!$B$9+Z21*Kriterien!$B$10+AA21*Kriterien!$B$11,1)</f>
        <v>4.5</v>
      </c>
      <c r="AC21" s="5" t="str">
        <f t="shared" si="2"/>
        <v>SEHR_GUT</v>
      </c>
      <c r="AD21" s="5" t="s">
        <v>253</v>
      </c>
      <c r="AE21" s="5" t="s">
        <v>254</v>
      </c>
    </row>
    <row r="22" spans="1:31" ht="42" customHeight="1">
      <c r="A22" s="5">
        <v>18</v>
      </c>
      <c r="B22" s="5" t="s">
        <v>255</v>
      </c>
      <c r="C22" s="5" t="s">
        <v>248</v>
      </c>
      <c r="D22" s="5" t="s">
        <v>256</v>
      </c>
      <c r="E22" s="5" t="s">
        <v>257</v>
      </c>
      <c r="F22" s="5">
        <f>COUNTIF(Ortszuordnung!$A$5:$A$85,B22)</f>
        <v>1</v>
      </c>
      <c r="G22" s="5" t="s">
        <v>53</v>
      </c>
      <c r="H22" s="5">
        <v>5</v>
      </c>
      <c r="I22" s="5">
        <v>15</v>
      </c>
      <c r="J22" s="5" t="s">
        <v>29</v>
      </c>
      <c r="K22" s="5" t="s">
        <v>258</v>
      </c>
      <c r="L22" s="5" t="s">
        <v>259</v>
      </c>
      <c r="M22" s="5"/>
      <c r="N22" s="5"/>
      <c r="O22" s="5">
        <f>SUMIF(Ortszuordnung!$A$5:$A$85,B22,Ortszuordnung!$S$5:$S$85)</f>
        <v>0</v>
      </c>
      <c r="P22" s="5">
        <f>ROUND(O22/Kriterien!$B$5,0)</f>
        <v>0</v>
      </c>
      <c r="Q22" s="5">
        <v>9</v>
      </c>
      <c r="R22" s="5">
        <f t="shared" si="0"/>
        <v>9</v>
      </c>
      <c r="S22" s="5" t="str">
        <f t="shared" si="1"/>
        <v>OK</v>
      </c>
      <c r="T22" s="5">
        <f>COUNTIFS(Ortszuordnung!$A$5:$A$85,B22,Ortszuordnung!$K$5:$K$85,"GRUEN")</f>
        <v>1</v>
      </c>
      <c r="U22" s="5">
        <f>COUNTIFS(Ortszuordnung!$A$5:$A$85,B22,Ortszuordnung!$K$5:$K$85,"GELB")</f>
        <v>0</v>
      </c>
      <c r="V22" s="5">
        <f>COUNTIFS(Ortszuordnung!$A$5:$A$85,B22,Ortszuordnung!$K$5:$K$85,"ROT")</f>
        <v>0</v>
      </c>
      <c r="W22" s="14">
        <v>5</v>
      </c>
      <c r="X22" s="14">
        <v>4.2</v>
      </c>
      <c r="Y22" s="14">
        <v>4.3</v>
      </c>
      <c r="Z22" s="14">
        <v>3.7</v>
      </c>
      <c r="AA22" s="14">
        <v>4.2</v>
      </c>
      <c r="AB22" s="14">
        <f>ROUND(W22*Kriterien!$B$7+X22*Kriterien!$B$8+Y22*Kriterien!$B$9+Z22*Kriterien!$B$10+AA22*Kriterien!$B$11,1)</f>
        <v>4.3</v>
      </c>
      <c r="AC22" s="5" t="str">
        <f t="shared" si="2"/>
        <v>SEHR_GUT</v>
      </c>
      <c r="AD22" s="5" t="s">
        <v>260</v>
      </c>
      <c r="AE22" s="5" t="s">
        <v>261</v>
      </c>
    </row>
    <row r="23" spans="1:31" ht="42" customHeight="1">
      <c r="A23" s="5">
        <v>19</v>
      </c>
      <c r="B23" s="5" t="s">
        <v>262</v>
      </c>
      <c r="C23" s="5" t="s">
        <v>248</v>
      </c>
      <c r="D23" s="5" t="s">
        <v>263</v>
      </c>
      <c r="E23" s="5" t="s">
        <v>264</v>
      </c>
      <c r="F23" s="5">
        <f>COUNTIF(Ortszuordnung!$A$5:$A$85,B23)</f>
        <v>3</v>
      </c>
      <c r="G23" s="5" t="s">
        <v>59</v>
      </c>
      <c r="H23" s="5">
        <v>25</v>
      </c>
      <c r="I23" s="5">
        <v>35</v>
      </c>
      <c r="J23" s="5" t="s">
        <v>35</v>
      </c>
      <c r="K23" s="5" t="s">
        <v>265</v>
      </c>
      <c r="L23" s="5" t="s">
        <v>266</v>
      </c>
      <c r="M23" s="5"/>
      <c r="N23" s="5" t="s">
        <v>267</v>
      </c>
      <c r="O23" s="5">
        <f>SUMIF(Ortszuordnung!$A$5:$A$85,B23,Ortszuordnung!$S$5:$S$85)</f>
        <v>446</v>
      </c>
      <c r="P23" s="5">
        <f>ROUND(O23/Kriterien!$B$5,0)</f>
        <v>6</v>
      </c>
      <c r="Q23" s="5">
        <v>20</v>
      </c>
      <c r="R23" s="5">
        <f t="shared" si="0"/>
        <v>26</v>
      </c>
      <c r="S23" s="5" t="str">
        <f t="shared" si="1"/>
        <v>OK</v>
      </c>
      <c r="T23" s="5">
        <f>COUNTIFS(Ortszuordnung!$A$5:$A$85,B23,Ortszuordnung!$K$5:$K$85,"GRUEN")</f>
        <v>3</v>
      </c>
      <c r="U23" s="5">
        <f>COUNTIFS(Ortszuordnung!$A$5:$A$85,B23,Ortszuordnung!$K$5:$K$85,"GELB")</f>
        <v>0</v>
      </c>
      <c r="V23" s="5">
        <f>COUNTIFS(Ortszuordnung!$A$5:$A$85,B23,Ortszuordnung!$K$5:$K$85,"ROT")</f>
        <v>0</v>
      </c>
      <c r="W23" s="14">
        <v>5</v>
      </c>
      <c r="X23" s="14">
        <v>5</v>
      </c>
      <c r="Y23" s="14">
        <v>4.7</v>
      </c>
      <c r="Z23" s="14">
        <v>3.6</v>
      </c>
      <c r="AA23" s="14">
        <v>5</v>
      </c>
      <c r="AB23" s="14">
        <f>ROUND(W23*Kriterien!$B$7+X23*Kriterien!$B$8+Y23*Kriterien!$B$9+Z23*Kriterien!$B$10+AA23*Kriterien!$B$11,1)</f>
        <v>4.7</v>
      </c>
      <c r="AC23" s="5" t="str">
        <f t="shared" si="2"/>
        <v>SEHR_GUT</v>
      </c>
      <c r="AD23" s="5" t="s">
        <v>268</v>
      </c>
      <c r="AE23" s="5" t="s">
        <v>269</v>
      </c>
    </row>
    <row r="24" spans="1:31" ht="42" customHeight="1">
      <c r="A24" s="5">
        <v>20</v>
      </c>
      <c r="B24" s="5" t="s">
        <v>270</v>
      </c>
      <c r="C24" s="5" t="s">
        <v>248</v>
      </c>
      <c r="D24" s="5" t="s">
        <v>271</v>
      </c>
      <c r="E24" s="5" t="s">
        <v>272</v>
      </c>
      <c r="F24" s="5">
        <f>COUNTIF(Ortszuordnung!$A$5:$A$85,B24)</f>
        <v>4</v>
      </c>
      <c r="G24" s="5" t="s">
        <v>61</v>
      </c>
      <c r="H24" s="5">
        <v>35</v>
      </c>
      <c r="I24" s="5">
        <v>45</v>
      </c>
      <c r="J24" s="5" t="s">
        <v>34</v>
      </c>
      <c r="K24" s="5" t="s">
        <v>273</v>
      </c>
      <c r="L24" s="5" t="s">
        <v>274</v>
      </c>
      <c r="M24" s="5"/>
      <c r="N24" s="5" t="s">
        <v>275</v>
      </c>
      <c r="O24" s="5">
        <f>SUMIF(Ortszuordnung!$A$5:$A$85,B24,Ortszuordnung!$S$5:$S$85)</f>
        <v>390</v>
      </c>
      <c r="P24" s="5">
        <f>ROUND(O24/Kriterien!$B$5,0)</f>
        <v>5</v>
      </c>
      <c r="Q24" s="5">
        <v>30</v>
      </c>
      <c r="R24" s="5">
        <f t="shared" si="0"/>
        <v>35</v>
      </c>
      <c r="S24" s="5" t="str">
        <f t="shared" si="1"/>
        <v>OK</v>
      </c>
      <c r="T24" s="5">
        <f>COUNTIFS(Ortszuordnung!$A$5:$A$85,B24,Ortszuordnung!$K$5:$K$85,"GRUEN")</f>
        <v>3</v>
      </c>
      <c r="U24" s="5">
        <f>COUNTIFS(Ortszuordnung!$A$5:$A$85,B24,Ortszuordnung!$K$5:$K$85,"GELB")</f>
        <v>1</v>
      </c>
      <c r="V24" s="5">
        <f>COUNTIFS(Ortszuordnung!$A$5:$A$85,B24,Ortszuordnung!$K$5:$K$85,"ROT")</f>
        <v>0</v>
      </c>
      <c r="W24" s="14">
        <v>5</v>
      </c>
      <c r="X24" s="14">
        <v>5</v>
      </c>
      <c r="Y24" s="14">
        <v>4.0999999999999996</v>
      </c>
      <c r="Z24" s="14">
        <v>3.4</v>
      </c>
      <c r="AA24" s="14">
        <v>4.8</v>
      </c>
      <c r="AB24" s="14">
        <f>ROUND(W24*Kriterien!$B$7+X24*Kriterien!$B$8+Y24*Kriterien!$B$9+Z24*Kriterien!$B$10+AA24*Kriterien!$B$11,1)</f>
        <v>4.5</v>
      </c>
      <c r="AC24" s="5" t="str">
        <f t="shared" si="2"/>
        <v>SEHR_GUT</v>
      </c>
      <c r="AD24" s="5" t="s">
        <v>276</v>
      </c>
      <c r="AE24" s="5" t="s">
        <v>277</v>
      </c>
    </row>
    <row r="25" spans="1:31" ht="42" customHeight="1">
      <c r="A25" s="5">
        <v>21</v>
      </c>
      <c r="B25" s="5" t="s">
        <v>278</v>
      </c>
      <c r="C25" s="5" t="s">
        <v>248</v>
      </c>
      <c r="D25" s="5" t="s">
        <v>279</v>
      </c>
      <c r="E25" s="5" t="s">
        <v>280</v>
      </c>
      <c r="F25" s="5">
        <f>COUNTIF(Ortszuordnung!$A$5:$A$85,B25)</f>
        <v>3</v>
      </c>
      <c r="G25" s="5" t="s">
        <v>56</v>
      </c>
      <c r="H25" s="5">
        <v>15</v>
      </c>
      <c r="I25" s="5">
        <v>25</v>
      </c>
      <c r="J25" s="5" t="s">
        <v>32</v>
      </c>
      <c r="K25" s="5" t="s">
        <v>281</v>
      </c>
      <c r="L25" s="5" t="s">
        <v>282</v>
      </c>
      <c r="M25" s="5"/>
      <c r="N25" s="5" t="s">
        <v>283</v>
      </c>
      <c r="O25" s="5">
        <f>SUMIF(Ortszuordnung!$A$5:$A$85,B25,Ortszuordnung!$S$5:$S$85)</f>
        <v>1079</v>
      </c>
      <c r="P25" s="5">
        <f>ROUND(O25/Kriterien!$B$5,0)</f>
        <v>14</v>
      </c>
      <c r="Q25" s="5">
        <v>11</v>
      </c>
      <c r="R25" s="5">
        <f t="shared" si="0"/>
        <v>25</v>
      </c>
      <c r="S25" s="5" t="str">
        <f t="shared" si="1"/>
        <v>OK</v>
      </c>
      <c r="T25" s="5">
        <f>COUNTIFS(Ortszuordnung!$A$5:$A$85,B25,Ortszuordnung!$K$5:$K$85,"GRUEN")</f>
        <v>3</v>
      </c>
      <c r="U25" s="5">
        <f>COUNTIFS(Ortszuordnung!$A$5:$A$85,B25,Ortszuordnung!$K$5:$K$85,"GELB")</f>
        <v>0</v>
      </c>
      <c r="V25" s="5">
        <f>COUNTIFS(Ortszuordnung!$A$5:$A$85,B25,Ortszuordnung!$K$5:$K$85,"ROT")</f>
        <v>0</v>
      </c>
      <c r="W25" s="14">
        <v>4.2</v>
      </c>
      <c r="X25" s="14">
        <v>4.7</v>
      </c>
      <c r="Y25" s="14">
        <v>4.5999999999999996</v>
      </c>
      <c r="Z25" s="14">
        <v>4</v>
      </c>
      <c r="AA25" s="14">
        <v>4.5999999999999996</v>
      </c>
      <c r="AB25" s="14">
        <f>ROUND(W25*Kriterien!$B$7+X25*Kriterien!$B$8+Y25*Kriterien!$B$9+Z25*Kriterien!$B$10+AA25*Kriterien!$B$11,1)</f>
        <v>4.5</v>
      </c>
      <c r="AC25" s="5" t="str">
        <f t="shared" si="2"/>
        <v>SEHR_GUT</v>
      </c>
      <c r="AD25" s="5" t="s">
        <v>284</v>
      </c>
      <c r="AE25" s="5" t="s">
        <v>285</v>
      </c>
    </row>
    <row r="26" spans="1:31" ht="42" customHeight="1">
      <c r="A26" s="5">
        <v>22</v>
      </c>
      <c r="B26" s="5" t="s">
        <v>286</v>
      </c>
      <c r="C26" s="5" t="s">
        <v>248</v>
      </c>
      <c r="D26" s="5" t="s">
        <v>287</v>
      </c>
      <c r="E26" s="5" t="s">
        <v>288</v>
      </c>
      <c r="F26" s="5">
        <f>COUNTIF(Ortszuordnung!$A$5:$A$85,B26)</f>
        <v>1</v>
      </c>
      <c r="G26" s="5" t="s">
        <v>53</v>
      </c>
      <c r="H26" s="5">
        <v>5</v>
      </c>
      <c r="I26" s="5">
        <v>15</v>
      </c>
      <c r="J26" s="5" t="s">
        <v>33</v>
      </c>
      <c r="K26" s="5" t="s">
        <v>289</v>
      </c>
      <c r="L26" s="5" t="s">
        <v>155</v>
      </c>
      <c r="M26" s="5"/>
      <c r="N26" s="5"/>
      <c r="O26" s="5">
        <f>SUMIF(Ortszuordnung!$A$5:$A$85,B26,Ortszuordnung!$S$5:$S$85)</f>
        <v>0</v>
      </c>
      <c r="P26" s="5">
        <f>ROUND(O26/Kriterien!$B$5,0)</f>
        <v>0</v>
      </c>
      <c r="Q26" s="5">
        <v>9</v>
      </c>
      <c r="R26" s="5">
        <f t="shared" si="0"/>
        <v>9</v>
      </c>
      <c r="S26" s="5" t="str">
        <f t="shared" si="1"/>
        <v>OK</v>
      </c>
      <c r="T26" s="5">
        <f>COUNTIFS(Ortszuordnung!$A$5:$A$85,B26,Ortszuordnung!$K$5:$K$85,"GRUEN")</f>
        <v>1</v>
      </c>
      <c r="U26" s="5">
        <f>COUNTIFS(Ortszuordnung!$A$5:$A$85,B26,Ortszuordnung!$K$5:$K$85,"GELB")</f>
        <v>0</v>
      </c>
      <c r="V26" s="5">
        <f>COUNTIFS(Ortszuordnung!$A$5:$A$85,B26,Ortszuordnung!$K$5:$K$85,"ROT")</f>
        <v>0</v>
      </c>
      <c r="W26" s="14">
        <v>5</v>
      </c>
      <c r="X26" s="14">
        <v>4.2</v>
      </c>
      <c r="Y26" s="14">
        <v>4.4000000000000004</v>
      </c>
      <c r="Z26" s="14">
        <v>4</v>
      </c>
      <c r="AA26" s="14">
        <v>4.0999999999999996</v>
      </c>
      <c r="AB26" s="14">
        <f>ROUND(W26*Kriterien!$B$7+X26*Kriterien!$B$8+Y26*Kriterien!$B$9+Z26*Kriterien!$B$10+AA26*Kriterien!$B$11,1)</f>
        <v>4.4000000000000004</v>
      </c>
      <c r="AC26" s="5" t="str">
        <f t="shared" si="2"/>
        <v>SEHR_GUT</v>
      </c>
      <c r="AD26" s="5" t="s">
        <v>290</v>
      </c>
      <c r="AE26" s="5" t="s">
        <v>291</v>
      </c>
    </row>
    <row r="27" spans="1:31" ht="42" customHeight="1">
      <c r="A27" s="5">
        <v>23</v>
      </c>
      <c r="B27" s="5" t="s">
        <v>292</v>
      </c>
      <c r="C27" s="5" t="s">
        <v>248</v>
      </c>
      <c r="D27" s="5" t="s">
        <v>293</v>
      </c>
      <c r="E27" s="5" t="s">
        <v>294</v>
      </c>
      <c r="F27" s="5">
        <f>COUNTIF(Ortszuordnung!$A$5:$A$85,B27)</f>
        <v>3</v>
      </c>
      <c r="G27" s="5" t="s">
        <v>56</v>
      </c>
      <c r="H27" s="5">
        <v>15</v>
      </c>
      <c r="I27" s="5">
        <v>25</v>
      </c>
      <c r="J27" s="5" t="s">
        <v>34</v>
      </c>
      <c r="K27" s="5" t="s">
        <v>295</v>
      </c>
      <c r="L27" s="5" t="s">
        <v>192</v>
      </c>
      <c r="M27" s="5"/>
      <c r="N27" s="5"/>
      <c r="O27" s="5">
        <f>SUMIF(Ortszuordnung!$A$5:$A$85,B27,Ortszuordnung!$S$5:$S$85)</f>
        <v>657</v>
      </c>
      <c r="P27" s="5">
        <f>ROUND(O27/Kriterien!$B$5,0)</f>
        <v>9</v>
      </c>
      <c r="Q27" s="5">
        <v>16</v>
      </c>
      <c r="R27" s="5">
        <f t="shared" si="0"/>
        <v>25</v>
      </c>
      <c r="S27" s="5" t="str">
        <f t="shared" si="1"/>
        <v>OK</v>
      </c>
      <c r="T27" s="5">
        <f>COUNTIFS(Ortszuordnung!$A$5:$A$85,B27,Ortszuordnung!$K$5:$K$85,"GRUEN")</f>
        <v>3</v>
      </c>
      <c r="U27" s="5">
        <f>COUNTIFS(Ortszuordnung!$A$5:$A$85,B27,Ortszuordnung!$K$5:$K$85,"GELB")</f>
        <v>0</v>
      </c>
      <c r="V27" s="5">
        <f>COUNTIFS(Ortszuordnung!$A$5:$A$85,B27,Ortszuordnung!$K$5:$K$85,"ROT")</f>
        <v>0</v>
      </c>
      <c r="W27" s="14">
        <v>4.7</v>
      </c>
      <c r="X27" s="14">
        <v>5</v>
      </c>
      <c r="Y27" s="14">
        <v>4.5</v>
      </c>
      <c r="Z27" s="14">
        <v>3.7</v>
      </c>
      <c r="AA27" s="14">
        <v>4.8</v>
      </c>
      <c r="AB27" s="14">
        <f>ROUND(W27*Kriterien!$B$7+X27*Kriterien!$B$8+Y27*Kriterien!$B$9+Z27*Kriterien!$B$10+AA27*Kriterien!$B$11,1)</f>
        <v>4.5999999999999996</v>
      </c>
      <c r="AC27" s="5" t="str">
        <f t="shared" si="2"/>
        <v>SEHR_GUT</v>
      </c>
      <c r="AD27" s="5" t="s">
        <v>296</v>
      </c>
      <c r="AE27" s="5" t="s">
        <v>297</v>
      </c>
    </row>
    <row r="28" spans="1:31" ht="42" customHeight="1">
      <c r="A28" s="5">
        <v>24</v>
      </c>
      <c r="B28" s="5" t="s">
        <v>298</v>
      </c>
      <c r="C28" s="5" t="s">
        <v>248</v>
      </c>
      <c r="D28" s="5" t="s">
        <v>299</v>
      </c>
      <c r="E28" s="5" t="s">
        <v>300</v>
      </c>
      <c r="F28" s="5">
        <f>COUNTIF(Ortszuordnung!$A$5:$A$85,B28)</f>
        <v>2</v>
      </c>
      <c r="G28" s="5" t="s">
        <v>59</v>
      </c>
      <c r="H28" s="5">
        <v>25</v>
      </c>
      <c r="I28" s="5">
        <v>35</v>
      </c>
      <c r="J28" s="5" t="s">
        <v>32</v>
      </c>
      <c r="K28" s="5" t="s">
        <v>301</v>
      </c>
      <c r="L28" s="5" t="s">
        <v>228</v>
      </c>
      <c r="M28" s="5"/>
      <c r="N28" s="5" t="s">
        <v>302</v>
      </c>
      <c r="O28" s="5">
        <f>SUMIF(Ortszuordnung!$A$5:$A$85,B28,Ortszuordnung!$S$5:$S$85)</f>
        <v>899</v>
      </c>
      <c r="P28" s="5">
        <f>ROUND(O28/Kriterien!$B$5,0)</f>
        <v>12</v>
      </c>
      <c r="Q28" s="5">
        <v>14</v>
      </c>
      <c r="R28" s="5">
        <f t="shared" si="0"/>
        <v>26</v>
      </c>
      <c r="S28" s="5" t="str">
        <f t="shared" si="1"/>
        <v>OK</v>
      </c>
      <c r="T28" s="5">
        <f>COUNTIFS(Ortszuordnung!$A$5:$A$85,B28,Ortszuordnung!$K$5:$K$85,"GRUEN")</f>
        <v>1</v>
      </c>
      <c r="U28" s="5">
        <f>COUNTIFS(Ortszuordnung!$A$5:$A$85,B28,Ortszuordnung!$K$5:$K$85,"GELB")</f>
        <v>1</v>
      </c>
      <c r="V28" s="5">
        <f>COUNTIFS(Ortszuordnung!$A$5:$A$85,B28,Ortszuordnung!$K$5:$K$85,"ROT")</f>
        <v>0</v>
      </c>
      <c r="W28" s="14">
        <v>3.2</v>
      </c>
      <c r="X28" s="14">
        <v>4.5</v>
      </c>
      <c r="Y28" s="14">
        <v>4.3</v>
      </c>
      <c r="Z28" s="14">
        <v>3.1</v>
      </c>
      <c r="AA28" s="14">
        <v>4.4000000000000004</v>
      </c>
      <c r="AB28" s="14">
        <f>ROUND(W28*Kriterien!$B$7+X28*Kriterien!$B$8+Y28*Kriterien!$B$9+Z28*Kriterien!$B$10+AA28*Kriterien!$B$11,1)</f>
        <v>4</v>
      </c>
      <c r="AC28" s="5" t="str">
        <f t="shared" si="2"/>
        <v>GUT</v>
      </c>
      <c r="AD28" s="5" t="s">
        <v>303</v>
      </c>
      <c r="AE28" s="5" t="s">
        <v>304</v>
      </c>
    </row>
    <row r="29" spans="1:31" ht="42" customHeight="1">
      <c r="A29" s="5">
        <v>25</v>
      </c>
      <c r="B29" s="5" t="s">
        <v>305</v>
      </c>
      <c r="C29" s="5" t="s">
        <v>248</v>
      </c>
      <c r="D29" s="5" t="s">
        <v>306</v>
      </c>
      <c r="E29" s="5" t="s">
        <v>307</v>
      </c>
      <c r="F29" s="5">
        <f>COUNTIF(Ortszuordnung!$A$5:$A$85,B29)</f>
        <v>3</v>
      </c>
      <c r="G29" s="5" t="s">
        <v>59</v>
      </c>
      <c r="H29" s="5">
        <v>25</v>
      </c>
      <c r="I29" s="5">
        <v>35</v>
      </c>
      <c r="J29" s="5" t="s">
        <v>29</v>
      </c>
      <c r="K29" s="5" t="s">
        <v>308</v>
      </c>
      <c r="L29" s="5" t="s">
        <v>192</v>
      </c>
      <c r="M29" s="5"/>
      <c r="N29" s="5" t="s">
        <v>309</v>
      </c>
      <c r="O29" s="5">
        <f>SUMIF(Ortszuordnung!$A$5:$A$85,B29,Ortszuordnung!$S$5:$S$85)</f>
        <v>1027</v>
      </c>
      <c r="P29" s="5">
        <f>ROUND(O29/Kriterien!$B$5,0)</f>
        <v>14</v>
      </c>
      <c r="Q29" s="5">
        <v>20</v>
      </c>
      <c r="R29" s="5">
        <f t="shared" si="0"/>
        <v>34</v>
      </c>
      <c r="S29" s="5" t="str">
        <f t="shared" si="1"/>
        <v>OK</v>
      </c>
      <c r="T29" s="5">
        <f>COUNTIFS(Ortszuordnung!$A$5:$A$85,B29,Ortszuordnung!$K$5:$K$85,"GRUEN")</f>
        <v>2</v>
      </c>
      <c r="U29" s="5">
        <f>COUNTIFS(Ortszuordnung!$A$5:$A$85,B29,Ortszuordnung!$K$5:$K$85,"GELB")</f>
        <v>1</v>
      </c>
      <c r="V29" s="5">
        <f>COUNTIFS(Ortszuordnung!$A$5:$A$85,B29,Ortszuordnung!$K$5:$K$85,"ROT")</f>
        <v>0</v>
      </c>
      <c r="W29" s="14">
        <v>4</v>
      </c>
      <c r="X29" s="14">
        <v>5</v>
      </c>
      <c r="Y29" s="14">
        <v>4</v>
      </c>
      <c r="Z29" s="14">
        <v>3.2</v>
      </c>
      <c r="AA29" s="14">
        <v>4.5999999999999996</v>
      </c>
      <c r="AB29" s="14">
        <f>ROUND(W29*Kriterien!$B$7+X29*Kriterien!$B$8+Y29*Kriterien!$B$9+Z29*Kriterien!$B$10+AA29*Kriterien!$B$11,1)</f>
        <v>4.2</v>
      </c>
      <c r="AC29" s="5" t="str">
        <f t="shared" si="2"/>
        <v>SEHR_GUT</v>
      </c>
      <c r="AD29" s="5" t="s">
        <v>310</v>
      </c>
      <c r="AE29" s="5" t="s">
        <v>311</v>
      </c>
    </row>
    <row r="30" spans="1:31" ht="42" customHeight="1">
      <c r="A30" s="6">
        <v>26</v>
      </c>
      <c r="B30" s="6" t="s">
        <v>312</v>
      </c>
      <c r="C30" s="6" t="s">
        <v>248</v>
      </c>
      <c r="D30" s="6" t="s">
        <v>313</v>
      </c>
      <c r="E30" s="6" t="s">
        <v>314</v>
      </c>
      <c r="F30" s="6">
        <f>COUNTIF(Ortszuordnung!$A$5:$A$85,B30)</f>
        <v>1</v>
      </c>
      <c r="G30" s="6" t="s">
        <v>53</v>
      </c>
      <c r="H30" s="6">
        <v>5</v>
      </c>
      <c r="I30" s="6">
        <v>15</v>
      </c>
      <c r="J30" s="6" t="s">
        <v>35</v>
      </c>
      <c r="K30" s="6" t="s">
        <v>315</v>
      </c>
      <c r="L30" s="6" t="s">
        <v>266</v>
      </c>
      <c r="M30" s="6"/>
      <c r="N30" s="6" t="s">
        <v>316</v>
      </c>
      <c r="O30" s="6">
        <f>SUMIF(Ortszuordnung!$A$5:$A$85,B30,Ortszuordnung!$S$5:$S$85)</f>
        <v>0</v>
      </c>
      <c r="P30" s="6">
        <f>ROUND(O30/Kriterien!$B$5,0)</f>
        <v>0</v>
      </c>
      <c r="Q30" s="6">
        <v>10</v>
      </c>
      <c r="R30" s="6">
        <f t="shared" si="0"/>
        <v>10</v>
      </c>
      <c r="S30" s="6" t="str">
        <f t="shared" si="1"/>
        <v>OK</v>
      </c>
      <c r="T30" s="6">
        <f>COUNTIFS(Ortszuordnung!$A$5:$A$85,B30,Ortszuordnung!$K$5:$K$85,"GRUEN")</f>
        <v>1</v>
      </c>
      <c r="U30" s="6">
        <f>COUNTIFS(Ortszuordnung!$A$5:$A$85,B30,Ortszuordnung!$K$5:$K$85,"GELB")</f>
        <v>0</v>
      </c>
      <c r="V30" s="6">
        <f>COUNTIFS(Ortszuordnung!$A$5:$A$85,B30,Ortszuordnung!$K$5:$K$85,"ROT")</f>
        <v>0</v>
      </c>
      <c r="W30" s="15">
        <v>5</v>
      </c>
      <c r="X30" s="15">
        <v>4.8</v>
      </c>
      <c r="Y30" s="15">
        <v>4.5999999999999996</v>
      </c>
      <c r="Z30" s="15">
        <v>3.2</v>
      </c>
      <c r="AA30" s="15">
        <v>5</v>
      </c>
      <c r="AB30" s="15">
        <f>ROUND(W30*Kriterien!$B$7+X30*Kriterien!$B$8+Y30*Kriterien!$B$9+Z30*Kriterien!$B$10+AA30*Kriterien!$B$11,1)</f>
        <v>4.5999999999999996</v>
      </c>
      <c r="AC30" s="6" t="str">
        <f t="shared" si="2"/>
        <v>SEHR_GUT</v>
      </c>
      <c r="AD30" s="6" t="s">
        <v>317</v>
      </c>
      <c r="AE30" s="6" t="s">
        <v>318</v>
      </c>
    </row>
  </sheetData>
  <mergeCells count="2">
    <mergeCell ref="A1:AC1"/>
    <mergeCell ref="A2:AC2"/>
  </mergeCells>
  <conditionalFormatting sqref="S5:S30">
    <cfRule type="containsText" dxfId="37" priority="4" operator="containsText" text="OK"/>
  </conditionalFormatting>
  <conditionalFormatting sqref="AC5:AC30">
    <cfRule type="containsText" dxfId="36" priority="1" operator="containsText" text="SEHR_GUT"/>
    <cfRule type="containsText" dxfId="35" priority="2" operator="containsText" text="GUT"/>
    <cfRule type="containsText" dxfId="34" priority="3" operator="containsText" text="BEDINGT"/>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0"/>
  <sheetViews>
    <sheetView showGridLines="0" workbookViewId="0">
      <selection sqref="A1:J1"/>
    </sheetView>
  </sheetViews>
  <sheetFormatPr baseColWidth="10" defaultColWidth="9" defaultRowHeight="14.25"/>
  <cols>
    <col min="1" max="1" width="14" customWidth="1"/>
    <col min="2" max="2" width="10" customWidth="1"/>
    <col min="3" max="3" width="28" customWidth="1"/>
    <col min="4" max="4" width="60" customWidth="1"/>
    <col min="5" max="5" width="62" customWidth="1"/>
    <col min="6" max="6" width="38" customWidth="1"/>
    <col min="7" max="8" width="48" customWidth="1"/>
    <col min="9" max="9" width="55" customWidth="1"/>
    <col min="10" max="10" width="45" customWidth="1"/>
  </cols>
  <sheetData>
    <row r="1" spans="1:10" ht="30" customHeight="1">
      <c r="A1" s="69" t="s">
        <v>319</v>
      </c>
      <c r="B1" s="69"/>
      <c r="C1" s="69"/>
      <c r="D1" s="69"/>
      <c r="E1" s="69"/>
      <c r="F1" s="69"/>
      <c r="G1" s="69"/>
      <c r="H1" s="69"/>
      <c r="I1" s="69"/>
      <c r="J1" s="69"/>
    </row>
    <row r="2" spans="1:10" ht="32.1" customHeight="1">
      <c r="A2" s="70" t="s">
        <v>320</v>
      </c>
      <c r="B2" s="70"/>
      <c r="C2" s="70"/>
      <c r="D2" s="70"/>
      <c r="E2" s="70"/>
      <c r="F2" s="70"/>
      <c r="G2" s="70"/>
      <c r="H2" s="70"/>
      <c r="I2" s="70"/>
      <c r="J2" s="70"/>
    </row>
    <row r="3" spans="1:10">
      <c r="A3" s="24"/>
      <c r="B3" s="24"/>
      <c r="C3" s="24"/>
      <c r="D3" s="24"/>
      <c r="E3" s="24"/>
      <c r="F3" s="24"/>
      <c r="G3" s="24"/>
      <c r="H3" s="24"/>
      <c r="I3" s="24"/>
      <c r="J3" s="24"/>
    </row>
    <row r="4" spans="1:10">
      <c r="A4" s="25" t="s">
        <v>97</v>
      </c>
      <c r="B4" s="25" t="s">
        <v>98</v>
      </c>
      <c r="C4" s="25" t="s">
        <v>99</v>
      </c>
      <c r="D4" s="25" t="s">
        <v>321</v>
      </c>
      <c r="E4" s="25" t="s">
        <v>322</v>
      </c>
      <c r="F4" s="25" t="s">
        <v>323</v>
      </c>
      <c r="G4" s="25" t="s">
        <v>324</v>
      </c>
      <c r="H4" s="25" t="s">
        <v>325</v>
      </c>
      <c r="I4" s="25" t="s">
        <v>125</v>
      </c>
      <c r="J4" s="25" t="s">
        <v>326</v>
      </c>
    </row>
    <row r="5" spans="1:10" ht="56.1" customHeight="1">
      <c r="A5" s="4" t="s">
        <v>126</v>
      </c>
      <c r="B5" s="4" t="s">
        <v>127</v>
      </c>
      <c r="C5" s="4" t="s">
        <v>128</v>
      </c>
      <c r="D5" s="4" t="s">
        <v>327</v>
      </c>
      <c r="E5" s="4" t="s">
        <v>328</v>
      </c>
      <c r="F5" s="4" t="s">
        <v>329</v>
      </c>
      <c r="G5" s="4" t="s">
        <v>330</v>
      </c>
      <c r="H5" s="4" t="s">
        <v>331</v>
      </c>
      <c r="I5" s="4" t="s">
        <v>135</v>
      </c>
      <c r="J5" s="4" t="s">
        <v>332</v>
      </c>
    </row>
    <row r="6" spans="1:10" ht="56.1" customHeight="1">
      <c r="A6" s="5" t="s">
        <v>136</v>
      </c>
      <c r="B6" s="5" t="s">
        <v>127</v>
      </c>
      <c r="C6" s="5" t="s">
        <v>137</v>
      </c>
      <c r="D6" s="5" t="s">
        <v>333</v>
      </c>
      <c r="E6" s="5" t="s">
        <v>334</v>
      </c>
      <c r="F6" s="5" t="s">
        <v>335</v>
      </c>
      <c r="G6" s="5" t="s">
        <v>336</v>
      </c>
      <c r="H6" s="5" t="s">
        <v>337</v>
      </c>
      <c r="I6" s="5" t="s">
        <v>143</v>
      </c>
      <c r="J6" s="5" t="s">
        <v>338</v>
      </c>
    </row>
    <row r="7" spans="1:10" ht="56.1" customHeight="1">
      <c r="A7" s="5" t="s">
        <v>144</v>
      </c>
      <c r="B7" s="5" t="s">
        <v>127</v>
      </c>
      <c r="C7" s="5" t="s">
        <v>145</v>
      </c>
      <c r="D7" s="5" t="s">
        <v>339</v>
      </c>
      <c r="E7" s="5" t="s">
        <v>340</v>
      </c>
      <c r="F7" s="5" t="s">
        <v>341</v>
      </c>
      <c r="G7" s="5" t="s">
        <v>342</v>
      </c>
      <c r="H7" s="5" t="s">
        <v>343</v>
      </c>
      <c r="I7" s="5" t="s">
        <v>150</v>
      </c>
      <c r="J7" s="5"/>
    </row>
    <row r="8" spans="1:10" ht="56.1" customHeight="1">
      <c r="A8" s="5" t="s">
        <v>151</v>
      </c>
      <c r="B8" s="5" t="s">
        <v>127</v>
      </c>
      <c r="C8" s="5" t="s">
        <v>152</v>
      </c>
      <c r="D8" s="5" t="s">
        <v>344</v>
      </c>
      <c r="E8" s="5" t="s">
        <v>345</v>
      </c>
      <c r="F8" s="5" t="s">
        <v>346</v>
      </c>
      <c r="G8" s="5" t="s">
        <v>347</v>
      </c>
      <c r="H8" s="5" t="s">
        <v>348</v>
      </c>
      <c r="I8" s="5" t="s">
        <v>158</v>
      </c>
      <c r="J8" s="5"/>
    </row>
    <row r="9" spans="1:10" ht="56.1" customHeight="1">
      <c r="A9" s="5" t="s">
        <v>159</v>
      </c>
      <c r="B9" s="5" t="s">
        <v>127</v>
      </c>
      <c r="C9" s="5" t="s">
        <v>160</v>
      </c>
      <c r="D9" s="5" t="s">
        <v>349</v>
      </c>
      <c r="E9" s="5" t="s">
        <v>350</v>
      </c>
      <c r="F9" s="5" t="s">
        <v>351</v>
      </c>
      <c r="G9" s="5" t="s">
        <v>352</v>
      </c>
      <c r="H9" s="5" t="s">
        <v>353</v>
      </c>
      <c r="I9" s="5" t="s">
        <v>165</v>
      </c>
      <c r="J9" s="5"/>
    </row>
    <row r="10" spans="1:10" ht="56.1" customHeight="1">
      <c r="A10" s="5" t="s">
        <v>166</v>
      </c>
      <c r="B10" s="5" t="s">
        <v>127</v>
      </c>
      <c r="C10" s="5" t="s">
        <v>167</v>
      </c>
      <c r="D10" s="5" t="s">
        <v>354</v>
      </c>
      <c r="E10" s="5" t="s">
        <v>355</v>
      </c>
      <c r="F10" s="5" t="s">
        <v>356</v>
      </c>
      <c r="G10" s="5" t="s">
        <v>357</v>
      </c>
      <c r="H10" s="5" t="s">
        <v>358</v>
      </c>
      <c r="I10" s="5" t="s">
        <v>172</v>
      </c>
      <c r="J10" s="5" t="s">
        <v>359</v>
      </c>
    </row>
    <row r="11" spans="1:10" ht="56.1" customHeight="1">
      <c r="A11" s="5" t="s">
        <v>173</v>
      </c>
      <c r="B11" s="5" t="s">
        <v>127</v>
      </c>
      <c r="C11" s="5" t="s">
        <v>174</v>
      </c>
      <c r="D11" s="5" t="s">
        <v>360</v>
      </c>
      <c r="E11" s="5" t="s">
        <v>361</v>
      </c>
      <c r="F11" s="5" t="s">
        <v>362</v>
      </c>
      <c r="G11" s="5" t="s">
        <v>363</v>
      </c>
      <c r="H11" s="5" t="s">
        <v>364</v>
      </c>
      <c r="I11" s="5" t="s">
        <v>180</v>
      </c>
      <c r="J11" s="5"/>
    </row>
    <row r="12" spans="1:10" ht="56.1" customHeight="1">
      <c r="A12" s="5" t="s">
        <v>181</v>
      </c>
      <c r="B12" s="5" t="s">
        <v>127</v>
      </c>
      <c r="C12" s="5" t="s">
        <v>182</v>
      </c>
      <c r="D12" s="5" t="s">
        <v>365</v>
      </c>
      <c r="E12" s="5" t="s">
        <v>366</v>
      </c>
      <c r="F12" s="5" t="s">
        <v>367</v>
      </c>
      <c r="G12" s="5" t="s">
        <v>368</v>
      </c>
      <c r="H12" s="5" t="s">
        <v>369</v>
      </c>
      <c r="I12" s="5" t="s">
        <v>187</v>
      </c>
      <c r="J12" s="5"/>
    </row>
    <row r="13" spans="1:10" ht="56.1" customHeight="1">
      <c r="A13" s="5" t="s">
        <v>188</v>
      </c>
      <c r="B13" s="5" t="s">
        <v>127</v>
      </c>
      <c r="C13" s="5" t="s">
        <v>189</v>
      </c>
      <c r="D13" s="5" t="s">
        <v>370</v>
      </c>
      <c r="E13" s="5" t="s">
        <v>371</v>
      </c>
      <c r="F13" s="5" t="s">
        <v>372</v>
      </c>
      <c r="G13" s="5" t="s">
        <v>373</v>
      </c>
      <c r="H13" s="5" t="s">
        <v>374</v>
      </c>
      <c r="I13" s="5" t="s">
        <v>195</v>
      </c>
      <c r="J13" s="5"/>
    </row>
    <row r="14" spans="1:10" ht="56.1" customHeight="1">
      <c r="A14" s="5" t="s">
        <v>196</v>
      </c>
      <c r="B14" s="5" t="s">
        <v>127</v>
      </c>
      <c r="C14" s="5" t="s">
        <v>197</v>
      </c>
      <c r="D14" s="5" t="s">
        <v>375</v>
      </c>
      <c r="E14" s="5" t="s">
        <v>376</v>
      </c>
      <c r="F14" s="5" t="s">
        <v>377</v>
      </c>
      <c r="G14" s="5" t="s">
        <v>378</v>
      </c>
      <c r="H14" s="5" t="s">
        <v>379</v>
      </c>
      <c r="I14" s="5" t="s">
        <v>203</v>
      </c>
      <c r="J14" s="5"/>
    </row>
    <row r="15" spans="1:10" ht="56.1" customHeight="1">
      <c r="A15" s="5" t="s">
        <v>204</v>
      </c>
      <c r="B15" s="5" t="s">
        <v>127</v>
      </c>
      <c r="C15" s="5" t="s">
        <v>205</v>
      </c>
      <c r="D15" s="5" t="s">
        <v>380</v>
      </c>
      <c r="E15" s="5" t="s">
        <v>381</v>
      </c>
      <c r="F15" s="5" t="s">
        <v>382</v>
      </c>
      <c r="G15" s="5" t="s">
        <v>383</v>
      </c>
      <c r="H15" s="5" t="s">
        <v>384</v>
      </c>
      <c r="I15" s="5" t="s">
        <v>210</v>
      </c>
      <c r="J15" s="5"/>
    </row>
    <row r="16" spans="1:10" ht="56.1" customHeight="1">
      <c r="A16" s="5" t="s">
        <v>211</v>
      </c>
      <c r="B16" s="5" t="s">
        <v>127</v>
      </c>
      <c r="C16" s="5" t="s">
        <v>212</v>
      </c>
      <c r="D16" s="5" t="s">
        <v>385</v>
      </c>
      <c r="E16" s="5" t="s">
        <v>386</v>
      </c>
      <c r="F16" s="5" t="s">
        <v>387</v>
      </c>
      <c r="G16" s="5" t="s">
        <v>388</v>
      </c>
      <c r="H16" s="5" t="s">
        <v>389</v>
      </c>
      <c r="I16" s="5" t="s">
        <v>216</v>
      </c>
      <c r="J16" s="5"/>
    </row>
    <row r="17" spans="1:10" ht="56.1" customHeight="1">
      <c r="A17" s="5" t="s">
        <v>217</v>
      </c>
      <c r="B17" s="5" t="s">
        <v>127</v>
      </c>
      <c r="C17" s="5" t="s">
        <v>218</v>
      </c>
      <c r="D17" s="5" t="s">
        <v>390</v>
      </c>
      <c r="E17" s="5" t="s">
        <v>391</v>
      </c>
      <c r="F17" s="5" t="s">
        <v>392</v>
      </c>
      <c r="G17" s="5" t="s">
        <v>393</v>
      </c>
      <c r="H17" s="5" t="s">
        <v>394</v>
      </c>
      <c r="I17" s="5" t="s">
        <v>223</v>
      </c>
      <c r="J17" s="5"/>
    </row>
    <row r="18" spans="1:10" ht="56.1" customHeight="1">
      <c r="A18" s="5" t="s">
        <v>224</v>
      </c>
      <c r="B18" s="5" t="s">
        <v>127</v>
      </c>
      <c r="C18" s="5" t="s">
        <v>225</v>
      </c>
      <c r="D18" s="5" t="s">
        <v>395</v>
      </c>
      <c r="E18" s="5" t="s">
        <v>396</v>
      </c>
      <c r="F18" s="5" t="s">
        <v>397</v>
      </c>
      <c r="G18" s="5" t="s">
        <v>398</v>
      </c>
      <c r="H18" s="5" t="s">
        <v>399</v>
      </c>
      <c r="I18" s="5" t="s">
        <v>230</v>
      </c>
      <c r="J18" s="5"/>
    </row>
    <row r="19" spans="1:10" ht="56.1" customHeight="1">
      <c r="A19" s="5" t="s">
        <v>231</v>
      </c>
      <c r="B19" s="5" t="s">
        <v>127</v>
      </c>
      <c r="C19" s="5" t="s">
        <v>232</v>
      </c>
      <c r="D19" s="5" t="s">
        <v>400</v>
      </c>
      <c r="E19" s="5" t="s">
        <v>401</v>
      </c>
      <c r="F19" s="5" t="s">
        <v>402</v>
      </c>
      <c r="G19" s="5" t="s">
        <v>403</v>
      </c>
      <c r="H19" s="5" t="s">
        <v>404</v>
      </c>
      <c r="I19" s="5" t="s">
        <v>238</v>
      </c>
      <c r="J19" s="5" t="s">
        <v>405</v>
      </c>
    </row>
    <row r="20" spans="1:10" ht="56.1" customHeight="1">
      <c r="A20" s="5" t="s">
        <v>239</v>
      </c>
      <c r="B20" s="5" t="s">
        <v>127</v>
      </c>
      <c r="C20" s="5" t="s">
        <v>240</v>
      </c>
      <c r="D20" s="5" t="s">
        <v>406</v>
      </c>
      <c r="E20" s="5" t="s">
        <v>407</v>
      </c>
      <c r="F20" s="5" t="s">
        <v>408</v>
      </c>
      <c r="G20" s="5" t="s">
        <v>409</v>
      </c>
      <c r="H20" s="5" t="s">
        <v>410</v>
      </c>
      <c r="I20" s="5" t="s">
        <v>246</v>
      </c>
      <c r="J20" s="5"/>
    </row>
    <row r="21" spans="1:10" ht="56.1" customHeight="1">
      <c r="A21" s="5" t="s">
        <v>247</v>
      </c>
      <c r="B21" s="5" t="s">
        <v>248</v>
      </c>
      <c r="C21" s="5" t="s">
        <v>249</v>
      </c>
      <c r="D21" s="5" t="s">
        <v>411</v>
      </c>
      <c r="E21" s="5" t="s">
        <v>412</v>
      </c>
      <c r="F21" s="5" t="s">
        <v>413</v>
      </c>
      <c r="G21" s="5" t="s">
        <v>414</v>
      </c>
      <c r="H21" s="5" t="s">
        <v>415</v>
      </c>
      <c r="I21" s="5" t="s">
        <v>254</v>
      </c>
      <c r="J21" s="5"/>
    </row>
    <row r="22" spans="1:10" ht="56.1" customHeight="1">
      <c r="A22" s="5" t="s">
        <v>255</v>
      </c>
      <c r="B22" s="5" t="s">
        <v>248</v>
      </c>
      <c r="C22" s="5" t="s">
        <v>256</v>
      </c>
      <c r="D22" s="5" t="s">
        <v>416</v>
      </c>
      <c r="E22" s="5" t="s">
        <v>417</v>
      </c>
      <c r="F22" s="5" t="s">
        <v>418</v>
      </c>
      <c r="G22" s="5" t="s">
        <v>419</v>
      </c>
      <c r="H22" s="5" t="s">
        <v>384</v>
      </c>
      <c r="I22" s="5" t="s">
        <v>261</v>
      </c>
      <c r="J22" s="5"/>
    </row>
    <row r="23" spans="1:10" ht="56.1" customHeight="1">
      <c r="A23" s="5" t="s">
        <v>262</v>
      </c>
      <c r="B23" s="5" t="s">
        <v>248</v>
      </c>
      <c r="C23" s="5" t="s">
        <v>263</v>
      </c>
      <c r="D23" s="5" t="s">
        <v>420</v>
      </c>
      <c r="E23" s="5" t="s">
        <v>421</v>
      </c>
      <c r="F23" s="5" t="s">
        <v>422</v>
      </c>
      <c r="G23" s="5" t="s">
        <v>423</v>
      </c>
      <c r="H23" s="5" t="s">
        <v>424</v>
      </c>
      <c r="I23" s="5" t="s">
        <v>269</v>
      </c>
      <c r="J23" s="5"/>
    </row>
    <row r="24" spans="1:10" ht="56.1" customHeight="1">
      <c r="A24" s="5" t="s">
        <v>270</v>
      </c>
      <c r="B24" s="5" t="s">
        <v>248</v>
      </c>
      <c r="C24" s="5" t="s">
        <v>271</v>
      </c>
      <c r="D24" s="5" t="s">
        <v>425</v>
      </c>
      <c r="E24" s="5" t="s">
        <v>426</v>
      </c>
      <c r="F24" s="5" t="s">
        <v>427</v>
      </c>
      <c r="G24" s="5" t="s">
        <v>428</v>
      </c>
      <c r="H24" s="5" t="s">
        <v>429</v>
      </c>
      <c r="I24" s="5" t="s">
        <v>277</v>
      </c>
      <c r="J24" s="5"/>
    </row>
    <row r="25" spans="1:10" ht="56.1" customHeight="1">
      <c r="A25" s="5" t="s">
        <v>278</v>
      </c>
      <c r="B25" s="5" t="s">
        <v>248</v>
      </c>
      <c r="C25" s="5" t="s">
        <v>279</v>
      </c>
      <c r="D25" s="5" t="s">
        <v>430</v>
      </c>
      <c r="E25" s="5" t="s">
        <v>431</v>
      </c>
      <c r="F25" s="5" t="s">
        <v>432</v>
      </c>
      <c r="G25" s="5" t="s">
        <v>433</v>
      </c>
      <c r="H25" s="5" t="s">
        <v>434</v>
      </c>
      <c r="I25" s="5" t="s">
        <v>285</v>
      </c>
      <c r="J25" s="5"/>
    </row>
    <row r="26" spans="1:10" ht="56.1" customHeight="1">
      <c r="A26" s="5" t="s">
        <v>286</v>
      </c>
      <c r="B26" s="5" t="s">
        <v>248</v>
      </c>
      <c r="C26" s="5" t="s">
        <v>287</v>
      </c>
      <c r="D26" s="5" t="s">
        <v>435</v>
      </c>
      <c r="E26" s="5" t="s">
        <v>436</v>
      </c>
      <c r="F26" s="5" t="s">
        <v>437</v>
      </c>
      <c r="G26" s="5" t="s">
        <v>438</v>
      </c>
      <c r="H26" s="5" t="s">
        <v>384</v>
      </c>
      <c r="I26" s="5" t="s">
        <v>291</v>
      </c>
      <c r="J26" s="5"/>
    </row>
    <row r="27" spans="1:10" ht="56.1" customHeight="1">
      <c r="A27" s="5" t="s">
        <v>292</v>
      </c>
      <c r="B27" s="5" t="s">
        <v>248</v>
      </c>
      <c r="C27" s="5" t="s">
        <v>293</v>
      </c>
      <c r="D27" s="5" t="s">
        <v>439</v>
      </c>
      <c r="E27" s="5" t="s">
        <v>440</v>
      </c>
      <c r="F27" s="5" t="s">
        <v>441</v>
      </c>
      <c r="G27" s="5" t="s">
        <v>442</v>
      </c>
      <c r="H27" s="5" t="s">
        <v>443</v>
      </c>
      <c r="I27" s="5" t="s">
        <v>297</v>
      </c>
      <c r="J27" s="5"/>
    </row>
    <row r="28" spans="1:10" ht="56.1" customHeight="1">
      <c r="A28" s="5" t="s">
        <v>298</v>
      </c>
      <c r="B28" s="5" t="s">
        <v>248</v>
      </c>
      <c r="C28" s="5" t="s">
        <v>299</v>
      </c>
      <c r="D28" s="5" t="s">
        <v>444</v>
      </c>
      <c r="E28" s="5" t="s">
        <v>445</v>
      </c>
      <c r="F28" s="5" t="s">
        <v>446</v>
      </c>
      <c r="G28" s="5" t="s">
        <v>447</v>
      </c>
      <c r="H28" s="5" t="s">
        <v>448</v>
      </c>
      <c r="I28" s="5" t="s">
        <v>304</v>
      </c>
      <c r="J28" s="5"/>
    </row>
    <row r="29" spans="1:10" ht="56.1" customHeight="1">
      <c r="A29" s="5" t="s">
        <v>305</v>
      </c>
      <c r="B29" s="5" t="s">
        <v>248</v>
      </c>
      <c r="C29" s="5" t="s">
        <v>306</v>
      </c>
      <c r="D29" s="5" t="s">
        <v>449</v>
      </c>
      <c r="E29" s="5" t="s">
        <v>450</v>
      </c>
      <c r="F29" s="5" t="s">
        <v>451</v>
      </c>
      <c r="G29" s="5" t="s">
        <v>452</v>
      </c>
      <c r="H29" s="5" t="s">
        <v>453</v>
      </c>
      <c r="I29" s="5" t="s">
        <v>311</v>
      </c>
      <c r="J29" s="5"/>
    </row>
    <row r="30" spans="1:10" ht="56.1" customHeight="1">
      <c r="A30" s="6" t="s">
        <v>312</v>
      </c>
      <c r="B30" s="6" t="s">
        <v>248</v>
      </c>
      <c r="C30" s="6" t="s">
        <v>313</v>
      </c>
      <c r="D30" s="6" t="s">
        <v>454</v>
      </c>
      <c r="E30" s="6" t="s">
        <v>455</v>
      </c>
      <c r="F30" s="6" t="s">
        <v>456</v>
      </c>
      <c r="G30" s="6" t="s">
        <v>457</v>
      </c>
      <c r="H30" s="6" t="s">
        <v>458</v>
      </c>
      <c r="I30" s="6" t="s">
        <v>318</v>
      </c>
      <c r="J30" s="6"/>
    </row>
  </sheetData>
  <mergeCells count="2">
    <mergeCell ref="A1:J1"/>
    <mergeCell ref="A2:J2"/>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44"/>
  <sheetViews>
    <sheetView showGridLines="0" topLeftCell="K1" workbookViewId="0">
      <selection sqref="A1:R1"/>
    </sheetView>
  </sheetViews>
  <sheetFormatPr baseColWidth="10" defaultColWidth="9" defaultRowHeight="14.25"/>
  <cols>
    <col min="1" max="1" width="14" customWidth="1"/>
    <col min="2" max="2" width="17" customWidth="1"/>
    <col min="3" max="3" width="11" customWidth="1"/>
    <col min="4" max="4" width="28" customWidth="1"/>
    <col min="5" max="5" width="55" customWidth="1"/>
    <col min="6" max="6" width="25" customWidth="1"/>
    <col min="7" max="7" width="12" customWidth="1"/>
    <col min="8" max="8" width="16" customWidth="1"/>
    <col min="9" max="9" width="13" customWidth="1"/>
    <col min="10" max="10" width="18" customWidth="1"/>
    <col min="11" max="11" width="20" customWidth="1"/>
    <col min="12" max="12" width="18" customWidth="1"/>
    <col min="13" max="14" width="10" customWidth="1"/>
    <col min="15" max="15" width="8" customWidth="1"/>
    <col min="16" max="16" width="22" customWidth="1"/>
    <col min="17" max="17" width="60" customWidth="1"/>
    <col min="18" max="18" width="55" customWidth="1"/>
  </cols>
  <sheetData>
    <row r="1" spans="1:18" ht="30" customHeight="1">
      <c r="A1" s="69" t="s">
        <v>459</v>
      </c>
      <c r="B1" s="69"/>
      <c r="C1" s="69"/>
      <c r="D1" s="69"/>
      <c r="E1" s="69"/>
      <c r="F1" s="69"/>
      <c r="G1" s="69"/>
      <c r="H1" s="69"/>
      <c r="I1" s="69"/>
      <c r="J1" s="69"/>
      <c r="K1" s="69"/>
      <c r="L1" s="69"/>
      <c r="M1" s="69"/>
      <c r="N1" s="69"/>
      <c r="O1" s="69"/>
      <c r="P1" s="69"/>
      <c r="Q1" s="69"/>
      <c r="R1" s="69"/>
    </row>
    <row r="2" spans="1:18" ht="32.1" customHeight="1">
      <c r="A2" s="70" t="s">
        <v>460</v>
      </c>
      <c r="B2" s="70"/>
      <c r="C2" s="70"/>
      <c r="D2" s="70"/>
      <c r="E2" s="70"/>
      <c r="F2" s="70"/>
      <c r="G2" s="70"/>
      <c r="H2" s="70"/>
      <c r="I2" s="70"/>
      <c r="J2" s="70"/>
      <c r="K2" s="70"/>
      <c r="L2" s="70"/>
      <c r="M2" s="70"/>
      <c r="N2" s="70"/>
      <c r="O2" s="70"/>
      <c r="P2" s="70"/>
      <c r="Q2" s="70"/>
      <c r="R2" s="70"/>
    </row>
    <row r="3" spans="1:18">
      <c r="A3" s="24"/>
      <c r="B3" s="24"/>
      <c r="C3" s="24"/>
      <c r="D3" s="24"/>
      <c r="E3" s="24"/>
      <c r="F3" s="24"/>
      <c r="G3" s="24"/>
      <c r="H3" s="24"/>
      <c r="I3" s="24"/>
      <c r="J3" s="24"/>
      <c r="K3" s="24"/>
      <c r="L3" s="24"/>
      <c r="M3" s="24"/>
      <c r="N3" s="24"/>
      <c r="O3" s="24"/>
      <c r="P3" s="24"/>
      <c r="Q3" s="24"/>
      <c r="R3" s="24"/>
    </row>
    <row r="4" spans="1:18" ht="25.5">
      <c r="A4" s="25" t="s">
        <v>97</v>
      </c>
      <c r="B4" s="25" t="s">
        <v>461</v>
      </c>
      <c r="C4" s="25" t="s">
        <v>98</v>
      </c>
      <c r="D4" s="25" t="s">
        <v>462</v>
      </c>
      <c r="E4" s="25" t="s">
        <v>101</v>
      </c>
      <c r="F4" s="25" t="s">
        <v>24</v>
      </c>
      <c r="G4" s="25" t="s">
        <v>463</v>
      </c>
      <c r="H4" s="25" t="s">
        <v>464</v>
      </c>
      <c r="I4" s="25" t="s">
        <v>465</v>
      </c>
      <c r="J4" s="25" t="s">
        <v>466</v>
      </c>
      <c r="K4" s="25" t="s">
        <v>467</v>
      </c>
      <c r="L4" s="25" t="s">
        <v>468</v>
      </c>
      <c r="M4" s="25" t="s">
        <v>469</v>
      </c>
      <c r="N4" s="25" t="s">
        <v>5</v>
      </c>
      <c r="O4" s="25" t="s">
        <v>104</v>
      </c>
      <c r="P4" s="25" t="s">
        <v>470</v>
      </c>
      <c r="Q4" s="25" t="s">
        <v>471</v>
      </c>
      <c r="R4" s="25" t="s">
        <v>472</v>
      </c>
    </row>
    <row r="5" spans="1:18" ht="44.1" customHeight="1">
      <c r="A5" s="4" t="s">
        <v>126</v>
      </c>
      <c r="B5" s="4" t="s">
        <v>473</v>
      </c>
      <c r="C5" s="4" t="s">
        <v>127</v>
      </c>
      <c r="D5" s="4" t="s">
        <v>128</v>
      </c>
      <c r="E5" s="4" t="s">
        <v>129</v>
      </c>
      <c r="F5" s="4" t="s">
        <v>34</v>
      </c>
      <c r="G5" s="4">
        <v>5</v>
      </c>
      <c r="H5" s="4">
        <v>4</v>
      </c>
      <c r="I5" s="4">
        <v>3</v>
      </c>
      <c r="J5" s="4">
        <v>3</v>
      </c>
      <c r="K5" s="4">
        <v>2</v>
      </c>
      <c r="L5" s="4">
        <v>5</v>
      </c>
      <c r="M5" s="4">
        <v>4</v>
      </c>
      <c r="N5" s="4">
        <v>0</v>
      </c>
      <c r="O5" s="4">
        <f t="shared" ref="O5:O44" si="0">MAX(H5:N5)</f>
        <v>5</v>
      </c>
      <c r="P5" s="4" t="str">
        <f t="shared" ref="P5:P44" si="1">INDEX($H$4:$N$4,1,MATCH(O5,H5:N5,0))</f>
        <v>Dialog / Entscheidung</v>
      </c>
      <c r="Q5" s="4" t="s">
        <v>328</v>
      </c>
      <c r="R5" s="4" t="s">
        <v>134</v>
      </c>
    </row>
    <row r="6" spans="1:18" ht="44.1" customHeight="1">
      <c r="A6" s="5" t="s">
        <v>136</v>
      </c>
      <c r="B6" s="5" t="s">
        <v>473</v>
      </c>
      <c r="C6" s="5" t="s">
        <v>127</v>
      </c>
      <c r="D6" s="5" t="s">
        <v>137</v>
      </c>
      <c r="E6" s="5" t="s">
        <v>138</v>
      </c>
      <c r="F6" s="5" t="s">
        <v>35</v>
      </c>
      <c r="G6" s="5">
        <v>5</v>
      </c>
      <c r="H6" s="5">
        <v>4</v>
      </c>
      <c r="I6" s="5">
        <v>3</v>
      </c>
      <c r="J6" s="5">
        <v>3</v>
      </c>
      <c r="K6" s="5">
        <v>1</v>
      </c>
      <c r="L6" s="5">
        <v>4</v>
      </c>
      <c r="M6" s="5">
        <v>5</v>
      </c>
      <c r="N6" s="5">
        <v>0</v>
      </c>
      <c r="O6" s="5">
        <f t="shared" si="0"/>
        <v>5</v>
      </c>
      <c r="P6" s="5" t="str">
        <f t="shared" si="1"/>
        <v>Kampf</v>
      </c>
      <c r="Q6" s="5" t="s">
        <v>334</v>
      </c>
      <c r="R6" s="5" t="s">
        <v>142</v>
      </c>
    </row>
    <row r="7" spans="1:18" ht="44.1" customHeight="1">
      <c r="A7" s="5" t="s">
        <v>144</v>
      </c>
      <c r="B7" s="5" t="s">
        <v>473</v>
      </c>
      <c r="C7" s="5" t="s">
        <v>127</v>
      </c>
      <c r="D7" s="5" t="s">
        <v>145</v>
      </c>
      <c r="E7" s="5" t="s">
        <v>146</v>
      </c>
      <c r="F7" s="5" t="s">
        <v>29</v>
      </c>
      <c r="G7" s="5">
        <v>5</v>
      </c>
      <c r="H7" s="5">
        <v>5</v>
      </c>
      <c r="I7" s="5">
        <v>4</v>
      </c>
      <c r="J7" s="5">
        <v>2</v>
      </c>
      <c r="K7" s="5">
        <v>1</v>
      </c>
      <c r="L7" s="5">
        <v>2</v>
      </c>
      <c r="M7" s="5">
        <v>1</v>
      </c>
      <c r="N7" s="5">
        <v>0</v>
      </c>
      <c r="O7" s="5">
        <f t="shared" si="0"/>
        <v>5</v>
      </c>
      <c r="P7" s="5" t="str">
        <f t="shared" si="1"/>
        <v>Beobachtung / Suche</v>
      </c>
      <c r="Q7" s="5" t="s">
        <v>340</v>
      </c>
      <c r="R7" s="5" t="s">
        <v>149</v>
      </c>
    </row>
    <row r="8" spans="1:18" ht="44.1" customHeight="1">
      <c r="A8" s="5" t="s">
        <v>151</v>
      </c>
      <c r="B8" s="5" t="s">
        <v>473</v>
      </c>
      <c r="C8" s="5" t="s">
        <v>127</v>
      </c>
      <c r="D8" s="5" t="s">
        <v>152</v>
      </c>
      <c r="E8" s="5" t="s">
        <v>153</v>
      </c>
      <c r="F8" s="5" t="s">
        <v>35</v>
      </c>
      <c r="G8" s="5">
        <v>5</v>
      </c>
      <c r="H8" s="5">
        <v>4</v>
      </c>
      <c r="I8" s="5">
        <v>3</v>
      </c>
      <c r="J8" s="5">
        <v>3</v>
      </c>
      <c r="K8" s="5">
        <v>1</v>
      </c>
      <c r="L8" s="5">
        <v>3</v>
      </c>
      <c r="M8" s="5">
        <v>5</v>
      </c>
      <c r="N8" s="5">
        <v>0</v>
      </c>
      <c r="O8" s="5">
        <f t="shared" si="0"/>
        <v>5</v>
      </c>
      <c r="P8" s="5" t="str">
        <f t="shared" si="1"/>
        <v>Kampf</v>
      </c>
      <c r="Q8" s="5" t="s">
        <v>345</v>
      </c>
      <c r="R8" s="5" t="s">
        <v>157</v>
      </c>
    </row>
    <row r="9" spans="1:18" ht="44.1" customHeight="1">
      <c r="A9" s="5" t="s">
        <v>159</v>
      </c>
      <c r="B9" s="5" t="s">
        <v>473</v>
      </c>
      <c r="C9" s="5" t="s">
        <v>127</v>
      </c>
      <c r="D9" s="5" t="s">
        <v>160</v>
      </c>
      <c r="E9" s="5" t="s">
        <v>161</v>
      </c>
      <c r="F9" s="5" t="s">
        <v>29</v>
      </c>
      <c r="G9" s="5">
        <v>3</v>
      </c>
      <c r="H9" s="5">
        <v>5</v>
      </c>
      <c r="I9" s="5">
        <v>4</v>
      </c>
      <c r="J9" s="5">
        <v>2</v>
      </c>
      <c r="K9" s="5">
        <v>1</v>
      </c>
      <c r="L9" s="5">
        <v>2</v>
      </c>
      <c r="M9" s="5">
        <v>1</v>
      </c>
      <c r="N9" s="5">
        <v>0</v>
      </c>
      <c r="O9" s="5">
        <f t="shared" si="0"/>
        <v>5</v>
      </c>
      <c r="P9" s="5" t="str">
        <f t="shared" si="1"/>
        <v>Beobachtung / Suche</v>
      </c>
      <c r="Q9" s="5" t="s">
        <v>350</v>
      </c>
      <c r="R9" s="5" t="s">
        <v>164</v>
      </c>
    </row>
    <row r="10" spans="1:18" ht="44.1" customHeight="1">
      <c r="A10" s="5" t="s">
        <v>166</v>
      </c>
      <c r="B10" s="5" t="s">
        <v>473</v>
      </c>
      <c r="C10" s="5" t="s">
        <v>127</v>
      </c>
      <c r="D10" s="5" t="s">
        <v>167</v>
      </c>
      <c r="E10" s="5" t="s">
        <v>168</v>
      </c>
      <c r="F10" s="5" t="s">
        <v>32</v>
      </c>
      <c r="G10" s="5">
        <v>5</v>
      </c>
      <c r="H10" s="5">
        <v>4</v>
      </c>
      <c r="I10" s="5">
        <v>3</v>
      </c>
      <c r="J10" s="5">
        <v>5</v>
      </c>
      <c r="K10" s="5">
        <v>2</v>
      </c>
      <c r="L10" s="5">
        <v>4</v>
      </c>
      <c r="M10" s="5">
        <v>2</v>
      </c>
      <c r="N10" s="5">
        <v>0</v>
      </c>
      <c r="O10" s="5">
        <f t="shared" si="0"/>
        <v>5</v>
      </c>
      <c r="P10" s="5" t="str">
        <f t="shared" si="1"/>
        <v>Zuordnen / Reihenfolge</v>
      </c>
      <c r="Q10" s="5" t="s">
        <v>355</v>
      </c>
      <c r="R10" s="5" t="s">
        <v>171</v>
      </c>
    </row>
    <row r="11" spans="1:18" ht="44.1" customHeight="1">
      <c r="A11" s="5" t="s">
        <v>173</v>
      </c>
      <c r="B11" s="5" t="s">
        <v>473</v>
      </c>
      <c r="C11" s="5" t="s">
        <v>127</v>
      </c>
      <c r="D11" s="5" t="s">
        <v>174</v>
      </c>
      <c r="E11" s="5" t="s">
        <v>175</v>
      </c>
      <c r="F11" s="5" t="s">
        <v>33</v>
      </c>
      <c r="G11" s="5">
        <v>3</v>
      </c>
      <c r="H11" s="5">
        <v>4</v>
      </c>
      <c r="I11" s="5">
        <v>3</v>
      </c>
      <c r="J11" s="5">
        <v>3</v>
      </c>
      <c r="K11" s="5">
        <v>5</v>
      </c>
      <c r="L11" s="5">
        <v>3</v>
      </c>
      <c r="M11" s="5">
        <v>4</v>
      </c>
      <c r="N11" s="5">
        <v>0</v>
      </c>
      <c r="O11" s="5">
        <f t="shared" si="0"/>
        <v>5</v>
      </c>
      <c r="P11" s="5" t="str">
        <f t="shared" si="1"/>
        <v>Kurze Texteingabe / Rätsel</v>
      </c>
      <c r="Q11" s="5" t="s">
        <v>361</v>
      </c>
      <c r="R11" s="5" t="s">
        <v>179</v>
      </c>
    </row>
    <row r="12" spans="1:18" ht="44.1" customHeight="1">
      <c r="A12" s="5" t="s">
        <v>181</v>
      </c>
      <c r="B12" s="5" t="s">
        <v>473</v>
      </c>
      <c r="C12" s="5" t="s">
        <v>127</v>
      </c>
      <c r="D12" s="5" t="s">
        <v>182</v>
      </c>
      <c r="E12" s="5" t="s">
        <v>183</v>
      </c>
      <c r="F12" s="5" t="s">
        <v>32</v>
      </c>
      <c r="G12" s="5">
        <v>4</v>
      </c>
      <c r="H12" s="5">
        <v>4</v>
      </c>
      <c r="I12" s="5">
        <v>3</v>
      </c>
      <c r="J12" s="5">
        <v>5</v>
      </c>
      <c r="K12" s="5">
        <v>2</v>
      </c>
      <c r="L12" s="5">
        <v>3</v>
      </c>
      <c r="M12" s="5">
        <v>2</v>
      </c>
      <c r="N12" s="5">
        <v>0</v>
      </c>
      <c r="O12" s="5">
        <f t="shared" si="0"/>
        <v>5</v>
      </c>
      <c r="P12" s="5" t="str">
        <f t="shared" si="1"/>
        <v>Zuordnen / Reihenfolge</v>
      </c>
      <c r="Q12" s="5" t="s">
        <v>366</v>
      </c>
      <c r="R12" s="5" t="s">
        <v>186</v>
      </c>
    </row>
    <row r="13" spans="1:18" ht="44.1" customHeight="1">
      <c r="A13" s="5" t="s">
        <v>188</v>
      </c>
      <c r="B13" s="5" t="s">
        <v>473</v>
      </c>
      <c r="C13" s="5" t="s">
        <v>127</v>
      </c>
      <c r="D13" s="5" t="s">
        <v>189</v>
      </c>
      <c r="E13" s="5" t="s">
        <v>190</v>
      </c>
      <c r="F13" s="5" t="s">
        <v>35</v>
      </c>
      <c r="G13" s="5">
        <v>5</v>
      </c>
      <c r="H13" s="5">
        <v>4</v>
      </c>
      <c r="I13" s="5">
        <v>3</v>
      </c>
      <c r="J13" s="5">
        <v>3</v>
      </c>
      <c r="K13" s="5">
        <v>1</v>
      </c>
      <c r="L13" s="5">
        <v>3</v>
      </c>
      <c r="M13" s="5">
        <v>5</v>
      </c>
      <c r="N13" s="5">
        <v>0</v>
      </c>
      <c r="O13" s="5">
        <f t="shared" si="0"/>
        <v>5</v>
      </c>
      <c r="P13" s="5" t="str">
        <f t="shared" si="1"/>
        <v>Kampf</v>
      </c>
      <c r="Q13" s="5" t="s">
        <v>371</v>
      </c>
      <c r="R13" s="5" t="s">
        <v>194</v>
      </c>
    </row>
    <row r="14" spans="1:18" ht="44.1" customHeight="1">
      <c r="A14" s="5" t="s">
        <v>196</v>
      </c>
      <c r="B14" s="5" t="s">
        <v>473</v>
      </c>
      <c r="C14" s="5" t="s">
        <v>127</v>
      </c>
      <c r="D14" s="5" t="s">
        <v>197</v>
      </c>
      <c r="E14" s="5" t="s">
        <v>198</v>
      </c>
      <c r="F14" s="5" t="s">
        <v>34</v>
      </c>
      <c r="G14" s="5">
        <v>5</v>
      </c>
      <c r="H14" s="5">
        <v>4</v>
      </c>
      <c r="I14" s="5">
        <v>3</v>
      </c>
      <c r="J14" s="5">
        <v>3</v>
      </c>
      <c r="K14" s="5">
        <v>2</v>
      </c>
      <c r="L14" s="5">
        <v>5</v>
      </c>
      <c r="M14" s="5">
        <v>4</v>
      </c>
      <c r="N14" s="5">
        <v>0</v>
      </c>
      <c r="O14" s="5">
        <f t="shared" si="0"/>
        <v>5</v>
      </c>
      <c r="P14" s="5" t="str">
        <f t="shared" si="1"/>
        <v>Dialog / Entscheidung</v>
      </c>
      <c r="Q14" s="5" t="s">
        <v>376</v>
      </c>
      <c r="R14" s="5" t="s">
        <v>202</v>
      </c>
    </row>
    <row r="15" spans="1:18" ht="44.1" customHeight="1">
      <c r="A15" s="5" t="s">
        <v>204</v>
      </c>
      <c r="B15" s="5" t="s">
        <v>473</v>
      </c>
      <c r="C15" s="5" t="s">
        <v>127</v>
      </c>
      <c r="D15" s="5" t="s">
        <v>205</v>
      </c>
      <c r="E15" s="5" t="s">
        <v>206</v>
      </c>
      <c r="F15" s="5" t="s">
        <v>33</v>
      </c>
      <c r="G15" s="5">
        <v>3</v>
      </c>
      <c r="H15" s="5">
        <v>4</v>
      </c>
      <c r="I15" s="5">
        <v>3</v>
      </c>
      <c r="J15" s="5">
        <v>3</v>
      </c>
      <c r="K15" s="5">
        <v>5</v>
      </c>
      <c r="L15" s="5">
        <v>3</v>
      </c>
      <c r="M15" s="5">
        <v>1</v>
      </c>
      <c r="N15" s="5">
        <v>0</v>
      </c>
      <c r="O15" s="5">
        <f t="shared" si="0"/>
        <v>5</v>
      </c>
      <c r="P15" s="5" t="str">
        <f t="shared" si="1"/>
        <v>Kurze Texteingabe / Rätsel</v>
      </c>
      <c r="Q15" s="5" t="s">
        <v>381</v>
      </c>
      <c r="R15" s="5" t="s">
        <v>209</v>
      </c>
    </row>
    <row r="16" spans="1:18" ht="44.1" customHeight="1">
      <c r="A16" s="5" t="s">
        <v>211</v>
      </c>
      <c r="B16" s="5" t="s">
        <v>473</v>
      </c>
      <c r="C16" s="5" t="s">
        <v>127</v>
      </c>
      <c r="D16" s="5" t="s">
        <v>212</v>
      </c>
      <c r="E16" s="5" t="s">
        <v>213</v>
      </c>
      <c r="F16" s="5" t="s">
        <v>34</v>
      </c>
      <c r="G16" s="5">
        <v>5</v>
      </c>
      <c r="H16" s="5">
        <v>4</v>
      </c>
      <c r="I16" s="5">
        <v>3</v>
      </c>
      <c r="J16" s="5">
        <v>3</v>
      </c>
      <c r="K16" s="5">
        <v>2</v>
      </c>
      <c r="L16" s="5">
        <v>5</v>
      </c>
      <c r="M16" s="5">
        <v>2</v>
      </c>
      <c r="N16" s="5">
        <v>0</v>
      </c>
      <c r="O16" s="5">
        <f t="shared" si="0"/>
        <v>5</v>
      </c>
      <c r="P16" s="5" t="str">
        <f t="shared" si="1"/>
        <v>Dialog / Entscheidung</v>
      </c>
      <c r="Q16" s="5" t="s">
        <v>386</v>
      </c>
      <c r="R16" s="5" t="s">
        <v>215</v>
      </c>
    </row>
    <row r="17" spans="1:18" ht="44.1" customHeight="1">
      <c r="A17" s="5" t="s">
        <v>217</v>
      </c>
      <c r="B17" s="5" t="s">
        <v>473</v>
      </c>
      <c r="C17" s="5" t="s">
        <v>127</v>
      </c>
      <c r="D17" s="5" t="s">
        <v>218</v>
      </c>
      <c r="E17" s="5" t="s">
        <v>219</v>
      </c>
      <c r="F17" s="5" t="s">
        <v>32</v>
      </c>
      <c r="G17" s="5">
        <v>5</v>
      </c>
      <c r="H17" s="5">
        <v>4</v>
      </c>
      <c r="I17" s="5">
        <v>3</v>
      </c>
      <c r="J17" s="5">
        <v>5</v>
      </c>
      <c r="K17" s="5">
        <v>2</v>
      </c>
      <c r="L17" s="5">
        <v>3</v>
      </c>
      <c r="M17" s="5">
        <v>4</v>
      </c>
      <c r="N17" s="5">
        <v>0</v>
      </c>
      <c r="O17" s="5">
        <f t="shared" si="0"/>
        <v>5</v>
      </c>
      <c r="P17" s="5" t="str">
        <f t="shared" si="1"/>
        <v>Zuordnen / Reihenfolge</v>
      </c>
      <c r="Q17" s="5" t="s">
        <v>391</v>
      </c>
      <c r="R17" s="5" t="s">
        <v>222</v>
      </c>
    </row>
    <row r="18" spans="1:18" ht="44.1" customHeight="1">
      <c r="A18" s="5" t="s">
        <v>224</v>
      </c>
      <c r="B18" s="5" t="s">
        <v>473</v>
      </c>
      <c r="C18" s="5" t="s">
        <v>127</v>
      </c>
      <c r="D18" s="5" t="s">
        <v>225</v>
      </c>
      <c r="E18" s="5" t="s">
        <v>226</v>
      </c>
      <c r="F18" s="5" t="s">
        <v>33</v>
      </c>
      <c r="G18" s="5">
        <v>3</v>
      </c>
      <c r="H18" s="5">
        <v>4</v>
      </c>
      <c r="I18" s="5">
        <v>3</v>
      </c>
      <c r="J18" s="5">
        <v>3</v>
      </c>
      <c r="K18" s="5">
        <v>5</v>
      </c>
      <c r="L18" s="5">
        <v>4</v>
      </c>
      <c r="M18" s="5">
        <v>1</v>
      </c>
      <c r="N18" s="5">
        <v>0</v>
      </c>
      <c r="O18" s="5">
        <f t="shared" si="0"/>
        <v>5</v>
      </c>
      <c r="P18" s="5" t="str">
        <f t="shared" si="1"/>
        <v>Kurze Texteingabe / Rätsel</v>
      </c>
      <c r="Q18" s="5" t="s">
        <v>396</v>
      </c>
      <c r="R18" s="5" t="s">
        <v>229</v>
      </c>
    </row>
    <row r="19" spans="1:18" ht="44.1" customHeight="1">
      <c r="A19" s="5" t="s">
        <v>231</v>
      </c>
      <c r="B19" s="5" t="s">
        <v>473</v>
      </c>
      <c r="C19" s="5" t="s">
        <v>127</v>
      </c>
      <c r="D19" s="5" t="s">
        <v>232</v>
      </c>
      <c r="E19" s="5" t="s">
        <v>233</v>
      </c>
      <c r="F19" s="5" t="s">
        <v>34</v>
      </c>
      <c r="G19" s="5">
        <v>4</v>
      </c>
      <c r="H19" s="5">
        <v>4</v>
      </c>
      <c r="I19" s="5">
        <v>3</v>
      </c>
      <c r="J19" s="5">
        <v>3</v>
      </c>
      <c r="K19" s="5">
        <v>2</v>
      </c>
      <c r="L19" s="5">
        <v>5</v>
      </c>
      <c r="M19" s="5">
        <v>2</v>
      </c>
      <c r="N19" s="5">
        <v>0</v>
      </c>
      <c r="O19" s="5">
        <f t="shared" si="0"/>
        <v>5</v>
      </c>
      <c r="P19" s="5" t="str">
        <f t="shared" si="1"/>
        <v>Dialog / Entscheidung</v>
      </c>
      <c r="Q19" s="5" t="s">
        <v>401</v>
      </c>
      <c r="R19" s="5" t="s">
        <v>237</v>
      </c>
    </row>
    <row r="20" spans="1:18" ht="44.1" customHeight="1">
      <c r="A20" s="5" t="s">
        <v>239</v>
      </c>
      <c r="B20" s="5" t="s">
        <v>473</v>
      </c>
      <c r="C20" s="5" t="s">
        <v>127</v>
      </c>
      <c r="D20" s="5" t="s">
        <v>240</v>
      </c>
      <c r="E20" s="5" t="s">
        <v>241</v>
      </c>
      <c r="F20" s="5" t="s">
        <v>35</v>
      </c>
      <c r="G20" s="5">
        <v>5</v>
      </c>
      <c r="H20" s="5">
        <v>4</v>
      </c>
      <c r="I20" s="5">
        <v>3</v>
      </c>
      <c r="J20" s="5">
        <v>3</v>
      </c>
      <c r="K20" s="5">
        <v>1</v>
      </c>
      <c r="L20" s="5">
        <v>3</v>
      </c>
      <c r="M20" s="5">
        <v>5</v>
      </c>
      <c r="N20" s="5">
        <v>0</v>
      </c>
      <c r="O20" s="5">
        <f t="shared" si="0"/>
        <v>5</v>
      </c>
      <c r="P20" s="5" t="str">
        <f t="shared" si="1"/>
        <v>Kampf</v>
      </c>
      <c r="Q20" s="5" t="s">
        <v>407</v>
      </c>
      <c r="R20" s="5" t="s">
        <v>245</v>
      </c>
    </row>
    <row r="21" spans="1:18" ht="44.1" customHeight="1">
      <c r="A21" s="5" t="s">
        <v>247</v>
      </c>
      <c r="B21" s="5" t="s">
        <v>473</v>
      </c>
      <c r="C21" s="5" t="s">
        <v>248</v>
      </c>
      <c r="D21" s="5" t="s">
        <v>249</v>
      </c>
      <c r="E21" s="5" t="s">
        <v>250</v>
      </c>
      <c r="F21" s="5" t="s">
        <v>32</v>
      </c>
      <c r="G21" s="5">
        <v>4</v>
      </c>
      <c r="H21" s="5">
        <v>4</v>
      </c>
      <c r="I21" s="5">
        <v>3</v>
      </c>
      <c r="J21" s="5">
        <v>5</v>
      </c>
      <c r="K21" s="5">
        <v>2</v>
      </c>
      <c r="L21" s="5">
        <v>4</v>
      </c>
      <c r="M21" s="5">
        <v>2</v>
      </c>
      <c r="N21" s="5">
        <v>0</v>
      </c>
      <c r="O21" s="5">
        <f t="shared" si="0"/>
        <v>5</v>
      </c>
      <c r="P21" s="5" t="str">
        <f t="shared" si="1"/>
        <v>Zuordnen / Reihenfolge</v>
      </c>
      <c r="Q21" s="5" t="s">
        <v>412</v>
      </c>
      <c r="R21" s="5" t="s">
        <v>253</v>
      </c>
    </row>
    <row r="22" spans="1:18" ht="44.1" customHeight="1">
      <c r="A22" s="5" t="s">
        <v>255</v>
      </c>
      <c r="B22" s="5" t="s">
        <v>473</v>
      </c>
      <c r="C22" s="5" t="s">
        <v>248</v>
      </c>
      <c r="D22" s="5" t="s">
        <v>256</v>
      </c>
      <c r="E22" s="5" t="s">
        <v>257</v>
      </c>
      <c r="F22" s="5" t="s">
        <v>29</v>
      </c>
      <c r="G22" s="5">
        <v>3</v>
      </c>
      <c r="H22" s="5">
        <v>5</v>
      </c>
      <c r="I22" s="5">
        <v>4</v>
      </c>
      <c r="J22" s="5">
        <v>2</v>
      </c>
      <c r="K22" s="5">
        <v>1</v>
      </c>
      <c r="L22" s="5">
        <v>2</v>
      </c>
      <c r="M22" s="5">
        <v>1</v>
      </c>
      <c r="N22" s="5">
        <v>0</v>
      </c>
      <c r="O22" s="5">
        <f t="shared" si="0"/>
        <v>5</v>
      </c>
      <c r="P22" s="5" t="str">
        <f t="shared" si="1"/>
        <v>Beobachtung / Suche</v>
      </c>
      <c r="Q22" s="5" t="s">
        <v>417</v>
      </c>
      <c r="R22" s="5" t="s">
        <v>260</v>
      </c>
    </row>
    <row r="23" spans="1:18" ht="44.1" customHeight="1">
      <c r="A23" s="5" t="s">
        <v>262</v>
      </c>
      <c r="B23" s="5" t="s">
        <v>473</v>
      </c>
      <c r="C23" s="5" t="s">
        <v>248</v>
      </c>
      <c r="D23" s="5" t="s">
        <v>263</v>
      </c>
      <c r="E23" s="5" t="s">
        <v>264</v>
      </c>
      <c r="F23" s="5" t="s">
        <v>35</v>
      </c>
      <c r="G23" s="5">
        <v>5</v>
      </c>
      <c r="H23" s="5">
        <v>4</v>
      </c>
      <c r="I23" s="5">
        <v>3</v>
      </c>
      <c r="J23" s="5">
        <v>3</v>
      </c>
      <c r="K23" s="5">
        <v>1</v>
      </c>
      <c r="L23" s="5">
        <v>3</v>
      </c>
      <c r="M23" s="5">
        <v>5</v>
      </c>
      <c r="N23" s="5">
        <v>0</v>
      </c>
      <c r="O23" s="5">
        <f t="shared" si="0"/>
        <v>5</v>
      </c>
      <c r="P23" s="5" t="str">
        <f t="shared" si="1"/>
        <v>Kampf</v>
      </c>
      <c r="Q23" s="5" t="s">
        <v>421</v>
      </c>
      <c r="R23" s="5" t="s">
        <v>268</v>
      </c>
    </row>
    <row r="24" spans="1:18" ht="44.1" customHeight="1">
      <c r="A24" s="5" t="s">
        <v>270</v>
      </c>
      <c r="B24" s="5" t="s">
        <v>473</v>
      </c>
      <c r="C24" s="5" t="s">
        <v>248</v>
      </c>
      <c r="D24" s="5" t="s">
        <v>271</v>
      </c>
      <c r="E24" s="5" t="s">
        <v>272</v>
      </c>
      <c r="F24" s="5" t="s">
        <v>34</v>
      </c>
      <c r="G24" s="5">
        <v>5</v>
      </c>
      <c r="H24" s="5">
        <v>4</v>
      </c>
      <c r="I24" s="5">
        <v>3</v>
      </c>
      <c r="J24" s="5">
        <v>3</v>
      </c>
      <c r="K24" s="5">
        <v>2</v>
      </c>
      <c r="L24" s="5">
        <v>5</v>
      </c>
      <c r="M24" s="5">
        <v>4</v>
      </c>
      <c r="N24" s="5">
        <v>0</v>
      </c>
      <c r="O24" s="5">
        <f t="shared" si="0"/>
        <v>5</v>
      </c>
      <c r="P24" s="5" t="str">
        <f t="shared" si="1"/>
        <v>Dialog / Entscheidung</v>
      </c>
      <c r="Q24" s="5" t="s">
        <v>426</v>
      </c>
      <c r="R24" s="5" t="s">
        <v>276</v>
      </c>
    </row>
    <row r="25" spans="1:18" ht="44.1" customHeight="1">
      <c r="A25" s="5" t="s">
        <v>278</v>
      </c>
      <c r="B25" s="5" t="s">
        <v>473</v>
      </c>
      <c r="C25" s="5" t="s">
        <v>248</v>
      </c>
      <c r="D25" s="5" t="s">
        <v>279</v>
      </c>
      <c r="E25" s="5" t="s">
        <v>280</v>
      </c>
      <c r="F25" s="5" t="s">
        <v>32</v>
      </c>
      <c r="G25" s="5">
        <v>5</v>
      </c>
      <c r="H25" s="5">
        <v>4</v>
      </c>
      <c r="I25" s="5">
        <v>3</v>
      </c>
      <c r="J25" s="5">
        <v>5</v>
      </c>
      <c r="K25" s="5">
        <v>2</v>
      </c>
      <c r="L25" s="5">
        <v>3</v>
      </c>
      <c r="M25" s="5">
        <v>4</v>
      </c>
      <c r="N25" s="5">
        <v>0</v>
      </c>
      <c r="O25" s="5">
        <f t="shared" si="0"/>
        <v>5</v>
      </c>
      <c r="P25" s="5" t="str">
        <f t="shared" si="1"/>
        <v>Zuordnen / Reihenfolge</v>
      </c>
      <c r="Q25" s="5" t="s">
        <v>431</v>
      </c>
      <c r="R25" s="5" t="s">
        <v>284</v>
      </c>
    </row>
    <row r="26" spans="1:18" ht="44.1" customHeight="1">
      <c r="A26" s="5" t="s">
        <v>286</v>
      </c>
      <c r="B26" s="5" t="s">
        <v>473</v>
      </c>
      <c r="C26" s="5" t="s">
        <v>248</v>
      </c>
      <c r="D26" s="5" t="s">
        <v>287</v>
      </c>
      <c r="E26" s="5" t="s">
        <v>288</v>
      </c>
      <c r="F26" s="5" t="s">
        <v>33</v>
      </c>
      <c r="G26" s="5">
        <v>3</v>
      </c>
      <c r="H26" s="5">
        <v>4</v>
      </c>
      <c r="I26" s="5">
        <v>3</v>
      </c>
      <c r="J26" s="5">
        <v>3</v>
      </c>
      <c r="K26" s="5">
        <v>5</v>
      </c>
      <c r="L26" s="5">
        <v>3</v>
      </c>
      <c r="M26" s="5">
        <v>1</v>
      </c>
      <c r="N26" s="5">
        <v>0</v>
      </c>
      <c r="O26" s="5">
        <f t="shared" si="0"/>
        <v>5</v>
      </c>
      <c r="P26" s="5" t="str">
        <f t="shared" si="1"/>
        <v>Kurze Texteingabe / Rätsel</v>
      </c>
      <c r="Q26" s="5" t="s">
        <v>436</v>
      </c>
      <c r="R26" s="5" t="s">
        <v>290</v>
      </c>
    </row>
    <row r="27" spans="1:18" ht="44.1" customHeight="1">
      <c r="A27" s="5" t="s">
        <v>292</v>
      </c>
      <c r="B27" s="5" t="s">
        <v>473</v>
      </c>
      <c r="C27" s="5" t="s">
        <v>248</v>
      </c>
      <c r="D27" s="5" t="s">
        <v>293</v>
      </c>
      <c r="E27" s="5" t="s">
        <v>294</v>
      </c>
      <c r="F27" s="5" t="s">
        <v>34</v>
      </c>
      <c r="G27" s="5">
        <v>5</v>
      </c>
      <c r="H27" s="5">
        <v>4</v>
      </c>
      <c r="I27" s="5">
        <v>3</v>
      </c>
      <c r="J27" s="5">
        <v>3</v>
      </c>
      <c r="K27" s="5">
        <v>2</v>
      </c>
      <c r="L27" s="5">
        <v>5</v>
      </c>
      <c r="M27" s="5">
        <v>2</v>
      </c>
      <c r="N27" s="5">
        <v>0</v>
      </c>
      <c r="O27" s="5">
        <f t="shared" si="0"/>
        <v>5</v>
      </c>
      <c r="P27" s="5" t="str">
        <f t="shared" si="1"/>
        <v>Dialog / Entscheidung</v>
      </c>
      <c r="Q27" s="5" t="s">
        <v>440</v>
      </c>
      <c r="R27" s="5" t="s">
        <v>296</v>
      </c>
    </row>
    <row r="28" spans="1:18" ht="44.1" customHeight="1">
      <c r="A28" s="5" t="s">
        <v>298</v>
      </c>
      <c r="B28" s="5" t="s">
        <v>473</v>
      </c>
      <c r="C28" s="5" t="s">
        <v>248</v>
      </c>
      <c r="D28" s="5" t="s">
        <v>299</v>
      </c>
      <c r="E28" s="5" t="s">
        <v>300</v>
      </c>
      <c r="F28" s="5" t="s">
        <v>32</v>
      </c>
      <c r="G28" s="5">
        <v>4</v>
      </c>
      <c r="H28" s="5">
        <v>4</v>
      </c>
      <c r="I28" s="5">
        <v>3</v>
      </c>
      <c r="J28" s="5">
        <v>5</v>
      </c>
      <c r="K28" s="5">
        <v>2</v>
      </c>
      <c r="L28" s="5">
        <v>3</v>
      </c>
      <c r="M28" s="5">
        <v>4</v>
      </c>
      <c r="N28" s="5">
        <v>0</v>
      </c>
      <c r="O28" s="5">
        <f t="shared" si="0"/>
        <v>5</v>
      </c>
      <c r="P28" s="5" t="str">
        <f t="shared" si="1"/>
        <v>Zuordnen / Reihenfolge</v>
      </c>
      <c r="Q28" s="5" t="s">
        <v>445</v>
      </c>
      <c r="R28" s="5" t="s">
        <v>303</v>
      </c>
    </row>
    <row r="29" spans="1:18" ht="44.1" customHeight="1">
      <c r="A29" s="5" t="s">
        <v>305</v>
      </c>
      <c r="B29" s="5" t="s">
        <v>473</v>
      </c>
      <c r="C29" s="5" t="s">
        <v>248</v>
      </c>
      <c r="D29" s="5" t="s">
        <v>306</v>
      </c>
      <c r="E29" s="5" t="s">
        <v>307</v>
      </c>
      <c r="F29" s="5" t="s">
        <v>29</v>
      </c>
      <c r="G29" s="5">
        <v>5</v>
      </c>
      <c r="H29" s="5">
        <v>5</v>
      </c>
      <c r="I29" s="5">
        <v>4</v>
      </c>
      <c r="J29" s="5">
        <v>2</v>
      </c>
      <c r="K29" s="5">
        <v>1</v>
      </c>
      <c r="L29" s="5">
        <v>2</v>
      </c>
      <c r="M29" s="5">
        <v>4</v>
      </c>
      <c r="N29" s="5">
        <v>0</v>
      </c>
      <c r="O29" s="5">
        <f t="shared" si="0"/>
        <v>5</v>
      </c>
      <c r="P29" s="5" t="str">
        <f t="shared" si="1"/>
        <v>Beobachtung / Suche</v>
      </c>
      <c r="Q29" s="5" t="s">
        <v>450</v>
      </c>
      <c r="R29" s="5" t="s">
        <v>310</v>
      </c>
    </row>
    <row r="30" spans="1:18" ht="44.1" customHeight="1">
      <c r="A30" s="5" t="s">
        <v>312</v>
      </c>
      <c r="B30" s="5" t="s">
        <v>473</v>
      </c>
      <c r="C30" s="5" t="s">
        <v>248</v>
      </c>
      <c r="D30" s="5" t="s">
        <v>313</v>
      </c>
      <c r="E30" s="5" t="s">
        <v>314</v>
      </c>
      <c r="F30" s="5" t="s">
        <v>35</v>
      </c>
      <c r="G30" s="5">
        <v>4</v>
      </c>
      <c r="H30" s="5">
        <v>4</v>
      </c>
      <c r="I30" s="5">
        <v>3</v>
      </c>
      <c r="J30" s="5">
        <v>3</v>
      </c>
      <c r="K30" s="5">
        <v>1</v>
      </c>
      <c r="L30" s="5">
        <v>3</v>
      </c>
      <c r="M30" s="5">
        <v>5</v>
      </c>
      <c r="N30" s="5">
        <v>0</v>
      </c>
      <c r="O30" s="5">
        <f t="shared" si="0"/>
        <v>5</v>
      </c>
      <c r="P30" s="5" t="str">
        <f t="shared" si="1"/>
        <v>Kampf</v>
      </c>
      <c r="Q30" s="5" t="s">
        <v>455</v>
      </c>
      <c r="R30" s="5" t="s">
        <v>317</v>
      </c>
    </row>
    <row r="31" spans="1:18" ht="44.1" customHeight="1">
      <c r="A31" s="5" t="s">
        <v>474</v>
      </c>
      <c r="B31" s="5" t="s">
        <v>475</v>
      </c>
      <c r="C31" s="5" t="s">
        <v>127</v>
      </c>
      <c r="D31" s="5" t="s">
        <v>476</v>
      </c>
      <c r="E31" s="5" t="s">
        <v>477</v>
      </c>
      <c r="F31" s="5" t="s">
        <v>478</v>
      </c>
      <c r="G31" s="5">
        <v>3</v>
      </c>
      <c r="H31" s="5">
        <v>2</v>
      </c>
      <c r="I31" s="5">
        <v>0</v>
      </c>
      <c r="J31" s="5">
        <v>1</v>
      </c>
      <c r="K31" s="5">
        <v>0</v>
      </c>
      <c r="L31" s="5">
        <v>4</v>
      </c>
      <c r="M31" s="5">
        <v>0</v>
      </c>
      <c r="N31" s="5">
        <v>5</v>
      </c>
      <c r="O31" s="5">
        <f t="shared" si="0"/>
        <v>5</v>
      </c>
      <c r="P31" s="5" t="str">
        <f t="shared" si="1"/>
        <v>Medien</v>
      </c>
      <c r="Q31" s="5" t="s">
        <v>479</v>
      </c>
      <c r="R31" s="5" t="s">
        <v>480</v>
      </c>
    </row>
    <row r="32" spans="1:18" ht="44.1" customHeight="1">
      <c r="A32" s="5" t="s">
        <v>481</v>
      </c>
      <c r="B32" s="5" t="s">
        <v>475</v>
      </c>
      <c r="C32" s="5" t="s">
        <v>127</v>
      </c>
      <c r="D32" s="5" t="s">
        <v>482</v>
      </c>
      <c r="E32" s="5" t="s">
        <v>483</v>
      </c>
      <c r="F32" s="5" t="s">
        <v>478</v>
      </c>
      <c r="G32" s="5">
        <v>3</v>
      </c>
      <c r="H32" s="5">
        <v>3</v>
      </c>
      <c r="I32" s="5">
        <v>0</v>
      </c>
      <c r="J32" s="5">
        <v>1</v>
      </c>
      <c r="K32" s="5">
        <v>0</v>
      </c>
      <c r="L32" s="5">
        <v>2</v>
      </c>
      <c r="M32" s="5">
        <v>0</v>
      </c>
      <c r="N32" s="5">
        <v>5</v>
      </c>
      <c r="O32" s="5">
        <f t="shared" si="0"/>
        <v>5</v>
      </c>
      <c r="P32" s="5" t="str">
        <f t="shared" si="1"/>
        <v>Medien</v>
      </c>
      <c r="Q32" s="5" t="s">
        <v>484</v>
      </c>
      <c r="R32" s="5" t="s">
        <v>485</v>
      </c>
    </row>
    <row r="33" spans="1:18" ht="44.1" customHeight="1">
      <c r="A33" s="5" t="s">
        <v>486</v>
      </c>
      <c r="B33" s="5" t="s">
        <v>475</v>
      </c>
      <c r="C33" s="5" t="s">
        <v>127</v>
      </c>
      <c r="D33" s="5" t="s">
        <v>487</v>
      </c>
      <c r="E33" s="5" t="s">
        <v>168</v>
      </c>
      <c r="F33" s="5" t="s">
        <v>478</v>
      </c>
      <c r="G33" s="5">
        <v>3</v>
      </c>
      <c r="H33" s="5">
        <v>5</v>
      </c>
      <c r="I33" s="5">
        <v>1</v>
      </c>
      <c r="J33" s="5">
        <v>4</v>
      </c>
      <c r="K33" s="5">
        <v>0</v>
      </c>
      <c r="L33" s="5">
        <v>2</v>
      </c>
      <c r="M33" s="5">
        <v>0</v>
      </c>
      <c r="N33" s="5">
        <v>5</v>
      </c>
      <c r="O33" s="5">
        <f t="shared" si="0"/>
        <v>5</v>
      </c>
      <c r="P33" s="5" t="str">
        <f t="shared" si="1"/>
        <v>Beobachtung / Suche</v>
      </c>
      <c r="Q33" s="5" t="s">
        <v>488</v>
      </c>
      <c r="R33" s="5" t="s">
        <v>489</v>
      </c>
    </row>
    <row r="34" spans="1:18" ht="44.1" customHeight="1">
      <c r="A34" s="5" t="s">
        <v>490</v>
      </c>
      <c r="B34" s="5" t="s">
        <v>491</v>
      </c>
      <c r="C34" s="5" t="s">
        <v>492</v>
      </c>
      <c r="D34" s="5" t="s">
        <v>493</v>
      </c>
      <c r="E34" s="5" t="s">
        <v>494</v>
      </c>
      <c r="F34" s="5" t="s">
        <v>478</v>
      </c>
      <c r="G34" s="5">
        <v>4</v>
      </c>
      <c r="H34" s="5">
        <v>3</v>
      </c>
      <c r="I34" s="5">
        <v>0</v>
      </c>
      <c r="J34" s="5">
        <v>3</v>
      </c>
      <c r="K34" s="5">
        <v>2</v>
      </c>
      <c r="L34" s="5">
        <v>5</v>
      </c>
      <c r="M34" s="5">
        <v>1</v>
      </c>
      <c r="N34" s="5">
        <v>5</v>
      </c>
      <c r="O34" s="5">
        <f t="shared" si="0"/>
        <v>5</v>
      </c>
      <c r="P34" s="5" t="str">
        <f t="shared" si="1"/>
        <v>Dialog / Entscheidung</v>
      </c>
      <c r="Q34" s="5" t="s">
        <v>495</v>
      </c>
      <c r="R34" s="5" t="s">
        <v>496</v>
      </c>
    </row>
    <row r="35" spans="1:18" ht="44.1" customHeight="1">
      <c r="A35" s="5" t="s">
        <v>497</v>
      </c>
      <c r="B35" s="5" t="s">
        <v>475</v>
      </c>
      <c r="C35" s="5" t="s">
        <v>248</v>
      </c>
      <c r="D35" s="5" t="s">
        <v>498</v>
      </c>
      <c r="E35" s="5" t="s">
        <v>499</v>
      </c>
      <c r="F35" s="5" t="s">
        <v>478</v>
      </c>
      <c r="G35" s="5">
        <v>4</v>
      </c>
      <c r="H35" s="5">
        <v>3</v>
      </c>
      <c r="I35" s="5">
        <v>0</v>
      </c>
      <c r="J35" s="5">
        <v>4</v>
      </c>
      <c r="K35" s="5">
        <v>0</v>
      </c>
      <c r="L35" s="5">
        <v>3</v>
      </c>
      <c r="M35" s="5">
        <v>2</v>
      </c>
      <c r="N35" s="5">
        <v>5</v>
      </c>
      <c r="O35" s="5">
        <f t="shared" si="0"/>
        <v>5</v>
      </c>
      <c r="P35" s="5" t="str">
        <f t="shared" si="1"/>
        <v>Medien</v>
      </c>
      <c r="Q35" s="5" t="s">
        <v>500</v>
      </c>
      <c r="R35" s="5" t="s">
        <v>501</v>
      </c>
    </row>
    <row r="36" spans="1:18" ht="44.1" customHeight="1">
      <c r="A36" s="5" t="s">
        <v>502</v>
      </c>
      <c r="B36" s="5" t="s">
        <v>475</v>
      </c>
      <c r="C36" s="5" t="s">
        <v>248</v>
      </c>
      <c r="D36" s="5" t="s">
        <v>503</v>
      </c>
      <c r="E36" s="5" t="s">
        <v>504</v>
      </c>
      <c r="F36" s="5" t="s">
        <v>478</v>
      </c>
      <c r="G36" s="5">
        <v>3</v>
      </c>
      <c r="H36" s="5">
        <v>3</v>
      </c>
      <c r="I36" s="5">
        <v>0</v>
      </c>
      <c r="J36" s="5">
        <v>2</v>
      </c>
      <c r="K36" s="5">
        <v>0</v>
      </c>
      <c r="L36" s="5">
        <v>3</v>
      </c>
      <c r="M36" s="5">
        <v>4</v>
      </c>
      <c r="N36" s="5">
        <v>5</v>
      </c>
      <c r="O36" s="5">
        <f t="shared" si="0"/>
        <v>5</v>
      </c>
      <c r="P36" s="5" t="str">
        <f t="shared" si="1"/>
        <v>Medien</v>
      </c>
      <c r="Q36" s="5" t="s">
        <v>505</v>
      </c>
      <c r="R36" s="5" t="s">
        <v>506</v>
      </c>
    </row>
    <row r="37" spans="1:18" ht="44.1" customHeight="1">
      <c r="A37" s="5" t="s">
        <v>507</v>
      </c>
      <c r="B37" s="5" t="s">
        <v>475</v>
      </c>
      <c r="C37" s="5" t="s">
        <v>248</v>
      </c>
      <c r="D37" s="5" t="s">
        <v>508</v>
      </c>
      <c r="E37" s="5" t="s">
        <v>509</v>
      </c>
      <c r="F37" s="5" t="s">
        <v>478</v>
      </c>
      <c r="G37" s="5">
        <v>3</v>
      </c>
      <c r="H37" s="5">
        <v>3</v>
      </c>
      <c r="I37" s="5">
        <v>0</v>
      </c>
      <c r="J37" s="5">
        <v>2</v>
      </c>
      <c r="K37" s="5">
        <v>4</v>
      </c>
      <c r="L37" s="5">
        <v>3</v>
      </c>
      <c r="M37" s="5">
        <v>1</v>
      </c>
      <c r="N37" s="5">
        <v>5</v>
      </c>
      <c r="O37" s="5">
        <f t="shared" si="0"/>
        <v>5</v>
      </c>
      <c r="P37" s="5" t="str">
        <f t="shared" si="1"/>
        <v>Medien</v>
      </c>
      <c r="Q37" s="5" t="s">
        <v>510</v>
      </c>
      <c r="R37" s="5" t="s">
        <v>511</v>
      </c>
    </row>
    <row r="38" spans="1:18" ht="44.1" customHeight="1">
      <c r="A38" s="5" t="s">
        <v>512</v>
      </c>
      <c r="B38" s="5" t="s">
        <v>513</v>
      </c>
      <c r="C38" s="5" t="s">
        <v>127</v>
      </c>
      <c r="D38" s="5" t="s">
        <v>514</v>
      </c>
      <c r="E38" s="5" t="s">
        <v>515</v>
      </c>
      <c r="F38" s="5" t="s">
        <v>29</v>
      </c>
      <c r="G38" s="5">
        <v>2</v>
      </c>
      <c r="H38" s="5">
        <v>5</v>
      </c>
      <c r="I38" s="5">
        <v>4</v>
      </c>
      <c r="J38" s="5">
        <v>2</v>
      </c>
      <c r="K38" s="5">
        <v>0</v>
      </c>
      <c r="L38" s="5">
        <v>2</v>
      </c>
      <c r="M38" s="5">
        <v>4</v>
      </c>
      <c r="N38" s="5">
        <v>0</v>
      </c>
      <c r="O38" s="5">
        <f t="shared" si="0"/>
        <v>5</v>
      </c>
      <c r="P38" s="5" t="str">
        <f t="shared" si="1"/>
        <v>Beobachtung / Suche</v>
      </c>
      <c r="Q38" s="5" t="s">
        <v>516</v>
      </c>
      <c r="R38" s="5" t="s">
        <v>517</v>
      </c>
    </row>
    <row r="39" spans="1:18" ht="44.1" customHeight="1">
      <c r="A39" s="5" t="s">
        <v>518</v>
      </c>
      <c r="B39" s="5" t="s">
        <v>513</v>
      </c>
      <c r="C39" s="5" t="s">
        <v>127</v>
      </c>
      <c r="D39" s="5" t="s">
        <v>519</v>
      </c>
      <c r="E39" s="5" t="s">
        <v>520</v>
      </c>
      <c r="F39" s="5" t="s">
        <v>29</v>
      </c>
      <c r="G39" s="5">
        <v>2</v>
      </c>
      <c r="H39" s="5">
        <v>5</v>
      </c>
      <c r="I39" s="5">
        <v>3</v>
      </c>
      <c r="J39" s="5">
        <v>1</v>
      </c>
      <c r="K39" s="5">
        <v>0</v>
      </c>
      <c r="L39" s="5">
        <v>2</v>
      </c>
      <c r="M39" s="5">
        <v>4</v>
      </c>
      <c r="N39" s="5">
        <v>0</v>
      </c>
      <c r="O39" s="5">
        <f t="shared" si="0"/>
        <v>5</v>
      </c>
      <c r="P39" s="5" t="str">
        <f t="shared" si="1"/>
        <v>Beobachtung / Suche</v>
      </c>
      <c r="Q39" s="5" t="s">
        <v>521</v>
      </c>
      <c r="R39" s="5" t="s">
        <v>522</v>
      </c>
    </row>
    <row r="40" spans="1:18" ht="44.1" customHeight="1">
      <c r="A40" s="5" t="s">
        <v>523</v>
      </c>
      <c r="B40" s="5" t="s">
        <v>513</v>
      </c>
      <c r="C40" s="5" t="s">
        <v>127</v>
      </c>
      <c r="D40" s="5" t="s">
        <v>524</v>
      </c>
      <c r="E40" s="5" t="s">
        <v>525</v>
      </c>
      <c r="F40" s="5" t="s">
        <v>29</v>
      </c>
      <c r="G40" s="5">
        <v>2</v>
      </c>
      <c r="H40" s="5">
        <v>5</v>
      </c>
      <c r="I40" s="5">
        <v>3</v>
      </c>
      <c r="J40" s="5">
        <v>4</v>
      </c>
      <c r="K40" s="5">
        <v>0</v>
      </c>
      <c r="L40" s="5">
        <v>2</v>
      </c>
      <c r="M40" s="5">
        <v>4</v>
      </c>
      <c r="N40" s="5">
        <v>0</v>
      </c>
      <c r="O40" s="5">
        <f t="shared" si="0"/>
        <v>5</v>
      </c>
      <c r="P40" s="5" t="str">
        <f t="shared" si="1"/>
        <v>Beobachtung / Suche</v>
      </c>
      <c r="Q40" s="5" t="s">
        <v>526</v>
      </c>
      <c r="R40" s="5" t="s">
        <v>527</v>
      </c>
    </row>
    <row r="41" spans="1:18" ht="44.1" customHeight="1">
      <c r="A41" s="5" t="s">
        <v>528</v>
      </c>
      <c r="B41" s="5" t="s">
        <v>513</v>
      </c>
      <c r="C41" s="5" t="s">
        <v>248</v>
      </c>
      <c r="D41" s="5" t="s">
        <v>529</v>
      </c>
      <c r="E41" s="5" t="s">
        <v>530</v>
      </c>
      <c r="F41" s="5" t="s">
        <v>29</v>
      </c>
      <c r="G41" s="5">
        <v>2</v>
      </c>
      <c r="H41" s="5">
        <v>5</v>
      </c>
      <c r="I41" s="5">
        <v>3</v>
      </c>
      <c r="J41" s="5">
        <v>5</v>
      </c>
      <c r="K41" s="5">
        <v>3</v>
      </c>
      <c r="L41" s="5">
        <v>2</v>
      </c>
      <c r="M41" s="5">
        <v>1</v>
      </c>
      <c r="N41" s="5">
        <v>0</v>
      </c>
      <c r="O41" s="5">
        <f t="shared" si="0"/>
        <v>5</v>
      </c>
      <c r="P41" s="5" t="str">
        <f t="shared" si="1"/>
        <v>Beobachtung / Suche</v>
      </c>
      <c r="Q41" s="5" t="s">
        <v>531</v>
      </c>
      <c r="R41" s="5" t="s">
        <v>532</v>
      </c>
    </row>
    <row r="42" spans="1:18" ht="44.1" customHeight="1">
      <c r="A42" s="5" t="s">
        <v>533</v>
      </c>
      <c r="B42" s="5" t="s">
        <v>513</v>
      </c>
      <c r="C42" s="5" t="s">
        <v>248</v>
      </c>
      <c r="D42" s="5" t="s">
        <v>534</v>
      </c>
      <c r="E42" s="5" t="s">
        <v>535</v>
      </c>
      <c r="F42" s="5" t="s">
        <v>29</v>
      </c>
      <c r="G42" s="5">
        <v>2</v>
      </c>
      <c r="H42" s="5">
        <v>5</v>
      </c>
      <c r="I42" s="5">
        <v>3</v>
      </c>
      <c r="J42" s="5">
        <v>4</v>
      </c>
      <c r="K42" s="5">
        <v>4</v>
      </c>
      <c r="L42" s="5">
        <v>2</v>
      </c>
      <c r="M42" s="5">
        <v>2</v>
      </c>
      <c r="N42" s="5">
        <v>0</v>
      </c>
      <c r="O42" s="5">
        <f t="shared" si="0"/>
        <v>5</v>
      </c>
      <c r="P42" s="5" t="str">
        <f t="shared" si="1"/>
        <v>Beobachtung / Suche</v>
      </c>
      <c r="Q42" s="5" t="s">
        <v>536</v>
      </c>
      <c r="R42" s="5" t="s">
        <v>527</v>
      </c>
    </row>
    <row r="43" spans="1:18" ht="44.1" customHeight="1">
      <c r="A43" s="5" t="s">
        <v>537</v>
      </c>
      <c r="B43" s="5" t="s">
        <v>538</v>
      </c>
      <c r="C43" s="5" t="s">
        <v>127</v>
      </c>
      <c r="D43" s="5" t="s">
        <v>539</v>
      </c>
      <c r="E43" s="5" t="s">
        <v>540</v>
      </c>
      <c r="F43" s="5" t="s">
        <v>35</v>
      </c>
      <c r="G43" s="5">
        <v>3</v>
      </c>
      <c r="H43" s="5">
        <v>3</v>
      </c>
      <c r="I43" s="5">
        <v>1</v>
      </c>
      <c r="J43" s="5">
        <v>1</v>
      </c>
      <c r="K43" s="5">
        <v>0</v>
      </c>
      <c r="L43" s="5">
        <v>4</v>
      </c>
      <c r="M43" s="5">
        <v>5</v>
      </c>
      <c r="N43" s="5">
        <v>1</v>
      </c>
      <c r="O43" s="5">
        <f t="shared" si="0"/>
        <v>5</v>
      </c>
      <c r="P43" s="5" t="str">
        <f t="shared" si="1"/>
        <v>Kampf</v>
      </c>
      <c r="Q43" s="5" t="s">
        <v>541</v>
      </c>
      <c r="R43" s="5" t="s">
        <v>542</v>
      </c>
    </row>
    <row r="44" spans="1:18" ht="44.1" customHeight="1">
      <c r="A44" s="6" t="s">
        <v>543</v>
      </c>
      <c r="B44" s="6" t="s">
        <v>538</v>
      </c>
      <c r="C44" s="6" t="s">
        <v>248</v>
      </c>
      <c r="D44" s="6" t="s">
        <v>544</v>
      </c>
      <c r="E44" s="6" t="s">
        <v>545</v>
      </c>
      <c r="F44" s="6" t="s">
        <v>35</v>
      </c>
      <c r="G44" s="6">
        <v>3</v>
      </c>
      <c r="H44" s="6">
        <v>3</v>
      </c>
      <c r="I44" s="6">
        <v>1</v>
      </c>
      <c r="J44" s="6">
        <v>1</v>
      </c>
      <c r="K44" s="6">
        <v>0</v>
      </c>
      <c r="L44" s="6">
        <v>4</v>
      </c>
      <c r="M44" s="6">
        <v>5</v>
      </c>
      <c r="N44" s="6">
        <v>1</v>
      </c>
      <c r="O44" s="6">
        <f t="shared" si="0"/>
        <v>5</v>
      </c>
      <c r="P44" s="6" t="str">
        <f t="shared" si="1"/>
        <v>Kampf</v>
      </c>
      <c r="Q44" s="6" t="s">
        <v>546</v>
      </c>
      <c r="R44" s="6" t="s">
        <v>547</v>
      </c>
    </row>
  </sheetData>
  <mergeCells count="2">
    <mergeCell ref="A1:R1"/>
    <mergeCell ref="A2:R2"/>
  </mergeCells>
  <conditionalFormatting sqref="G5:N44">
    <cfRule type="colorScale" priority="1">
      <colorScale>
        <cfvo type="min"/>
        <cfvo type="percentile" val="50"/>
        <cfvo type="max"/>
        <color rgb="FFF4CCCC"/>
        <color rgb="FFFFF0BD"/>
        <color rgb="FFD8F0DC"/>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5"/>
  <sheetViews>
    <sheetView showGridLines="0" workbookViewId="0">
      <selection sqref="A1:U1"/>
    </sheetView>
  </sheetViews>
  <sheetFormatPr baseColWidth="10" defaultColWidth="9" defaultRowHeight="14.25"/>
  <cols>
    <col min="1" max="1" width="13" customWidth="1"/>
    <col min="2" max="2" width="14" customWidth="1"/>
    <col min="3" max="3" width="11" customWidth="1"/>
    <col min="4" max="4" width="9" customWidth="1"/>
    <col min="5" max="5" width="33" customWidth="1"/>
    <col min="6" max="6" width="28" customWidth="1"/>
    <col min="7" max="7" width="22" customWidth="1"/>
    <col min="8" max="8" width="30" customWidth="1"/>
    <col min="9" max="10" width="12" customWidth="1"/>
    <col min="11" max="11" width="10" customWidth="1"/>
    <col min="12" max="12" width="26" customWidth="1"/>
    <col min="13" max="13" width="48" customWidth="1"/>
    <col min="14" max="14" width="55" customWidth="1"/>
    <col min="15" max="15" width="22" customWidth="1"/>
    <col min="16" max="16" width="45" customWidth="1"/>
    <col min="17" max="17" width="42" customWidth="1"/>
    <col min="18" max="18" width="18" customWidth="1"/>
    <col min="19" max="19" width="20" customWidth="1"/>
    <col min="20" max="20" width="55" customWidth="1"/>
    <col min="21" max="21" width="28" customWidth="1"/>
  </cols>
  <sheetData>
    <row r="1" spans="1:21" ht="30" customHeight="1">
      <c r="A1" s="69" t="s">
        <v>548</v>
      </c>
      <c r="B1" s="69"/>
      <c r="C1" s="69"/>
      <c r="D1" s="69"/>
      <c r="E1" s="69"/>
      <c r="F1" s="69"/>
      <c r="G1" s="69"/>
      <c r="H1" s="69"/>
      <c r="I1" s="69"/>
      <c r="J1" s="69"/>
      <c r="K1" s="69"/>
      <c r="L1" s="69"/>
      <c r="M1" s="69"/>
      <c r="N1" s="69"/>
      <c r="O1" s="69"/>
      <c r="P1" s="69"/>
      <c r="Q1" s="69"/>
      <c r="R1" s="69"/>
      <c r="S1" s="69"/>
      <c r="T1" s="69"/>
      <c r="U1" s="69"/>
    </row>
    <row r="2" spans="1:21" ht="32.1" customHeight="1">
      <c r="A2" s="70" t="s">
        <v>549</v>
      </c>
      <c r="B2" s="70"/>
      <c r="C2" s="70"/>
      <c r="D2" s="70"/>
      <c r="E2" s="70"/>
      <c r="F2" s="70"/>
      <c r="G2" s="70"/>
      <c r="H2" s="70"/>
      <c r="I2" s="70"/>
      <c r="J2" s="70"/>
      <c r="K2" s="70"/>
      <c r="L2" s="70"/>
      <c r="M2" s="70"/>
      <c r="N2" s="70"/>
      <c r="O2" s="70"/>
      <c r="P2" s="70"/>
      <c r="Q2" s="70"/>
      <c r="R2" s="70"/>
      <c r="S2" s="70"/>
      <c r="T2" s="70"/>
      <c r="U2" s="70"/>
    </row>
    <row r="3" spans="1:21">
      <c r="A3" s="24"/>
      <c r="B3" s="24"/>
      <c r="C3" s="24"/>
      <c r="D3" s="24"/>
      <c r="E3" s="24"/>
      <c r="F3" s="24"/>
      <c r="G3" s="24"/>
      <c r="H3" s="24"/>
      <c r="I3" s="24"/>
      <c r="J3" s="24"/>
      <c r="K3" s="24"/>
      <c r="L3" s="24"/>
      <c r="M3" s="24"/>
      <c r="N3" s="24"/>
      <c r="O3" s="24"/>
      <c r="P3" s="24"/>
      <c r="Q3" s="24"/>
      <c r="R3" s="24"/>
      <c r="S3" s="24"/>
      <c r="T3" s="24"/>
      <c r="U3" s="24"/>
    </row>
    <row r="4" spans="1:21" ht="25.5">
      <c r="A4" s="25" t="s">
        <v>97</v>
      </c>
      <c r="B4" s="25" t="s">
        <v>550</v>
      </c>
      <c r="C4" s="25" t="s">
        <v>98</v>
      </c>
      <c r="D4" s="25" t="s">
        <v>551</v>
      </c>
      <c r="E4" s="25" t="s">
        <v>552</v>
      </c>
      <c r="F4" s="25" t="s">
        <v>553</v>
      </c>
      <c r="G4" s="25" t="s">
        <v>554</v>
      </c>
      <c r="H4" s="25" t="s">
        <v>555</v>
      </c>
      <c r="I4" s="25" t="s">
        <v>556</v>
      </c>
      <c r="J4" s="25" t="s">
        <v>557</v>
      </c>
      <c r="K4" s="25" t="s">
        <v>558</v>
      </c>
      <c r="L4" s="25" t="s">
        <v>559</v>
      </c>
      <c r="M4" s="25" t="s">
        <v>560</v>
      </c>
      <c r="N4" s="25" t="s">
        <v>561</v>
      </c>
      <c r="O4" s="25" t="s">
        <v>562</v>
      </c>
      <c r="P4" s="25" t="s">
        <v>563</v>
      </c>
      <c r="Q4" s="25" t="s">
        <v>564</v>
      </c>
      <c r="R4" s="25" t="s">
        <v>565</v>
      </c>
      <c r="S4" s="25" t="s">
        <v>566</v>
      </c>
      <c r="T4" s="25" t="s">
        <v>567</v>
      </c>
      <c r="U4" s="25" t="s">
        <v>568</v>
      </c>
    </row>
    <row r="5" spans="1:21" ht="57.95" customHeight="1">
      <c r="A5" s="4" t="s">
        <v>126</v>
      </c>
      <c r="B5" s="4" t="s">
        <v>473</v>
      </c>
      <c r="C5" s="4" t="s">
        <v>127</v>
      </c>
      <c r="D5" s="4">
        <v>1</v>
      </c>
      <c r="E5" s="4" t="s">
        <v>569</v>
      </c>
      <c r="F5" s="4" t="s">
        <v>477</v>
      </c>
      <c r="G5" s="4" t="s">
        <v>570</v>
      </c>
      <c r="H5" s="4" t="s">
        <v>571</v>
      </c>
      <c r="I5" s="7">
        <v>41.902228600000001</v>
      </c>
      <c r="J5" s="7">
        <v>12.4573576</v>
      </c>
      <c r="K5" s="4" t="s">
        <v>572</v>
      </c>
      <c r="L5" s="4" t="s">
        <v>573</v>
      </c>
      <c r="M5" s="4" t="s">
        <v>574</v>
      </c>
      <c r="N5" s="4" t="s">
        <v>575</v>
      </c>
      <c r="O5" s="4" t="s">
        <v>576</v>
      </c>
      <c r="P5" s="4" t="s">
        <v>577</v>
      </c>
      <c r="Q5" s="4" t="s">
        <v>578</v>
      </c>
      <c r="R5" s="10">
        <f t="shared" ref="R5:R36" si="0">IF(A5=A4,ROUND(SQRT(POWER((I5-I4)*111000,2)+POWER((J5-J4)*111000*COS(RADIANS((I5+I4)/2)),2)),0),0)</f>
        <v>0</v>
      </c>
      <c r="S5" s="10">
        <f>ROUND(R5*Kriterien!$B$6,0)</f>
        <v>0</v>
      </c>
      <c r="T5" s="4" t="s">
        <v>579</v>
      </c>
      <c r="U5" s="4" t="s">
        <v>133</v>
      </c>
    </row>
    <row r="6" spans="1:21" ht="57.95" customHeight="1">
      <c r="A6" s="5" t="s">
        <v>126</v>
      </c>
      <c r="B6" s="5" t="s">
        <v>473</v>
      </c>
      <c r="C6" s="5" t="s">
        <v>127</v>
      </c>
      <c r="D6" s="5">
        <v>2</v>
      </c>
      <c r="E6" s="5" t="s">
        <v>580</v>
      </c>
      <c r="F6" s="5" t="s">
        <v>581</v>
      </c>
      <c r="G6" s="5" t="s">
        <v>582</v>
      </c>
      <c r="H6" s="5" t="s">
        <v>571</v>
      </c>
      <c r="I6" s="8">
        <v>41.903273300000002</v>
      </c>
      <c r="J6" s="8">
        <v>12.4610723</v>
      </c>
      <c r="K6" s="5" t="s">
        <v>583</v>
      </c>
      <c r="L6" s="5" t="s">
        <v>584</v>
      </c>
      <c r="M6" s="5" t="s">
        <v>585</v>
      </c>
      <c r="N6" s="5" t="s">
        <v>586</v>
      </c>
      <c r="O6" s="5" t="s">
        <v>587</v>
      </c>
      <c r="P6" s="5" t="s">
        <v>588</v>
      </c>
      <c r="Q6" s="5" t="s">
        <v>589</v>
      </c>
      <c r="R6" s="11">
        <f t="shared" si="0"/>
        <v>328</v>
      </c>
      <c r="S6" s="11">
        <f>ROUND(R6*Kriterien!$B$6,0)</f>
        <v>410</v>
      </c>
      <c r="T6" s="5" t="s">
        <v>590</v>
      </c>
      <c r="U6" s="5" t="s">
        <v>133</v>
      </c>
    </row>
    <row r="7" spans="1:21" ht="57.95" customHeight="1">
      <c r="A7" s="5" t="s">
        <v>126</v>
      </c>
      <c r="B7" s="5" t="s">
        <v>473</v>
      </c>
      <c r="C7" s="5" t="s">
        <v>127</v>
      </c>
      <c r="D7" s="5">
        <v>3</v>
      </c>
      <c r="E7" s="5" t="s">
        <v>591</v>
      </c>
      <c r="F7" s="5" t="s">
        <v>592</v>
      </c>
      <c r="G7" s="5" t="s">
        <v>593</v>
      </c>
      <c r="H7" s="5" t="s">
        <v>571</v>
      </c>
      <c r="I7" s="8">
        <v>41.902619999999999</v>
      </c>
      <c r="J7" s="8">
        <v>12.46686</v>
      </c>
      <c r="K7" s="5" t="s">
        <v>583</v>
      </c>
      <c r="L7" s="5" t="s">
        <v>594</v>
      </c>
      <c r="M7" s="5" t="s">
        <v>595</v>
      </c>
      <c r="N7" s="5" t="s">
        <v>596</v>
      </c>
      <c r="O7" s="5" t="s">
        <v>597</v>
      </c>
      <c r="P7" s="5" t="s">
        <v>598</v>
      </c>
      <c r="Q7" s="5" t="s">
        <v>599</v>
      </c>
      <c r="R7" s="11">
        <f t="shared" si="0"/>
        <v>484</v>
      </c>
      <c r="S7" s="11">
        <f>ROUND(R7*Kriterien!$B$6,0)</f>
        <v>605</v>
      </c>
      <c r="T7" s="5" t="s">
        <v>600</v>
      </c>
      <c r="U7" s="5" t="s">
        <v>133</v>
      </c>
    </row>
    <row r="8" spans="1:21" ht="57.95" customHeight="1">
      <c r="A8" s="5" t="s">
        <v>136</v>
      </c>
      <c r="B8" s="5" t="s">
        <v>473</v>
      </c>
      <c r="C8" s="5" t="s">
        <v>127</v>
      </c>
      <c r="D8" s="5">
        <v>1</v>
      </c>
      <c r="E8" s="5" t="s">
        <v>601</v>
      </c>
      <c r="F8" s="5" t="s">
        <v>602</v>
      </c>
      <c r="G8" s="5" t="s">
        <v>570</v>
      </c>
      <c r="H8" s="5" t="s">
        <v>571</v>
      </c>
      <c r="I8" s="8">
        <v>41.903385999999998</v>
      </c>
      <c r="J8" s="8">
        <v>12.4571483</v>
      </c>
      <c r="K8" s="5" t="s">
        <v>572</v>
      </c>
      <c r="L8" s="5" t="s">
        <v>603</v>
      </c>
      <c r="M8" s="5" t="s">
        <v>604</v>
      </c>
      <c r="N8" s="5" t="s">
        <v>605</v>
      </c>
      <c r="O8" s="5" t="s">
        <v>606</v>
      </c>
      <c r="P8" s="5" t="s">
        <v>607</v>
      </c>
      <c r="Q8" s="5" t="s">
        <v>608</v>
      </c>
      <c r="R8" s="11">
        <f t="shared" si="0"/>
        <v>0</v>
      </c>
      <c r="S8" s="11">
        <f>ROUND(R8*Kriterien!$B$6,0)</f>
        <v>0</v>
      </c>
      <c r="T8" s="5" t="s">
        <v>609</v>
      </c>
      <c r="U8" s="5" t="s">
        <v>141</v>
      </c>
    </row>
    <row r="9" spans="1:21" ht="57.95" customHeight="1">
      <c r="A9" s="5" t="s">
        <v>136</v>
      </c>
      <c r="B9" s="5" t="s">
        <v>473</v>
      </c>
      <c r="C9" s="5" t="s">
        <v>127</v>
      </c>
      <c r="D9" s="5">
        <v>2</v>
      </c>
      <c r="E9" s="5" t="s">
        <v>610</v>
      </c>
      <c r="F9" s="5" t="s">
        <v>611</v>
      </c>
      <c r="G9" s="5" t="s">
        <v>582</v>
      </c>
      <c r="H9" s="5" t="s">
        <v>571</v>
      </c>
      <c r="I9" s="8">
        <v>41.900388300000003</v>
      </c>
      <c r="J9" s="8">
        <v>12.456314799999999</v>
      </c>
      <c r="K9" s="5" t="s">
        <v>572</v>
      </c>
      <c r="L9" s="5" t="s">
        <v>612</v>
      </c>
      <c r="M9" s="5" t="s">
        <v>613</v>
      </c>
      <c r="N9" s="5" t="s">
        <v>614</v>
      </c>
      <c r="O9" s="5" t="s">
        <v>615</v>
      </c>
      <c r="P9" s="5" t="s">
        <v>616</v>
      </c>
      <c r="Q9" s="5" t="s">
        <v>617</v>
      </c>
      <c r="R9" s="11">
        <f t="shared" si="0"/>
        <v>340</v>
      </c>
      <c r="S9" s="11">
        <f>ROUND(R9*Kriterien!$B$6,0)</f>
        <v>425</v>
      </c>
      <c r="T9" s="5" t="s">
        <v>618</v>
      </c>
      <c r="U9" s="5" t="s">
        <v>141</v>
      </c>
    </row>
    <row r="10" spans="1:21" ht="57.95" customHeight="1">
      <c r="A10" s="5" t="s">
        <v>136</v>
      </c>
      <c r="B10" s="5" t="s">
        <v>473</v>
      </c>
      <c r="C10" s="5" t="s">
        <v>127</v>
      </c>
      <c r="D10" s="5">
        <v>3</v>
      </c>
      <c r="E10" s="5" t="s">
        <v>619</v>
      </c>
      <c r="F10" s="5" t="s">
        <v>620</v>
      </c>
      <c r="G10" s="5" t="s">
        <v>593</v>
      </c>
      <c r="H10" s="5" t="s">
        <v>571</v>
      </c>
      <c r="I10" s="8">
        <v>41.900304499999997</v>
      </c>
      <c r="J10" s="8">
        <v>12.461587400000001</v>
      </c>
      <c r="K10" s="5" t="s">
        <v>583</v>
      </c>
      <c r="L10" s="5" t="s">
        <v>584</v>
      </c>
      <c r="M10" s="5" t="s">
        <v>621</v>
      </c>
      <c r="N10" s="5" t="s">
        <v>622</v>
      </c>
      <c r="O10" s="5" t="s">
        <v>623</v>
      </c>
      <c r="P10" s="5" t="s">
        <v>624</v>
      </c>
      <c r="Q10" s="5" t="s">
        <v>625</v>
      </c>
      <c r="R10" s="11">
        <f t="shared" si="0"/>
        <v>436</v>
      </c>
      <c r="S10" s="11">
        <f>ROUND(R10*Kriterien!$B$6,0)</f>
        <v>545</v>
      </c>
      <c r="T10" s="5" t="s">
        <v>626</v>
      </c>
      <c r="U10" s="5" t="s">
        <v>141</v>
      </c>
    </row>
    <row r="11" spans="1:21" ht="57.95" customHeight="1">
      <c r="A11" s="5" t="s">
        <v>144</v>
      </c>
      <c r="B11" s="5" t="s">
        <v>473</v>
      </c>
      <c r="C11" s="5" t="s">
        <v>127</v>
      </c>
      <c r="D11" s="5">
        <v>1</v>
      </c>
      <c r="E11" s="5" t="s">
        <v>627</v>
      </c>
      <c r="F11" s="5" t="s">
        <v>628</v>
      </c>
      <c r="G11" s="5" t="s">
        <v>570</v>
      </c>
      <c r="H11" s="5" t="s">
        <v>629</v>
      </c>
      <c r="I11" s="8">
        <v>41.910749099999997</v>
      </c>
      <c r="J11" s="8">
        <v>12.4763454</v>
      </c>
      <c r="K11" s="5" t="s">
        <v>583</v>
      </c>
      <c r="L11" s="5" t="s">
        <v>630</v>
      </c>
      <c r="M11" s="5" t="s">
        <v>631</v>
      </c>
      <c r="N11" s="5" t="s">
        <v>632</v>
      </c>
      <c r="O11" s="5" t="s">
        <v>633</v>
      </c>
      <c r="P11" s="5" t="s">
        <v>634</v>
      </c>
      <c r="Q11" s="5" t="s">
        <v>635</v>
      </c>
      <c r="R11" s="11">
        <f t="shared" si="0"/>
        <v>0</v>
      </c>
      <c r="S11" s="11">
        <f>ROUND(R11*Kriterien!$B$6,0)</f>
        <v>0</v>
      </c>
      <c r="T11" s="5" t="s">
        <v>636</v>
      </c>
      <c r="U11" s="5"/>
    </row>
    <row r="12" spans="1:21" ht="57.95" customHeight="1">
      <c r="A12" s="5" t="s">
        <v>144</v>
      </c>
      <c r="B12" s="5" t="s">
        <v>473</v>
      </c>
      <c r="C12" s="5" t="s">
        <v>127</v>
      </c>
      <c r="D12" s="5">
        <v>2</v>
      </c>
      <c r="E12" s="5" t="s">
        <v>637</v>
      </c>
      <c r="F12" s="5" t="s">
        <v>638</v>
      </c>
      <c r="G12" s="5" t="s">
        <v>582</v>
      </c>
      <c r="H12" s="5" t="s">
        <v>629</v>
      </c>
      <c r="I12" s="8">
        <v>41.910707700000003</v>
      </c>
      <c r="J12" s="8">
        <v>12.476343099999999</v>
      </c>
      <c r="K12" s="5" t="s">
        <v>583</v>
      </c>
      <c r="L12" s="5" t="s">
        <v>630</v>
      </c>
      <c r="M12" s="5" t="s">
        <v>639</v>
      </c>
      <c r="N12" s="5" t="s">
        <v>640</v>
      </c>
      <c r="O12" s="5" t="s">
        <v>641</v>
      </c>
      <c r="P12" s="5" t="s">
        <v>642</v>
      </c>
      <c r="Q12" s="5" t="s">
        <v>643</v>
      </c>
      <c r="R12" s="11">
        <f t="shared" si="0"/>
        <v>5</v>
      </c>
      <c r="S12" s="11">
        <f>ROUND(R12*Kriterien!$B$6,0)</f>
        <v>6</v>
      </c>
      <c r="T12" s="5" t="s">
        <v>636</v>
      </c>
      <c r="U12" s="5"/>
    </row>
    <row r="13" spans="1:21" ht="57.95" customHeight="1">
      <c r="A13" s="5" t="s">
        <v>144</v>
      </c>
      <c r="B13" s="5" t="s">
        <v>473</v>
      </c>
      <c r="C13" s="5" t="s">
        <v>127</v>
      </c>
      <c r="D13" s="5">
        <v>3</v>
      </c>
      <c r="E13" s="5" t="s">
        <v>644</v>
      </c>
      <c r="F13" s="5" t="s">
        <v>645</v>
      </c>
      <c r="G13" s="5" t="s">
        <v>593</v>
      </c>
      <c r="H13" s="5" t="s">
        <v>629</v>
      </c>
      <c r="I13" s="8">
        <v>41.9115252</v>
      </c>
      <c r="J13" s="8">
        <v>12.475994099999999</v>
      </c>
      <c r="K13" s="5" t="s">
        <v>583</v>
      </c>
      <c r="L13" s="5" t="s">
        <v>630</v>
      </c>
      <c r="M13" s="5" t="s">
        <v>646</v>
      </c>
      <c r="N13" s="5" t="s">
        <v>647</v>
      </c>
      <c r="O13" s="5" t="s">
        <v>648</v>
      </c>
      <c r="P13" s="5" t="s">
        <v>649</v>
      </c>
      <c r="Q13" s="5" t="s">
        <v>650</v>
      </c>
      <c r="R13" s="11">
        <f t="shared" si="0"/>
        <v>95</v>
      </c>
      <c r="S13" s="11">
        <f>ROUND(R13*Kriterien!$B$6,0)</f>
        <v>119</v>
      </c>
      <c r="T13" s="5" t="s">
        <v>626</v>
      </c>
      <c r="U13" s="5"/>
    </row>
    <row r="14" spans="1:21" ht="57.95" customHeight="1">
      <c r="A14" s="5" t="s">
        <v>151</v>
      </c>
      <c r="B14" s="5" t="s">
        <v>473</v>
      </c>
      <c r="C14" s="5" t="s">
        <v>127</v>
      </c>
      <c r="D14" s="5">
        <v>1</v>
      </c>
      <c r="E14" s="5" t="s">
        <v>651</v>
      </c>
      <c r="F14" s="5" t="s">
        <v>652</v>
      </c>
      <c r="G14" s="5" t="s">
        <v>570</v>
      </c>
      <c r="H14" s="5" t="s">
        <v>629</v>
      </c>
      <c r="I14" s="8">
        <v>41.910809200000003</v>
      </c>
      <c r="J14" s="8">
        <v>12.479749</v>
      </c>
      <c r="K14" s="5" t="s">
        <v>583</v>
      </c>
      <c r="L14" s="5" t="s">
        <v>653</v>
      </c>
      <c r="M14" s="5" t="s">
        <v>654</v>
      </c>
      <c r="N14" s="5" t="s">
        <v>655</v>
      </c>
      <c r="O14" s="5" t="s">
        <v>656</v>
      </c>
      <c r="P14" s="5" t="s">
        <v>657</v>
      </c>
      <c r="Q14" s="5" t="s">
        <v>658</v>
      </c>
      <c r="R14" s="11">
        <f t="shared" si="0"/>
        <v>0</v>
      </c>
      <c r="S14" s="11">
        <f>ROUND(R14*Kriterien!$B$6,0)</f>
        <v>0</v>
      </c>
      <c r="T14" s="5" t="s">
        <v>636</v>
      </c>
      <c r="U14" s="5" t="s">
        <v>156</v>
      </c>
    </row>
    <row r="15" spans="1:21" ht="57.95" customHeight="1">
      <c r="A15" s="5" t="s">
        <v>151</v>
      </c>
      <c r="B15" s="5" t="s">
        <v>473</v>
      </c>
      <c r="C15" s="5" t="s">
        <v>127</v>
      </c>
      <c r="D15" s="5">
        <v>2</v>
      </c>
      <c r="E15" s="5" t="s">
        <v>659</v>
      </c>
      <c r="F15" s="5" t="s">
        <v>660</v>
      </c>
      <c r="G15" s="5" t="s">
        <v>582</v>
      </c>
      <c r="H15" s="5" t="s">
        <v>629</v>
      </c>
      <c r="I15" s="8">
        <v>41.910916700000001</v>
      </c>
      <c r="J15" s="8">
        <v>12.4771784</v>
      </c>
      <c r="K15" s="5" t="s">
        <v>583</v>
      </c>
      <c r="L15" s="5" t="s">
        <v>653</v>
      </c>
      <c r="M15" s="5" t="s">
        <v>661</v>
      </c>
      <c r="N15" s="5" t="s">
        <v>662</v>
      </c>
      <c r="O15" s="5" t="s">
        <v>663</v>
      </c>
      <c r="P15" s="5" t="s">
        <v>664</v>
      </c>
      <c r="Q15" s="5" t="s">
        <v>665</v>
      </c>
      <c r="R15" s="11">
        <f t="shared" si="0"/>
        <v>213</v>
      </c>
      <c r="S15" s="11">
        <f>ROUND(R15*Kriterien!$B$6,0)</f>
        <v>266</v>
      </c>
      <c r="T15" s="5" t="s">
        <v>626</v>
      </c>
      <c r="U15" s="5" t="s">
        <v>156</v>
      </c>
    </row>
    <row r="16" spans="1:21" ht="57.95" customHeight="1">
      <c r="A16" s="5" t="s">
        <v>151</v>
      </c>
      <c r="B16" s="5" t="s">
        <v>473</v>
      </c>
      <c r="C16" s="5" t="s">
        <v>127</v>
      </c>
      <c r="D16" s="5">
        <v>3</v>
      </c>
      <c r="E16" s="5" t="s">
        <v>666</v>
      </c>
      <c r="F16" s="5" t="s">
        <v>667</v>
      </c>
      <c r="G16" s="5" t="s">
        <v>593</v>
      </c>
      <c r="H16" s="5" t="s">
        <v>629</v>
      </c>
      <c r="I16" s="8">
        <v>41.9110905</v>
      </c>
      <c r="J16" s="8">
        <v>12.477934599999999</v>
      </c>
      <c r="K16" s="5" t="s">
        <v>583</v>
      </c>
      <c r="L16" s="5" t="s">
        <v>653</v>
      </c>
      <c r="M16" s="5" t="s">
        <v>668</v>
      </c>
      <c r="N16" s="5" t="s">
        <v>669</v>
      </c>
      <c r="O16" s="5" t="s">
        <v>628</v>
      </c>
      <c r="P16" s="5" t="s">
        <v>670</v>
      </c>
      <c r="Q16" s="5" t="s">
        <v>671</v>
      </c>
      <c r="R16" s="11">
        <f t="shared" si="0"/>
        <v>65</v>
      </c>
      <c r="S16" s="11">
        <f>ROUND(R16*Kriterien!$B$6,0)</f>
        <v>81</v>
      </c>
      <c r="T16" s="5" t="s">
        <v>626</v>
      </c>
      <c r="U16" s="5" t="s">
        <v>156</v>
      </c>
    </row>
    <row r="17" spans="1:21" ht="57.95" customHeight="1">
      <c r="A17" s="5" t="s">
        <v>159</v>
      </c>
      <c r="B17" s="5" t="s">
        <v>473</v>
      </c>
      <c r="C17" s="5" t="s">
        <v>127</v>
      </c>
      <c r="D17" s="5">
        <v>1</v>
      </c>
      <c r="E17" s="5" t="s">
        <v>672</v>
      </c>
      <c r="F17" s="5" t="s">
        <v>161</v>
      </c>
      <c r="G17" s="5" t="s">
        <v>570</v>
      </c>
      <c r="H17" s="5" t="s">
        <v>629</v>
      </c>
      <c r="I17" s="8">
        <v>41.9056657</v>
      </c>
      <c r="J17" s="8">
        <v>12.482277099999999</v>
      </c>
      <c r="K17" s="5" t="s">
        <v>583</v>
      </c>
      <c r="L17" s="5" t="s">
        <v>673</v>
      </c>
      <c r="M17" s="5" t="s">
        <v>674</v>
      </c>
      <c r="N17" s="5" t="s">
        <v>675</v>
      </c>
      <c r="O17" s="5" t="s">
        <v>676</v>
      </c>
      <c r="P17" s="5" t="s">
        <v>677</v>
      </c>
      <c r="Q17" s="5" t="s">
        <v>678</v>
      </c>
      <c r="R17" s="11">
        <f t="shared" si="0"/>
        <v>0</v>
      </c>
      <c r="S17" s="11">
        <f>ROUND(R17*Kriterien!$B$6,0)</f>
        <v>0</v>
      </c>
      <c r="T17" s="5" t="s">
        <v>679</v>
      </c>
      <c r="U17" s="5"/>
    </row>
    <row r="18" spans="1:21" ht="57.95" customHeight="1">
      <c r="A18" s="5" t="s">
        <v>166</v>
      </c>
      <c r="B18" s="5" t="s">
        <v>473</v>
      </c>
      <c r="C18" s="5" t="s">
        <v>127</v>
      </c>
      <c r="D18" s="5">
        <v>1</v>
      </c>
      <c r="E18" s="5" t="s">
        <v>680</v>
      </c>
      <c r="F18" s="5" t="s">
        <v>681</v>
      </c>
      <c r="G18" s="5" t="s">
        <v>570</v>
      </c>
      <c r="H18" s="5" t="s">
        <v>682</v>
      </c>
      <c r="I18" s="8">
        <v>41.898925599999998</v>
      </c>
      <c r="J18" s="8">
        <v>12.473099100000001</v>
      </c>
      <c r="K18" s="5" t="s">
        <v>583</v>
      </c>
      <c r="L18" s="5" t="s">
        <v>673</v>
      </c>
      <c r="M18" s="5" t="s">
        <v>683</v>
      </c>
      <c r="N18" s="5" t="s">
        <v>684</v>
      </c>
      <c r="O18" s="5" t="s">
        <v>648</v>
      </c>
      <c r="P18" s="5" t="s">
        <v>685</v>
      </c>
      <c r="Q18" s="5" t="s">
        <v>686</v>
      </c>
      <c r="R18" s="11">
        <f t="shared" si="0"/>
        <v>0</v>
      </c>
      <c r="S18" s="11">
        <f>ROUND(R18*Kriterien!$B$6,0)</f>
        <v>0</v>
      </c>
      <c r="T18" s="5" t="s">
        <v>687</v>
      </c>
      <c r="U18" s="5"/>
    </row>
    <row r="19" spans="1:21" ht="57.95" customHeight="1">
      <c r="A19" s="5" t="s">
        <v>166</v>
      </c>
      <c r="B19" s="5" t="s">
        <v>473</v>
      </c>
      <c r="C19" s="5" t="s">
        <v>127</v>
      </c>
      <c r="D19" s="5">
        <v>2</v>
      </c>
      <c r="E19" s="5" t="s">
        <v>688</v>
      </c>
      <c r="F19" s="5" t="s">
        <v>689</v>
      </c>
      <c r="G19" s="5" t="s">
        <v>582</v>
      </c>
      <c r="H19" s="5" t="s">
        <v>682</v>
      </c>
      <c r="I19" s="8">
        <v>41.899797599999999</v>
      </c>
      <c r="J19" s="8">
        <v>12.473020699999999</v>
      </c>
      <c r="K19" s="5" t="s">
        <v>583</v>
      </c>
      <c r="L19" s="5" t="s">
        <v>630</v>
      </c>
      <c r="M19" s="5" t="s">
        <v>690</v>
      </c>
      <c r="N19" s="5" t="s">
        <v>691</v>
      </c>
      <c r="O19" s="5" t="s">
        <v>692</v>
      </c>
      <c r="P19" s="5" t="s">
        <v>693</v>
      </c>
      <c r="Q19" s="5" t="s">
        <v>694</v>
      </c>
      <c r="R19" s="11">
        <f t="shared" si="0"/>
        <v>97</v>
      </c>
      <c r="S19" s="11">
        <f>ROUND(R19*Kriterien!$B$6,0)</f>
        <v>121</v>
      </c>
      <c r="T19" s="5" t="s">
        <v>636</v>
      </c>
      <c r="U19" s="5"/>
    </row>
    <row r="20" spans="1:21" ht="57.95" customHeight="1">
      <c r="A20" s="5" t="s">
        <v>166</v>
      </c>
      <c r="B20" s="5" t="s">
        <v>473</v>
      </c>
      <c r="C20" s="5" t="s">
        <v>127</v>
      </c>
      <c r="D20" s="5">
        <v>3</v>
      </c>
      <c r="E20" s="5" t="s">
        <v>695</v>
      </c>
      <c r="F20" s="5" t="s">
        <v>696</v>
      </c>
      <c r="G20" s="5" t="s">
        <v>593</v>
      </c>
      <c r="H20" s="5" t="s">
        <v>682</v>
      </c>
      <c r="I20" s="8">
        <v>41.898111499999999</v>
      </c>
      <c r="J20" s="8">
        <v>12.473152900000001</v>
      </c>
      <c r="K20" s="5" t="s">
        <v>583</v>
      </c>
      <c r="L20" s="5" t="s">
        <v>630</v>
      </c>
      <c r="M20" s="5" t="s">
        <v>697</v>
      </c>
      <c r="N20" s="5" t="s">
        <v>698</v>
      </c>
      <c r="O20" s="5" t="s">
        <v>699</v>
      </c>
      <c r="P20" s="5" t="s">
        <v>700</v>
      </c>
      <c r="Q20" s="5" t="s">
        <v>701</v>
      </c>
      <c r="R20" s="11">
        <f t="shared" si="0"/>
        <v>187</v>
      </c>
      <c r="S20" s="11">
        <f>ROUND(R20*Kriterien!$B$6,0)</f>
        <v>234</v>
      </c>
      <c r="T20" s="5" t="s">
        <v>636</v>
      </c>
      <c r="U20" s="5"/>
    </row>
    <row r="21" spans="1:21" ht="57.95" customHeight="1">
      <c r="A21" s="5" t="s">
        <v>173</v>
      </c>
      <c r="B21" s="5" t="s">
        <v>473</v>
      </c>
      <c r="C21" s="5" t="s">
        <v>127</v>
      </c>
      <c r="D21" s="5">
        <v>1</v>
      </c>
      <c r="E21" s="5" t="s">
        <v>702</v>
      </c>
      <c r="F21" s="5" t="s">
        <v>703</v>
      </c>
      <c r="G21" s="5" t="s">
        <v>570</v>
      </c>
      <c r="H21" s="5" t="s">
        <v>682</v>
      </c>
      <c r="I21" s="8">
        <v>41.898626100000001</v>
      </c>
      <c r="J21" s="8">
        <v>12.4768335</v>
      </c>
      <c r="K21" s="5" t="s">
        <v>583</v>
      </c>
      <c r="L21" s="5" t="s">
        <v>594</v>
      </c>
      <c r="M21" s="5" t="s">
        <v>704</v>
      </c>
      <c r="N21" s="5" t="s">
        <v>705</v>
      </c>
      <c r="O21" s="5" t="s">
        <v>706</v>
      </c>
      <c r="P21" s="5" t="s">
        <v>707</v>
      </c>
      <c r="Q21" s="5" t="s">
        <v>708</v>
      </c>
      <c r="R21" s="11">
        <f t="shared" si="0"/>
        <v>0</v>
      </c>
      <c r="S21" s="11">
        <f>ROUND(R21*Kriterien!$B$6,0)</f>
        <v>0</v>
      </c>
      <c r="T21" s="5" t="s">
        <v>709</v>
      </c>
      <c r="U21" s="5" t="s">
        <v>178</v>
      </c>
    </row>
    <row r="22" spans="1:21" ht="57.95" customHeight="1">
      <c r="A22" s="5" t="s">
        <v>173</v>
      </c>
      <c r="B22" s="5" t="s">
        <v>473</v>
      </c>
      <c r="C22" s="5" t="s">
        <v>127</v>
      </c>
      <c r="D22" s="5">
        <v>2</v>
      </c>
      <c r="E22" s="5" t="s">
        <v>710</v>
      </c>
      <c r="F22" s="5" t="s">
        <v>711</v>
      </c>
      <c r="G22" s="5" t="s">
        <v>593</v>
      </c>
      <c r="H22" s="5" t="s">
        <v>682</v>
      </c>
      <c r="I22" s="8">
        <v>41.899312399999999</v>
      </c>
      <c r="J22" s="8">
        <v>12.4767399</v>
      </c>
      <c r="K22" s="5" t="s">
        <v>583</v>
      </c>
      <c r="L22" s="5" t="s">
        <v>673</v>
      </c>
      <c r="M22" s="5" t="s">
        <v>712</v>
      </c>
      <c r="N22" s="5" t="s">
        <v>713</v>
      </c>
      <c r="O22" s="5" t="s">
        <v>714</v>
      </c>
      <c r="P22" s="5" t="s">
        <v>715</v>
      </c>
      <c r="Q22" s="5" t="s">
        <v>716</v>
      </c>
      <c r="R22" s="11">
        <f t="shared" si="0"/>
        <v>77</v>
      </c>
      <c r="S22" s="11">
        <f>ROUND(R22*Kriterien!$B$6,0)</f>
        <v>96</v>
      </c>
      <c r="T22" s="5" t="s">
        <v>626</v>
      </c>
      <c r="U22" s="5" t="s">
        <v>178</v>
      </c>
    </row>
    <row r="23" spans="1:21" ht="57.95" customHeight="1">
      <c r="A23" s="5" t="s">
        <v>181</v>
      </c>
      <c r="B23" s="5" t="s">
        <v>473</v>
      </c>
      <c r="C23" s="5" t="s">
        <v>127</v>
      </c>
      <c r="D23" s="5">
        <v>1</v>
      </c>
      <c r="E23" s="5" t="s">
        <v>717</v>
      </c>
      <c r="F23" s="5" t="s">
        <v>718</v>
      </c>
      <c r="G23" s="5" t="s">
        <v>570</v>
      </c>
      <c r="H23" s="5" t="s">
        <v>682</v>
      </c>
      <c r="I23" s="8">
        <v>41.9006787</v>
      </c>
      <c r="J23" s="8">
        <v>12.478665299999999</v>
      </c>
      <c r="K23" s="5" t="s">
        <v>583</v>
      </c>
      <c r="L23" s="5" t="s">
        <v>630</v>
      </c>
      <c r="M23" s="5" t="s">
        <v>719</v>
      </c>
      <c r="N23" s="5" t="s">
        <v>720</v>
      </c>
      <c r="O23" s="5" t="s">
        <v>721</v>
      </c>
      <c r="P23" s="5" t="s">
        <v>722</v>
      </c>
      <c r="Q23" s="5" t="s">
        <v>723</v>
      </c>
      <c r="R23" s="11">
        <f t="shared" si="0"/>
        <v>0</v>
      </c>
      <c r="S23" s="11">
        <f>ROUND(R23*Kriterien!$B$6,0)</f>
        <v>0</v>
      </c>
      <c r="T23" s="5" t="s">
        <v>636</v>
      </c>
      <c r="U23" s="5"/>
    </row>
    <row r="24" spans="1:21" ht="57.95" customHeight="1">
      <c r="A24" s="5" t="s">
        <v>181</v>
      </c>
      <c r="B24" s="5" t="s">
        <v>473</v>
      </c>
      <c r="C24" s="5" t="s">
        <v>127</v>
      </c>
      <c r="D24" s="5">
        <v>2</v>
      </c>
      <c r="E24" s="5" t="s">
        <v>724</v>
      </c>
      <c r="F24" s="5" t="s">
        <v>725</v>
      </c>
      <c r="G24" s="5" t="s">
        <v>593</v>
      </c>
      <c r="H24" s="5" t="s">
        <v>682</v>
      </c>
      <c r="I24" s="8">
        <v>41.9008477</v>
      </c>
      <c r="J24" s="8">
        <v>12.479987100000001</v>
      </c>
      <c r="K24" s="5" t="s">
        <v>583</v>
      </c>
      <c r="L24" s="5" t="s">
        <v>630</v>
      </c>
      <c r="M24" s="5" t="s">
        <v>726</v>
      </c>
      <c r="N24" s="5" t="s">
        <v>727</v>
      </c>
      <c r="O24" s="5" t="s">
        <v>728</v>
      </c>
      <c r="P24" s="5" t="s">
        <v>729</v>
      </c>
      <c r="Q24" s="5" t="s">
        <v>730</v>
      </c>
      <c r="R24" s="11">
        <f t="shared" si="0"/>
        <v>111</v>
      </c>
      <c r="S24" s="11">
        <f>ROUND(R24*Kriterien!$B$6,0)</f>
        <v>139</v>
      </c>
      <c r="T24" s="5" t="s">
        <v>626</v>
      </c>
      <c r="U24" s="5"/>
    </row>
    <row r="25" spans="1:21" ht="57.95" customHeight="1">
      <c r="A25" s="5" t="s">
        <v>188</v>
      </c>
      <c r="B25" s="5" t="s">
        <v>473</v>
      </c>
      <c r="C25" s="5" t="s">
        <v>127</v>
      </c>
      <c r="D25" s="5">
        <v>1</v>
      </c>
      <c r="E25" s="5" t="s">
        <v>731</v>
      </c>
      <c r="F25" s="5" t="s">
        <v>732</v>
      </c>
      <c r="G25" s="5" t="s">
        <v>570</v>
      </c>
      <c r="H25" s="5" t="s">
        <v>733</v>
      </c>
      <c r="I25" s="8">
        <v>41.900964799999997</v>
      </c>
      <c r="J25" s="8">
        <v>12.483281699999999</v>
      </c>
      <c r="K25" s="5" t="s">
        <v>572</v>
      </c>
      <c r="L25" s="5" t="s">
        <v>734</v>
      </c>
      <c r="M25" s="5" t="s">
        <v>735</v>
      </c>
      <c r="N25" s="5" t="s">
        <v>736</v>
      </c>
      <c r="O25" s="5" t="s">
        <v>633</v>
      </c>
      <c r="P25" s="5" t="s">
        <v>737</v>
      </c>
      <c r="Q25" s="5" t="s">
        <v>738</v>
      </c>
      <c r="R25" s="11">
        <f t="shared" si="0"/>
        <v>0</v>
      </c>
      <c r="S25" s="11">
        <f>ROUND(R25*Kriterien!$B$6,0)</f>
        <v>0</v>
      </c>
      <c r="T25" s="5" t="s">
        <v>739</v>
      </c>
      <c r="U25" s="5" t="s">
        <v>193</v>
      </c>
    </row>
    <row r="26" spans="1:21" ht="57.95" customHeight="1">
      <c r="A26" s="5" t="s">
        <v>188</v>
      </c>
      <c r="B26" s="5" t="s">
        <v>473</v>
      </c>
      <c r="C26" s="5" t="s">
        <v>127</v>
      </c>
      <c r="D26" s="5">
        <v>2</v>
      </c>
      <c r="E26" s="5" t="s">
        <v>740</v>
      </c>
      <c r="F26" s="5" t="s">
        <v>520</v>
      </c>
      <c r="G26" s="5" t="s">
        <v>582</v>
      </c>
      <c r="H26" s="5" t="s">
        <v>733</v>
      </c>
      <c r="I26" s="8">
        <v>41.902610899999999</v>
      </c>
      <c r="J26" s="8">
        <v>12.483710800000001</v>
      </c>
      <c r="K26" s="5" t="s">
        <v>572</v>
      </c>
      <c r="L26" s="5" t="s">
        <v>741</v>
      </c>
      <c r="M26" s="5" t="s">
        <v>742</v>
      </c>
      <c r="N26" s="5" t="s">
        <v>743</v>
      </c>
      <c r="O26" s="5" t="s">
        <v>648</v>
      </c>
      <c r="P26" s="5" t="s">
        <v>744</v>
      </c>
      <c r="Q26" s="5" t="s">
        <v>745</v>
      </c>
      <c r="R26" s="11">
        <f t="shared" si="0"/>
        <v>186</v>
      </c>
      <c r="S26" s="11">
        <f>ROUND(R26*Kriterien!$B$6,0)</f>
        <v>233</v>
      </c>
      <c r="T26" s="5" t="s">
        <v>746</v>
      </c>
      <c r="U26" s="5" t="s">
        <v>193</v>
      </c>
    </row>
    <row r="27" spans="1:21" ht="57.95" customHeight="1">
      <c r="A27" s="5" t="s">
        <v>188</v>
      </c>
      <c r="B27" s="5" t="s">
        <v>473</v>
      </c>
      <c r="C27" s="5" t="s">
        <v>127</v>
      </c>
      <c r="D27" s="5">
        <v>3</v>
      </c>
      <c r="E27" s="5" t="s">
        <v>747</v>
      </c>
      <c r="F27" s="5" t="s">
        <v>748</v>
      </c>
      <c r="G27" s="5" t="s">
        <v>593</v>
      </c>
      <c r="H27" s="5" t="s">
        <v>733</v>
      </c>
      <c r="I27" s="8">
        <v>41.903661999999997</v>
      </c>
      <c r="J27" s="8">
        <v>12.488478600000001</v>
      </c>
      <c r="K27" s="5" t="s">
        <v>583</v>
      </c>
      <c r="L27" s="5" t="s">
        <v>630</v>
      </c>
      <c r="M27" s="5" t="s">
        <v>749</v>
      </c>
      <c r="N27" s="5" t="s">
        <v>750</v>
      </c>
      <c r="O27" s="5" t="s">
        <v>641</v>
      </c>
      <c r="P27" s="5" t="s">
        <v>751</v>
      </c>
      <c r="Q27" s="5" t="s">
        <v>752</v>
      </c>
      <c r="R27" s="11">
        <f t="shared" si="0"/>
        <v>411</v>
      </c>
      <c r="S27" s="11">
        <f>ROUND(R27*Kriterien!$B$6,0)</f>
        <v>514</v>
      </c>
      <c r="T27" s="5" t="s">
        <v>636</v>
      </c>
      <c r="U27" s="5" t="s">
        <v>193</v>
      </c>
    </row>
    <row r="28" spans="1:21" ht="57.95" customHeight="1">
      <c r="A28" s="5" t="s">
        <v>196</v>
      </c>
      <c r="B28" s="5" t="s">
        <v>473</v>
      </c>
      <c r="C28" s="5" t="s">
        <v>127</v>
      </c>
      <c r="D28" s="5">
        <v>1</v>
      </c>
      <c r="E28" s="5" t="s">
        <v>753</v>
      </c>
      <c r="F28" s="5" t="s">
        <v>754</v>
      </c>
      <c r="G28" s="5" t="s">
        <v>570</v>
      </c>
      <c r="H28" s="5" t="s">
        <v>733</v>
      </c>
      <c r="I28" s="8">
        <v>41.900664300000003</v>
      </c>
      <c r="J28" s="8">
        <v>12.484828800000001</v>
      </c>
      <c r="K28" s="5" t="s">
        <v>572</v>
      </c>
      <c r="L28" s="5" t="s">
        <v>755</v>
      </c>
      <c r="M28" s="5" t="s">
        <v>756</v>
      </c>
      <c r="N28" s="5" t="s">
        <v>757</v>
      </c>
      <c r="O28" s="5" t="s">
        <v>758</v>
      </c>
      <c r="P28" s="5" t="s">
        <v>759</v>
      </c>
      <c r="Q28" s="5" t="s">
        <v>760</v>
      </c>
      <c r="R28" s="11">
        <f t="shared" si="0"/>
        <v>0</v>
      </c>
      <c r="S28" s="11">
        <f>ROUND(R28*Kriterien!$B$6,0)</f>
        <v>0</v>
      </c>
      <c r="T28" s="5" t="s">
        <v>626</v>
      </c>
      <c r="U28" s="5" t="s">
        <v>201</v>
      </c>
    </row>
    <row r="29" spans="1:21" ht="57.95" customHeight="1">
      <c r="A29" s="5" t="s">
        <v>196</v>
      </c>
      <c r="B29" s="5" t="s">
        <v>473</v>
      </c>
      <c r="C29" s="5" t="s">
        <v>127</v>
      </c>
      <c r="D29" s="5">
        <v>2</v>
      </c>
      <c r="E29" s="5" t="s">
        <v>761</v>
      </c>
      <c r="F29" s="5" t="s">
        <v>762</v>
      </c>
      <c r="G29" s="5" t="s">
        <v>582</v>
      </c>
      <c r="H29" s="5" t="s">
        <v>733</v>
      </c>
      <c r="I29" s="8">
        <v>41.899064000000003</v>
      </c>
      <c r="J29" s="8">
        <v>12.4866425</v>
      </c>
      <c r="K29" s="5" t="s">
        <v>583</v>
      </c>
      <c r="L29" s="5" t="s">
        <v>630</v>
      </c>
      <c r="M29" s="5" t="s">
        <v>763</v>
      </c>
      <c r="N29" s="5" t="s">
        <v>764</v>
      </c>
      <c r="O29" s="5" t="s">
        <v>633</v>
      </c>
      <c r="P29" s="5" t="s">
        <v>765</v>
      </c>
      <c r="Q29" s="5" t="s">
        <v>766</v>
      </c>
      <c r="R29" s="11">
        <f t="shared" si="0"/>
        <v>232</v>
      </c>
      <c r="S29" s="11">
        <f>ROUND(R29*Kriterien!$B$6,0)</f>
        <v>290</v>
      </c>
      <c r="T29" s="5" t="s">
        <v>626</v>
      </c>
      <c r="U29" s="5" t="s">
        <v>201</v>
      </c>
    </row>
    <row r="30" spans="1:21" ht="57.95" customHeight="1">
      <c r="A30" s="5" t="s">
        <v>196</v>
      </c>
      <c r="B30" s="5" t="s">
        <v>473</v>
      </c>
      <c r="C30" s="5" t="s">
        <v>127</v>
      </c>
      <c r="D30" s="5">
        <v>3</v>
      </c>
      <c r="E30" s="5" t="s">
        <v>767</v>
      </c>
      <c r="F30" s="5" t="s">
        <v>768</v>
      </c>
      <c r="G30" s="5" t="s">
        <v>593</v>
      </c>
      <c r="H30" s="5" t="s">
        <v>733</v>
      </c>
      <c r="I30" s="8">
        <v>41.900662699999998</v>
      </c>
      <c r="J30" s="8">
        <v>12.487614300000001</v>
      </c>
      <c r="K30" s="5" t="s">
        <v>583</v>
      </c>
      <c r="L30" s="5" t="s">
        <v>769</v>
      </c>
      <c r="M30" s="5" t="s">
        <v>770</v>
      </c>
      <c r="N30" s="5" t="s">
        <v>771</v>
      </c>
      <c r="O30" s="5" t="s">
        <v>772</v>
      </c>
      <c r="P30" s="5" t="s">
        <v>773</v>
      </c>
      <c r="Q30" s="5" t="s">
        <v>774</v>
      </c>
      <c r="R30" s="11">
        <f t="shared" si="0"/>
        <v>195</v>
      </c>
      <c r="S30" s="11">
        <f>ROUND(R30*Kriterien!$B$6,0)</f>
        <v>244</v>
      </c>
      <c r="T30" s="5" t="s">
        <v>775</v>
      </c>
      <c r="U30" s="5" t="s">
        <v>201</v>
      </c>
    </row>
    <row r="31" spans="1:21" ht="57.95" customHeight="1">
      <c r="A31" s="5" t="s">
        <v>204</v>
      </c>
      <c r="B31" s="5" t="s">
        <v>473</v>
      </c>
      <c r="C31" s="5" t="s">
        <v>127</v>
      </c>
      <c r="D31" s="5">
        <v>1</v>
      </c>
      <c r="E31" s="5" t="s">
        <v>776</v>
      </c>
      <c r="F31" s="5" t="s">
        <v>206</v>
      </c>
      <c r="G31" s="5" t="s">
        <v>570</v>
      </c>
      <c r="H31" s="5" t="s">
        <v>733</v>
      </c>
      <c r="I31" s="8">
        <v>41.904993900000001</v>
      </c>
      <c r="J31" s="8">
        <v>12.482962000000001</v>
      </c>
      <c r="K31" s="5" t="s">
        <v>583</v>
      </c>
      <c r="L31" s="5" t="s">
        <v>630</v>
      </c>
      <c r="M31" s="5" t="s">
        <v>777</v>
      </c>
      <c r="N31" s="5" t="s">
        <v>778</v>
      </c>
      <c r="O31" s="5" t="s">
        <v>779</v>
      </c>
      <c r="P31" s="5" t="s">
        <v>780</v>
      </c>
      <c r="Q31" s="5" t="s">
        <v>781</v>
      </c>
      <c r="R31" s="11">
        <f t="shared" si="0"/>
        <v>0</v>
      </c>
      <c r="S31" s="11">
        <f>ROUND(R31*Kriterien!$B$6,0)</f>
        <v>0</v>
      </c>
      <c r="T31" s="5" t="s">
        <v>626</v>
      </c>
      <c r="U31" s="5"/>
    </row>
    <row r="32" spans="1:21" ht="57.95" customHeight="1">
      <c r="A32" s="5" t="s">
        <v>211</v>
      </c>
      <c r="B32" s="5" t="s">
        <v>473</v>
      </c>
      <c r="C32" s="5" t="s">
        <v>127</v>
      </c>
      <c r="D32" s="5">
        <v>1</v>
      </c>
      <c r="E32" s="5" t="s">
        <v>782</v>
      </c>
      <c r="F32" s="5" t="s">
        <v>783</v>
      </c>
      <c r="G32" s="5" t="s">
        <v>570</v>
      </c>
      <c r="H32" s="5" t="s">
        <v>784</v>
      </c>
      <c r="I32" s="8">
        <v>41.8923463</v>
      </c>
      <c r="J32" s="8">
        <v>12.4707703</v>
      </c>
      <c r="K32" s="5" t="s">
        <v>583</v>
      </c>
      <c r="L32" s="5" t="s">
        <v>584</v>
      </c>
      <c r="M32" s="5" t="s">
        <v>785</v>
      </c>
      <c r="N32" s="5" t="s">
        <v>786</v>
      </c>
      <c r="O32" s="5" t="s">
        <v>787</v>
      </c>
      <c r="P32" s="5" t="s">
        <v>788</v>
      </c>
      <c r="Q32" s="5" t="s">
        <v>789</v>
      </c>
      <c r="R32" s="11">
        <f t="shared" si="0"/>
        <v>0</v>
      </c>
      <c r="S32" s="11">
        <f>ROUND(R32*Kriterien!$B$6,0)</f>
        <v>0</v>
      </c>
      <c r="T32" s="5" t="s">
        <v>626</v>
      </c>
      <c r="U32" s="5"/>
    </row>
    <row r="33" spans="1:21" ht="57.95" customHeight="1">
      <c r="A33" s="5" t="s">
        <v>211</v>
      </c>
      <c r="B33" s="5" t="s">
        <v>473</v>
      </c>
      <c r="C33" s="5" t="s">
        <v>127</v>
      </c>
      <c r="D33" s="5">
        <v>2</v>
      </c>
      <c r="E33" s="5" t="s">
        <v>790</v>
      </c>
      <c r="F33" s="5" t="s">
        <v>791</v>
      </c>
      <c r="G33" s="5" t="s">
        <v>582</v>
      </c>
      <c r="H33" s="5" t="s">
        <v>784</v>
      </c>
      <c r="I33" s="8">
        <v>41.894652800000003</v>
      </c>
      <c r="J33" s="8">
        <v>12.470681799999999</v>
      </c>
      <c r="K33" s="5" t="s">
        <v>572</v>
      </c>
      <c r="L33" s="5" t="s">
        <v>792</v>
      </c>
      <c r="M33" s="5" t="s">
        <v>793</v>
      </c>
      <c r="N33" s="5" t="s">
        <v>794</v>
      </c>
      <c r="O33" s="5" t="s">
        <v>795</v>
      </c>
      <c r="P33" s="5" t="s">
        <v>796</v>
      </c>
      <c r="Q33" s="5" t="s">
        <v>797</v>
      </c>
      <c r="R33" s="11">
        <f t="shared" si="0"/>
        <v>256</v>
      </c>
      <c r="S33" s="11">
        <f>ROUND(R33*Kriterien!$B$6,0)</f>
        <v>320</v>
      </c>
      <c r="T33" s="5" t="s">
        <v>798</v>
      </c>
      <c r="U33" s="5"/>
    </row>
    <row r="34" spans="1:21" ht="57.95" customHeight="1">
      <c r="A34" s="5" t="s">
        <v>211</v>
      </c>
      <c r="B34" s="5" t="s">
        <v>473</v>
      </c>
      <c r="C34" s="5" t="s">
        <v>127</v>
      </c>
      <c r="D34" s="5">
        <v>3</v>
      </c>
      <c r="E34" s="5" t="s">
        <v>799</v>
      </c>
      <c r="F34" s="5" t="s">
        <v>800</v>
      </c>
      <c r="G34" s="5" t="s">
        <v>582</v>
      </c>
      <c r="H34" s="5" t="s">
        <v>784</v>
      </c>
      <c r="I34" s="8">
        <v>41.8955725</v>
      </c>
      <c r="J34" s="8">
        <v>12.472122300000001</v>
      </c>
      <c r="K34" s="5" t="s">
        <v>583</v>
      </c>
      <c r="L34" s="5" t="s">
        <v>801</v>
      </c>
      <c r="M34" s="5" t="s">
        <v>802</v>
      </c>
      <c r="N34" s="5" t="s">
        <v>803</v>
      </c>
      <c r="O34" s="5" t="s">
        <v>804</v>
      </c>
      <c r="P34" s="5" t="s">
        <v>805</v>
      </c>
      <c r="Q34" s="5" t="s">
        <v>806</v>
      </c>
      <c r="R34" s="11">
        <f t="shared" si="0"/>
        <v>157</v>
      </c>
      <c r="S34" s="11">
        <f>ROUND(R34*Kriterien!$B$6,0)</f>
        <v>196</v>
      </c>
      <c r="T34" s="5" t="s">
        <v>807</v>
      </c>
      <c r="U34" s="5"/>
    </row>
    <row r="35" spans="1:21" ht="57.95" customHeight="1">
      <c r="A35" s="5" t="s">
        <v>211</v>
      </c>
      <c r="B35" s="5" t="s">
        <v>473</v>
      </c>
      <c r="C35" s="5" t="s">
        <v>127</v>
      </c>
      <c r="D35" s="5">
        <v>4</v>
      </c>
      <c r="E35" s="5" t="s">
        <v>808</v>
      </c>
      <c r="F35" s="5" t="s">
        <v>809</v>
      </c>
      <c r="G35" s="5" t="s">
        <v>593</v>
      </c>
      <c r="H35" s="5" t="s">
        <v>784</v>
      </c>
      <c r="I35" s="8">
        <v>41.8953968</v>
      </c>
      <c r="J35" s="8">
        <v>12.4768864</v>
      </c>
      <c r="K35" s="5" t="s">
        <v>572</v>
      </c>
      <c r="L35" s="5" t="s">
        <v>810</v>
      </c>
      <c r="M35" s="5" t="s">
        <v>811</v>
      </c>
      <c r="N35" s="5" t="s">
        <v>812</v>
      </c>
      <c r="O35" s="5" t="s">
        <v>641</v>
      </c>
      <c r="P35" s="5" t="s">
        <v>813</v>
      </c>
      <c r="Q35" s="5" t="s">
        <v>814</v>
      </c>
      <c r="R35" s="11">
        <f t="shared" si="0"/>
        <v>394</v>
      </c>
      <c r="S35" s="11">
        <f>ROUND(R35*Kriterien!$B$6,0)</f>
        <v>493</v>
      </c>
      <c r="T35" s="5" t="s">
        <v>815</v>
      </c>
      <c r="U35" s="5"/>
    </row>
    <row r="36" spans="1:21" ht="57.95" customHeight="1">
      <c r="A36" s="5" t="s">
        <v>217</v>
      </c>
      <c r="B36" s="5" t="s">
        <v>473</v>
      </c>
      <c r="C36" s="5" t="s">
        <v>127</v>
      </c>
      <c r="D36" s="5">
        <v>1</v>
      </c>
      <c r="E36" s="5" t="s">
        <v>816</v>
      </c>
      <c r="F36" s="5" t="s">
        <v>817</v>
      </c>
      <c r="G36" s="5" t="s">
        <v>570</v>
      </c>
      <c r="H36" s="5" t="s">
        <v>784</v>
      </c>
      <c r="I36" s="8">
        <v>41.896003399999998</v>
      </c>
      <c r="J36" s="8">
        <v>12.4743329</v>
      </c>
      <c r="K36" s="5" t="s">
        <v>572</v>
      </c>
      <c r="L36" s="5" t="s">
        <v>818</v>
      </c>
      <c r="M36" s="5" t="s">
        <v>819</v>
      </c>
      <c r="N36" s="5" t="s">
        <v>820</v>
      </c>
      <c r="O36" s="5" t="s">
        <v>821</v>
      </c>
      <c r="P36" s="5" t="s">
        <v>822</v>
      </c>
      <c r="Q36" s="5" t="s">
        <v>823</v>
      </c>
      <c r="R36" s="11">
        <f t="shared" si="0"/>
        <v>0</v>
      </c>
      <c r="S36" s="11">
        <f>ROUND(R36*Kriterien!$B$6,0)</f>
        <v>0</v>
      </c>
      <c r="T36" s="5" t="s">
        <v>824</v>
      </c>
      <c r="U36" s="5" t="s">
        <v>221</v>
      </c>
    </row>
    <row r="37" spans="1:21" ht="57.95" customHeight="1">
      <c r="A37" s="5" t="s">
        <v>217</v>
      </c>
      <c r="B37" s="5" t="s">
        <v>473</v>
      </c>
      <c r="C37" s="5" t="s">
        <v>127</v>
      </c>
      <c r="D37" s="5">
        <v>2</v>
      </c>
      <c r="E37" s="5" t="s">
        <v>825</v>
      </c>
      <c r="F37" s="5" t="s">
        <v>515</v>
      </c>
      <c r="G37" s="5" t="s">
        <v>582</v>
      </c>
      <c r="H37" s="5" t="s">
        <v>733</v>
      </c>
      <c r="I37" s="8">
        <v>41.893782000000002</v>
      </c>
      <c r="J37" s="8">
        <v>12.477456</v>
      </c>
      <c r="K37" s="5" t="s">
        <v>583</v>
      </c>
      <c r="L37" s="5" t="s">
        <v>630</v>
      </c>
      <c r="M37" s="5" t="s">
        <v>826</v>
      </c>
      <c r="N37" s="5" t="s">
        <v>827</v>
      </c>
      <c r="O37" s="5" t="s">
        <v>641</v>
      </c>
      <c r="P37" s="5" t="s">
        <v>828</v>
      </c>
      <c r="Q37" s="5" t="s">
        <v>829</v>
      </c>
      <c r="R37" s="11">
        <f t="shared" ref="R37:R68" si="1">IF(A37=A36,ROUND(SQRT(POWER((I37-I36)*111000,2)+POWER((J37-J36)*111000*COS(RADIANS((I37+I36)/2)),2)),0),0)</f>
        <v>357</v>
      </c>
      <c r="S37" s="11">
        <f>ROUND(R37*Kriterien!$B$6,0)</f>
        <v>446</v>
      </c>
      <c r="T37" s="5" t="s">
        <v>830</v>
      </c>
      <c r="U37" s="5" t="s">
        <v>221</v>
      </c>
    </row>
    <row r="38" spans="1:21" ht="57.95" customHeight="1">
      <c r="A38" s="5" t="s">
        <v>217</v>
      </c>
      <c r="B38" s="5" t="s">
        <v>473</v>
      </c>
      <c r="C38" s="5" t="s">
        <v>127</v>
      </c>
      <c r="D38" s="5">
        <v>3</v>
      </c>
      <c r="E38" s="5" t="s">
        <v>831</v>
      </c>
      <c r="F38" s="5" t="s">
        <v>494</v>
      </c>
      <c r="G38" s="5" t="s">
        <v>593</v>
      </c>
      <c r="H38" s="5" t="s">
        <v>784</v>
      </c>
      <c r="I38" s="8">
        <v>41.892201999999997</v>
      </c>
      <c r="J38" s="8">
        <v>12.479938000000001</v>
      </c>
      <c r="K38" s="5" t="s">
        <v>583</v>
      </c>
      <c r="L38" s="5" t="s">
        <v>594</v>
      </c>
      <c r="M38" s="5" t="s">
        <v>832</v>
      </c>
      <c r="N38" s="5" t="s">
        <v>833</v>
      </c>
      <c r="O38" s="5" t="s">
        <v>633</v>
      </c>
      <c r="P38" s="5" t="s">
        <v>834</v>
      </c>
      <c r="Q38" s="5" t="s">
        <v>835</v>
      </c>
      <c r="R38" s="11">
        <f t="shared" si="1"/>
        <v>270</v>
      </c>
      <c r="S38" s="11">
        <f>ROUND(R38*Kriterien!$B$6,0)</f>
        <v>338</v>
      </c>
      <c r="T38" s="5" t="s">
        <v>836</v>
      </c>
      <c r="U38" s="5" t="s">
        <v>221</v>
      </c>
    </row>
    <row r="39" spans="1:21" ht="57.95" customHeight="1">
      <c r="A39" s="5" t="s">
        <v>224</v>
      </c>
      <c r="B39" s="5" t="s">
        <v>473</v>
      </c>
      <c r="C39" s="5" t="s">
        <v>127</v>
      </c>
      <c r="D39" s="5">
        <v>1</v>
      </c>
      <c r="E39" s="5" t="s">
        <v>837</v>
      </c>
      <c r="F39" s="5" t="s">
        <v>226</v>
      </c>
      <c r="G39" s="5" t="s">
        <v>570</v>
      </c>
      <c r="H39" s="5" t="s">
        <v>784</v>
      </c>
      <c r="I39" s="8">
        <v>41.889636500000002</v>
      </c>
      <c r="J39" s="8">
        <v>12.4792342</v>
      </c>
      <c r="K39" s="5" t="s">
        <v>572</v>
      </c>
      <c r="L39" s="5" t="s">
        <v>838</v>
      </c>
      <c r="M39" s="5" t="s">
        <v>839</v>
      </c>
      <c r="N39" s="5" t="s">
        <v>840</v>
      </c>
      <c r="O39" s="5" t="s">
        <v>841</v>
      </c>
      <c r="P39" s="5" t="s">
        <v>842</v>
      </c>
      <c r="Q39" s="5" t="s">
        <v>843</v>
      </c>
      <c r="R39" s="11">
        <f t="shared" si="1"/>
        <v>0</v>
      </c>
      <c r="S39" s="11">
        <f>ROUND(R39*Kriterien!$B$6,0)</f>
        <v>0</v>
      </c>
      <c r="T39" s="5" t="s">
        <v>844</v>
      </c>
      <c r="U39" s="5"/>
    </row>
    <row r="40" spans="1:21" ht="57.95" customHeight="1">
      <c r="A40" s="5" t="s">
        <v>231</v>
      </c>
      <c r="B40" s="5" t="s">
        <v>473</v>
      </c>
      <c r="C40" s="5" t="s">
        <v>127</v>
      </c>
      <c r="D40" s="5">
        <v>1</v>
      </c>
      <c r="E40" s="5" t="s">
        <v>845</v>
      </c>
      <c r="F40" s="5" t="s">
        <v>846</v>
      </c>
      <c r="G40" s="5" t="s">
        <v>570</v>
      </c>
      <c r="H40" s="5" t="s">
        <v>847</v>
      </c>
      <c r="I40" s="8">
        <v>41.887560800000003</v>
      </c>
      <c r="J40" s="8">
        <v>12.4758567</v>
      </c>
      <c r="K40" s="5" t="s">
        <v>572</v>
      </c>
      <c r="L40" s="5" t="s">
        <v>848</v>
      </c>
      <c r="M40" s="5" t="s">
        <v>849</v>
      </c>
      <c r="N40" s="5" t="s">
        <v>850</v>
      </c>
      <c r="O40" s="5" t="s">
        <v>851</v>
      </c>
      <c r="P40" s="5" t="s">
        <v>852</v>
      </c>
      <c r="Q40" s="5" t="s">
        <v>853</v>
      </c>
      <c r="R40" s="11">
        <f t="shared" si="1"/>
        <v>0</v>
      </c>
      <c r="S40" s="11">
        <f>ROUND(R40*Kriterien!$B$6,0)</f>
        <v>0</v>
      </c>
      <c r="T40" s="5" t="s">
        <v>854</v>
      </c>
      <c r="U40" s="5"/>
    </row>
    <row r="41" spans="1:21" ht="57.95" customHeight="1">
      <c r="A41" s="5" t="s">
        <v>231</v>
      </c>
      <c r="B41" s="5" t="s">
        <v>473</v>
      </c>
      <c r="C41" s="5" t="s">
        <v>127</v>
      </c>
      <c r="D41" s="5">
        <v>2</v>
      </c>
      <c r="E41" s="5" t="s">
        <v>855</v>
      </c>
      <c r="F41" s="5" t="s">
        <v>856</v>
      </c>
      <c r="G41" s="5" t="s">
        <v>593</v>
      </c>
      <c r="H41" s="5" t="s">
        <v>847</v>
      </c>
      <c r="I41" s="8">
        <v>41.889426399999998</v>
      </c>
      <c r="J41" s="8">
        <v>12.4694941</v>
      </c>
      <c r="K41" s="5" t="s">
        <v>583</v>
      </c>
      <c r="L41" s="5" t="s">
        <v>594</v>
      </c>
      <c r="M41" s="5" t="s">
        <v>857</v>
      </c>
      <c r="N41" s="5" t="s">
        <v>858</v>
      </c>
      <c r="O41" s="5" t="s">
        <v>859</v>
      </c>
      <c r="P41" s="5" t="s">
        <v>860</v>
      </c>
      <c r="Q41" s="5" t="s">
        <v>861</v>
      </c>
      <c r="R41" s="11">
        <f t="shared" si="1"/>
        <v>565</v>
      </c>
      <c r="S41" s="11">
        <f>ROUND(R41*Kriterien!$B$6,0)</f>
        <v>706</v>
      </c>
      <c r="T41" s="5" t="s">
        <v>862</v>
      </c>
      <c r="U41" s="5"/>
    </row>
    <row r="42" spans="1:21" ht="57.95" customHeight="1">
      <c r="A42" s="5" t="s">
        <v>239</v>
      </c>
      <c r="B42" s="5" t="s">
        <v>473</v>
      </c>
      <c r="C42" s="5" t="s">
        <v>127</v>
      </c>
      <c r="D42" s="5">
        <v>1</v>
      </c>
      <c r="E42" s="5" t="s">
        <v>863</v>
      </c>
      <c r="F42" s="5" t="s">
        <v>864</v>
      </c>
      <c r="G42" s="5" t="s">
        <v>570</v>
      </c>
      <c r="H42" s="5" t="s">
        <v>865</v>
      </c>
      <c r="I42" s="8">
        <v>41.886976500000003</v>
      </c>
      <c r="J42" s="8">
        <v>12.461630100000001</v>
      </c>
      <c r="K42" s="5" t="s">
        <v>583</v>
      </c>
      <c r="L42" s="5" t="s">
        <v>866</v>
      </c>
      <c r="M42" s="5" t="s">
        <v>867</v>
      </c>
      <c r="N42" s="5" t="s">
        <v>868</v>
      </c>
      <c r="O42" s="5" t="s">
        <v>869</v>
      </c>
      <c r="P42" s="5" t="s">
        <v>870</v>
      </c>
      <c r="Q42" s="5" t="s">
        <v>871</v>
      </c>
      <c r="R42" s="11">
        <f t="shared" si="1"/>
        <v>0</v>
      </c>
      <c r="S42" s="11">
        <f>ROUND(R42*Kriterien!$B$6,0)</f>
        <v>0</v>
      </c>
      <c r="T42" s="5" t="s">
        <v>626</v>
      </c>
      <c r="U42" s="5" t="s">
        <v>244</v>
      </c>
    </row>
    <row r="43" spans="1:21" ht="57.95" customHeight="1">
      <c r="A43" s="5" t="s">
        <v>239</v>
      </c>
      <c r="B43" s="5" t="s">
        <v>473</v>
      </c>
      <c r="C43" s="5" t="s">
        <v>127</v>
      </c>
      <c r="D43" s="5">
        <v>2</v>
      </c>
      <c r="E43" s="5" t="s">
        <v>872</v>
      </c>
      <c r="F43" s="5" t="s">
        <v>873</v>
      </c>
      <c r="G43" s="5" t="s">
        <v>582</v>
      </c>
      <c r="H43" s="5" t="s">
        <v>847</v>
      </c>
      <c r="I43" s="8">
        <v>41.888192799999999</v>
      </c>
      <c r="J43" s="8">
        <v>12.4656132</v>
      </c>
      <c r="K43" s="5" t="s">
        <v>583</v>
      </c>
      <c r="L43" s="5" t="s">
        <v>630</v>
      </c>
      <c r="M43" s="5" t="s">
        <v>874</v>
      </c>
      <c r="N43" s="5" t="s">
        <v>875</v>
      </c>
      <c r="O43" s="5" t="s">
        <v>641</v>
      </c>
      <c r="P43" s="5" t="s">
        <v>876</v>
      </c>
      <c r="Q43" s="5" t="s">
        <v>877</v>
      </c>
      <c r="R43" s="11">
        <f t="shared" si="1"/>
        <v>356</v>
      </c>
      <c r="S43" s="11">
        <f>ROUND(R43*Kriterien!$B$6,0)</f>
        <v>445</v>
      </c>
      <c r="T43" s="5" t="s">
        <v>626</v>
      </c>
      <c r="U43" s="5" t="s">
        <v>244</v>
      </c>
    </row>
    <row r="44" spans="1:21" ht="57.95" customHeight="1">
      <c r="A44" s="5" t="s">
        <v>239</v>
      </c>
      <c r="B44" s="5" t="s">
        <v>473</v>
      </c>
      <c r="C44" s="5" t="s">
        <v>127</v>
      </c>
      <c r="D44" s="5">
        <v>3</v>
      </c>
      <c r="E44" s="5" t="s">
        <v>878</v>
      </c>
      <c r="F44" s="5" t="s">
        <v>879</v>
      </c>
      <c r="G44" s="5" t="s">
        <v>582</v>
      </c>
      <c r="H44" s="5" t="s">
        <v>865</v>
      </c>
      <c r="I44" s="8">
        <v>41.8888192</v>
      </c>
      <c r="J44" s="8">
        <v>12.4642423</v>
      </c>
      <c r="K44" s="5" t="s">
        <v>583</v>
      </c>
      <c r="L44" s="5" t="s">
        <v>630</v>
      </c>
      <c r="M44" s="5" t="s">
        <v>880</v>
      </c>
      <c r="N44" s="5" t="s">
        <v>881</v>
      </c>
      <c r="O44" s="5" t="s">
        <v>882</v>
      </c>
      <c r="P44" s="5" t="s">
        <v>883</v>
      </c>
      <c r="Q44" s="5" t="s">
        <v>884</v>
      </c>
      <c r="R44" s="11">
        <f t="shared" si="1"/>
        <v>133</v>
      </c>
      <c r="S44" s="11">
        <f>ROUND(R44*Kriterien!$B$6,0)</f>
        <v>166</v>
      </c>
      <c r="T44" s="5" t="s">
        <v>636</v>
      </c>
      <c r="U44" s="5" t="s">
        <v>244</v>
      </c>
    </row>
    <row r="45" spans="1:21" ht="57.95" customHeight="1">
      <c r="A45" s="5" t="s">
        <v>239</v>
      </c>
      <c r="B45" s="5" t="s">
        <v>473</v>
      </c>
      <c r="C45" s="5" t="s">
        <v>127</v>
      </c>
      <c r="D45" s="5">
        <v>4</v>
      </c>
      <c r="E45" s="5" t="s">
        <v>885</v>
      </c>
      <c r="F45" s="5" t="s">
        <v>886</v>
      </c>
      <c r="G45" s="5" t="s">
        <v>582</v>
      </c>
      <c r="H45" s="5" t="s">
        <v>865</v>
      </c>
      <c r="I45" s="8">
        <v>41.891463700000003</v>
      </c>
      <c r="J45" s="8">
        <v>12.4607686</v>
      </c>
      <c r="K45" s="5" t="s">
        <v>583</v>
      </c>
      <c r="L45" s="5" t="s">
        <v>630</v>
      </c>
      <c r="M45" s="5" t="s">
        <v>887</v>
      </c>
      <c r="N45" s="5" t="s">
        <v>888</v>
      </c>
      <c r="O45" s="5" t="s">
        <v>889</v>
      </c>
      <c r="P45" s="5" t="s">
        <v>890</v>
      </c>
      <c r="Q45" s="5" t="s">
        <v>891</v>
      </c>
      <c r="R45" s="11">
        <f t="shared" si="1"/>
        <v>411</v>
      </c>
      <c r="S45" s="11">
        <f>ROUND(R45*Kriterien!$B$6,0)</f>
        <v>514</v>
      </c>
      <c r="T45" s="5" t="s">
        <v>626</v>
      </c>
      <c r="U45" s="5" t="s">
        <v>244</v>
      </c>
    </row>
    <row r="46" spans="1:21" ht="57.95" customHeight="1">
      <c r="A46" s="5" t="s">
        <v>239</v>
      </c>
      <c r="B46" s="5" t="s">
        <v>473</v>
      </c>
      <c r="C46" s="5" t="s">
        <v>127</v>
      </c>
      <c r="D46" s="5">
        <v>5</v>
      </c>
      <c r="E46" s="5" t="s">
        <v>892</v>
      </c>
      <c r="F46" s="5" t="s">
        <v>893</v>
      </c>
      <c r="G46" s="5" t="s">
        <v>593</v>
      </c>
      <c r="H46" s="5" t="s">
        <v>865</v>
      </c>
      <c r="I46" s="8">
        <v>41.893410899999999</v>
      </c>
      <c r="J46" s="8">
        <v>12.460117</v>
      </c>
      <c r="K46" s="5" t="s">
        <v>583</v>
      </c>
      <c r="L46" s="5" t="s">
        <v>630</v>
      </c>
      <c r="M46" s="5" t="s">
        <v>894</v>
      </c>
      <c r="N46" s="5" t="s">
        <v>895</v>
      </c>
      <c r="O46" s="5" t="s">
        <v>896</v>
      </c>
      <c r="P46" s="5" t="s">
        <v>897</v>
      </c>
      <c r="Q46" s="5" t="s">
        <v>898</v>
      </c>
      <c r="R46" s="11">
        <f t="shared" si="1"/>
        <v>223</v>
      </c>
      <c r="S46" s="11">
        <f>ROUND(R46*Kriterien!$B$6,0)</f>
        <v>279</v>
      </c>
      <c r="T46" s="5" t="s">
        <v>626</v>
      </c>
      <c r="U46" s="5" t="s">
        <v>244</v>
      </c>
    </row>
    <row r="47" spans="1:21" ht="57.95" customHeight="1">
      <c r="A47" s="5" t="s">
        <v>247</v>
      </c>
      <c r="B47" s="5" t="s">
        <v>473</v>
      </c>
      <c r="C47" s="5" t="s">
        <v>248</v>
      </c>
      <c r="D47" s="5">
        <v>1</v>
      </c>
      <c r="E47" s="5" t="s">
        <v>899</v>
      </c>
      <c r="F47" s="5" t="s">
        <v>900</v>
      </c>
      <c r="G47" s="5" t="s">
        <v>570</v>
      </c>
      <c r="H47" s="5" t="s">
        <v>901</v>
      </c>
      <c r="I47" s="8">
        <v>41.893228800000003</v>
      </c>
      <c r="J47" s="8">
        <v>12.482965399999999</v>
      </c>
      <c r="K47" s="5" t="s">
        <v>583</v>
      </c>
      <c r="L47" s="5" t="s">
        <v>630</v>
      </c>
      <c r="M47" s="5" t="s">
        <v>902</v>
      </c>
      <c r="N47" s="5" t="s">
        <v>903</v>
      </c>
      <c r="O47" s="5" t="s">
        <v>904</v>
      </c>
      <c r="P47" s="5" t="s">
        <v>905</v>
      </c>
      <c r="Q47" s="5" t="s">
        <v>906</v>
      </c>
      <c r="R47" s="11">
        <f t="shared" si="1"/>
        <v>0</v>
      </c>
      <c r="S47" s="11">
        <f>ROUND(R47*Kriterien!$B$6,0)</f>
        <v>0</v>
      </c>
      <c r="T47" s="5" t="s">
        <v>636</v>
      </c>
      <c r="U47" s="5"/>
    </row>
    <row r="48" spans="1:21" ht="57.95" customHeight="1">
      <c r="A48" s="5" t="s">
        <v>247</v>
      </c>
      <c r="B48" s="5" t="s">
        <v>473</v>
      </c>
      <c r="C48" s="5" t="s">
        <v>248</v>
      </c>
      <c r="D48" s="5">
        <v>2</v>
      </c>
      <c r="E48" s="5" t="s">
        <v>907</v>
      </c>
      <c r="F48" s="5" t="s">
        <v>908</v>
      </c>
      <c r="G48" s="5" t="s">
        <v>593</v>
      </c>
      <c r="H48" s="5" t="s">
        <v>901</v>
      </c>
      <c r="I48" s="8">
        <v>41.8939965</v>
      </c>
      <c r="J48" s="8">
        <v>12.485382899999999</v>
      </c>
      <c r="K48" s="5" t="s">
        <v>572</v>
      </c>
      <c r="L48" s="5" t="s">
        <v>909</v>
      </c>
      <c r="M48" s="5" t="s">
        <v>910</v>
      </c>
      <c r="N48" s="5" t="s">
        <v>911</v>
      </c>
      <c r="O48" s="5" t="s">
        <v>912</v>
      </c>
      <c r="P48" s="5" t="s">
        <v>913</v>
      </c>
      <c r="Q48" s="5" t="s">
        <v>914</v>
      </c>
      <c r="R48" s="11">
        <f t="shared" si="1"/>
        <v>217</v>
      </c>
      <c r="S48" s="11">
        <f>ROUND(R48*Kriterien!$B$6,0)</f>
        <v>271</v>
      </c>
      <c r="T48" s="5" t="s">
        <v>915</v>
      </c>
      <c r="U48" s="5"/>
    </row>
    <row r="49" spans="1:21" ht="57.95" customHeight="1">
      <c r="A49" s="5" t="s">
        <v>255</v>
      </c>
      <c r="B49" s="5" t="s">
        <v>473</v>
      </c>
      <c r="C49" s="5" t="s">
        <v>248</v>
      </c>
      <c r="D49" s="5">
        <v>1</v>
      </c>
      <c r="E49" s="5" t="s">
        <v>916</v>
      </c>
      <c r="F49" s="5" t="s">
        <v>257</v>
      </c>
      <c r="G49" s="5" t="s">
        <v>570</v>
      </c>
      <c r="H49" s="5" t="s">
        <v>901</v>
      </c>
      <c r="I49" s="8">
        <v>41.894704500000003</v>
      </c>
      <c r="J49" s="8">
        <v>12.483183500000001</v>
      </c>
      <c r="K49" s="5" t="s">
        <v>583</v>
      </c>
      <c r="L49" s="5" t="s">
        <v>673</v>
      </c>
      <c r="M49" s="5" t="s">
        <v>917</v>
      </c>
      <c r="N49" s="5" t="s">
        <v>918</v>
      </c>
      <c r="O49" s="5" t="s">
        <v>633</v>
      </c>
      <c r="P49" s="5" t="s">
        <v>919</v>
      </c>
      <c r="Q49" s="5" t="s">
        <v>920</v>
      </c>
      <c r="R49" s="11">
        <f t="shared" si="1"/>
        <v>0</v>
      </c>
      <c r="S49" s="11">
        <f>ROUND(R49*Kriterien!$B$6,0)</f>
        <v>0</v>
      </c>
      <c r="T49" s="5" t="s">
        <v>921</v>
      </c>
      <c r="U49" s="5"/>
    </row>
    <row r="50" spans="1:21" ht="57.95" customHeight="1">
      <c r="A50" s="5" t="s">
        <v>262</v>
      </c>
      <c r="B50" s="5" t="s">
        <v>473</v>
      </c>
      <c r="C50" s="5" t="s">
        <v>248</v>
      </c>
      <c r="D50" s="5">
        <v>1</v>
      </c>
      <c r="E50" s="5" t="s">
        <v>922</v>
      </c>
      <c r="F50" s="5" t="s">
        <v>923</v>
      </c>
      <c r="G50" s="5" t="s">
        <v>570</v>
      </c>
      <c r="H50" s="5" t="s">
        <v>924</v>
      </c>
      <c r="I50" s="8">
        <v>41.889762300000001</v>
      </c>
      <c r="J50" s="8">
        <v>12.4906668</v>
      </c>
      <c r="K50" s="5" t="s">
        <v>583</v>
      </c>
      <c r="L50" s="5" t="s">
        <v>594</v>
      </c>
      <c r="M50" s="5" t="s">
        <v>925</v>
      </c>
      <c r="N50" s="5" t="s">
        <v>926</v>
      </c>
      <c r="O50" s="5" t="s">
        <v>648</v>
      </c>
      <c r="P50" s="5" t="s">
        <v>927</v>
      </c>
      <c r="Q50" s="5" t="s">
        <v>928</v>
      </c>
      <c r="R50" s="11">
        <f t="shared" si="1"/>
        <v>0</v>
      </c>
      <c r="S50" s="11">
        <f>ROUND(R50*Kriterien!$B$6,0)</f>
        <v>0</v>
      </c>
      <c r="T50" s="5" t="s">
        <v>636</v>
      </c>
      <c r="U50" s="5" t="s">
        <v>267</v>
      </c>
    </row>
    <row r="51" spans="1:21" ht="57.95" customHeight="1">
      <c r="A51" s="5" t="s">
        <v>262</v>
      </c>
      <c r="B51" s="5" t="s">
        <v>473</v>
      </c>
      <c r="C51" s="5" t="s">
        <v>248</v>
      </c>
      <c r="D51" s="5">
        <v>2</v>
      </c>
      <c r="E51" s="5" t="s">
        <v>929</v>
      </c>
      <c r="F51" s="5" t="s">
        <v>504</v>
      </c>
      <c r="G51" s="5" t="s">
        <v>582</v>
      </c>
      <c r="H51" s="5" t="s">
        <v>924</v>
      </c>
      <c r="I51" s="8">
        <v>41.889890000000001</v>
      </c>
      <c r="J51" s="8">
        <v>12.493370000000001</v>
      </c>
      <c r="K51" s="5" t="s">
        <v>583</v>
      </c>
      <c r="L51" s="5" t="s">
        <v>594</v>
      </c>
      <c r="M51" s="5" t="s">
        <v>930</v>
      </c>
      <c r="N51" s="5" t="s">
        <v>931</v>
      </c>
      <c r="O51" s="5" t="s">
        <v>648</v>
      </c>
      <c r="P51" s="5" t="s">
        <v>932</v>
      </c>
      <c r="Q51" s="5" t="s">
        <v>933</v>
      </c>
      <c r="R51" s="11">
        <f t="shared" si="1"/>
        <v>224</v>
      </c>
      <c r="S51" s="11">
        <f>ROUND(R51*Kriterien!$B$6,0)</f>
        <v>280</v>
      </c>
      <c r="T51" s="5" t="s">
        <v>934</v>
      </c>
      <c r="U51" s="5" t="s">
        <v>267</v>
      </c>
    </row>
    <row r="52" spans="1:21" ht="57.95" customHeight="1">
      <c r="A52" s="5" t="s">
        <v>262</v>
      </c>
      <c r="B52" s="5" t="s">
        <v>473</v>
      </c>
      <c r="C52" s="5" t="s">
        <v>248</v>
      </c>
      <c r="D52" s="5">
        <v>3</v>
      </c>
      <c r="E52" s="5" t="s">
        <v>935</v>
      </c>
      <c r="F52" s="5" t="s">
        <v>936</v>
      </c>
      <c r="G52" s="5" t="s">
        <v>593</v>
      </c>
      <c r="H52" s="5" t="s">
        <v>924</v>
      </c>
      <c r="I52" s="8">
        <v>41.890113300000003</v>
      </c>
      <c r="J52" s="8">
        <v>12.494954999999999</v>
      </c>
      <c r="K52" s="5" t="s">
        <v>583</v>
      </c>
      <c r="L52" s="5" t="s">
        <v>594</v>
      </c>
      <c r="M52" s="5" t="s">
        <v>937</v>
      </c>
      <c r="N52" s="5" t="s">
        <v>938</v>
      </c>
      <c r="O52" s="5" t="s">
        <v>939</v>
      </c>
      <c r="P52" s="5" t="s">
        <v>940</v>
      </c>
      <c r="Q52" s="5" t="s">
        <v>941</v>
      </c>
      <c r="R52" s="11">
        <f t="shared" si="1"/>
        <v>133</v>
      </c>
      <c r="S52" s="11">
        <f>ROUND(R52*Kriterien!$B$6,0)</f>
        <v>166</v>
      </c>
      <c r="T52" s="5" t="s">
        <v>942</v>
      </c>
      <c r="U52" s="5" t="s">
        <v>267</v>
      </c>
    </row>
    <row r="53" spans="1:21" ht="57.95" customHeight="1">
      <c r="A53" s="5" t="s">
        <v>270</v>
      </c>
      <c r="B53" s="5" t="s">
        <v>473</v>
      </c>
      <c r="C53" s="5" t="s">
        <v>248</v>
      </c>
      <c r="D53" s="5">
        <v>1</v>
      </c>
      <c r="E53" s="5" t="s">
        <v>943</v>
      </c>
      <c r="F53" s="5" t="s">
        <v>944</v>
      </c>
      <c r="G53" s="5" t="s">
        <v>570</v>
      </c>
      <c r="H53" s="5" t="s">
        <v>945</v>
      </c>
      <c r="I53" s="8">
        <v>41.888256699999999</v>
      </c>
      <c r="J53" s="8">
        <v>12.481544100000001</v>
      </c>
      <c r="K53" s="5" t="s">
        <v>572</v>
      </c>
      <c r="L53" s="5" t="s">
        <v>946</v>
      </c>
      <c r="M53" s="5" t="s">
        <v>947</v>
      </c>
      <c r="N53" s="5" t="s">
        <v>948</v>
      </c>
      <c r="O53" s="5" t="s">
        <v>949</v>
      </c>
      <c r="P53" s="5" t="s">
        <v>950</v>
      </c>
      <c r="Q53" s="5" t="s">
        <v>951</v>
      </c>
      <c r="R53" s="11">
        <f t="shared" si="1"/>
        <v>0</v>
      </c>
      <c r="S53" s="11">
        <f>ROUND(R53*Kriterien!$B$6,0)</f>
        <v>0</v>
      </c>
      <c r="T53" s="5" t="s">
        <v>952</v>
      </c>
      <c r="U53" s="5" t="s">
        <v>275</v>
      </c>
    </row>
    <row r="54" spans="1:21" ht="57.95" customHeight="1">
      <c r="A54" s="5" t="s">
        <v>270</v>
      </c>
      <c r="B54" s="5" t="s">
        <v>473</v>
      </c>
      <c r="C54" s="5" t="s">
        <v>248</v>
      </c>
      <c r="D54" s="5">
        <v>2</v>
      </c>
      <c r="E54" s="5" t="s">
        <v>953</v>
      </c>
      <c r="F54" s="5" t="s">
        <v>954</v>
      </c>
      <c r="G54" s="5" t="s">
        <v>582</v>
      </c>
      <c r="H54" s="5" t="s">
        <v>945</v>
      </c>
      <c r="I54" s="8">
        <v>41.8887407</v>
      </c>
      <c r="J54" s="8">
        <v>12.480768100000001</v>
      </c>
      <c r="K54" s="5" t="s">
        <v>583</v>
      </c>
      <c r="L54" s="5" t="s">
        <v>594</v>
      </c>
      <c r="M54" s="5" t="s">
        <v>955</v>
      </c>
      <c r="N54" s="5" t="s">
        <v>956</v>
      </c>
      <c r="O54" s="5" t="s">
        <v>957</v>
      </c>
      <c r="P54" s="5" t="s">
        <v>958</v>
      </c>
      <c r="Q54" s="5" t="s">
        <v>959</v>
      </c>
      <c r="R54" s="11">
        <f t="shared" si="1"/>
        <v>84</v>
      </c>
      <c r="S54" s="11">
        <f>ROUND(R54*Kriterien!$B$6,0)</f>
        <v>105</v>
      </c>
      <c r="T54" s="5" t="s">
        <v>942</v>
      </c>
      <c r="U54" s="5" t="s">
        <v>275</v>
      </c>
    </row>
    <row r="55" spans="1:21" ht="57.95" customHeight="1">
      <c r="A55" s="5" t="s">
        <v>270</v>
      </c>
      <c r="B55" s="5" t="s">
        <v>473</v>
      </c>
      <c r="C55" s="5" t="s">
        <v>248</v>
      </c>
      <c r="D55" s="5">
        <v>3</v>
      </c>
      <c r="E55" s="5" t="s">
        <v>960</v>
      </c>
      <c r="F55" s="5" t="s">
        <v>961</v>
      </c>
      <c r="G55" s="5" t="s">
        <v>582</v>
      </c>
      <c r="H55" s="5" t="s">
        <v>945</v>
      </c>
      <c r="I55" s="8">
        <v>41.889490700000003</v>
      </c>
      <c r="J55" s="8">
        <v>12.483002900000001</v>
      </c>
      <c r="K55" s="5" t="s">
        <v>583</v>
      </c>
      <c r="L55" s="5" t="s">
        <v>630</v>
      </c>
      <c r="M55" s="5" t="s">
        <v>962</v>
      </c>
      <c r="N55" s="5" t="s">
        <v>963</v>
      </c>
      <c r="O55" s="5" t="s">
        <v>964</v>
      </c>
      <c r="P55" s="5" t="s">
        <v>965</v>
      </c>
      <c r="Q55" s="5" t="s">
        <v>966</v>
      </c>
      <c r="R55" s="11">
        <f t="shared" si="1"/>
        <v>203</v>
      </c>
      <c r="S55" s="11">
        <f>ROUND(R55*Kriterien!$B$6,0)</f>
        <v>254</v>
      </c>
      <c r="T55" s="5" t="s">
        <v>626</v>
      </c>
      <c r="U55" s="5" t="s">
        <v>275</v>
      </c>
    </row>
    <row r="56" spans="1:21" ht="57.95" customHeight="1">
      <c r="A56" s="5" t="s">
        <v>270</v>
      </c>
      <c r="B56" s="5" t="s">
        <v>473</v>
      </c>
      <c r="C56" s="5" t="s">
        <v>248</v>
      </c>
      <c r="D56" s="5">
        <v>4</v>
      </c>
      <c r="E56" s="5" t="s">
        <v>967</v>
      </c>
      <c r="F56" s="5" t="s">
        <v>968</v>
      </c>
      <c r="G56" s="5" t="s">
        <v>593</v>
      </c>
      <c r="H56" s="5" t="s">
        <v>945</v>
      </c>
      <c r="I56" s="8">
        <v>41.889353</v>
      </c>
      <c r="J56" s="8">
        <v>12.482768200000001</v>
      </c>
      <c r="K56" s="5" t="s">
        <v>583</v>
      </c>
      <c r="L56" s="5" t="s">
        <v>630</v>
      </c>
      <c r="M56" s="5" t="s">
        <v>969</v>
      </c>
      <c r="N56" s="5" t="s">
        <v>970</v>
      </c>
      <c r="O56" s="5" t="s">
        <v>641</v>
      </c>
      <c r="P56" s="5" t="s">
        <v>971</v>
      </c>
      <c r="Q56" s="5" t="s">
        <v>972</v>
      </c>
      <c r="R56" s="11">
        <f t="shared" si="1"/>
        <v>25</v>
      </c>
      <c r="S56" s="11">
        <f>ROUND(R56*Kriterien!$B$6,0)</f>
        <v>31</v>
      </c>
      <c r="T56" s="5" t="s">
        <v>636</v>
      </c>
      <c r="U56" s="5" t="s">
        <v>275</v>
      </c>
    </row>
    <row r="57" spans="1:21" ht="57.95" customHeight="1">
      <c r="A57" s="5" t="s">
        <v>278</v>
      </c>
      <c r="B57" s="5" t="s">
        <v>473</v>
      </c>
      <c r="C57" s="5" t="s">
        <v>248</v>
      </c>
      <c r="D57" s="5">
        <v>1</v>
      </c>
      <c r="E57" s="5" t="s">
        <v>973</v>
      </c>
      <c r="F57" s="5" t="s">
        <v>748</v>
      </c>
      <c r="G57" s="5" t="s">
        <v>570</v>
      </c>
      <c r="H57" s="5" t="s">
        <v>945</v>
      </c>
      <c r="I57" s="8">
        <v>41.888523599999999</v>
      </c>
      <c r="J57" s="8">
        <v>12.4812253</v>
      </c>
      <c r="K57" s="5" t="s">
        <v>583</v>
      </c>
      <c r="L57" s="5" t="s">
        <v>630</v>
      </c>
      <c r="M57" s="5" t="s">
        <v>974</v>
      </c>
      <c r="N57" s="5" t="s">
        <v>975</v>
      </c>
      <c r="O57" s="5" t="s">
        <v>633</v>
      </c>
      <c r="P57" s="5" t="s">
        <v>976</v>
      </c>
      <c r="Q57" s="5" t="s">
        <v>977</v>
      </c>
      <c r="R57" s="11">
        <f t="shared" si="1"/>
        <v>0</v>
      </c>
      <c r="S57" s="11">
        <f>ROUND(R57*Kriterien!$B$6,0)</f>
        <v>0</v>
      </c>
      <c r="T57" s="5" t="s">
        <v>636</v>
      </c>
      <c r="U57" s="5" t="s">
        <v>283</v>
      </c>
    </row>
    <row r="58" spans="1:21" ht="57.95" customHeight="1">
      <c r="A58" s="5" t="s">
        <v>278</v>
      </c>
      <c r="B58" s="5" t="s">
        <v>473</v>
      </c>
      <c r="C58" s="5" t="s">
        <v>248</v>
      </c>
      <c r="D58" s="5">
        <v>2</v>
      </c>
      <c r="E58" s="5" t="s">
        <v>978</v>
      </c>
      <c r="F58" s="5" t="s">
        <v>979</v>
      </c>
      <c r="G58" s="5" t="s">
        <v>582</v>
      </c>
      <c r="H58" s="5" t="s">
        <v>945</v>
      </c>
      <c r="I58" s="8">
        <v>41.885697499999999</v>
      </c>
      <c r="J58" s="8">
        <v>12.484964</v>
      </c>
      <c r="K58" s="5" t="s">
        <v>583</v>
      </c>
      <c r="L58" s="5" t="s">
        <v>980</v>
      </c>
      <c r="M58" s="5" t="s">
        <v>981</v>
      </c>
      <c r="N58" s="5" t="s">
        <v>982</v>
      </c>
      <c r="O58" s="5" t="s">
        <v>983</v>
      </c>
      <c r="P58" s="5" t="s">
        <v>984</v>
      </c>
      <c r="Q58" s="5" t="s">
        <v>985</v>
      </c>
      <c r="R58" s="11">
        <f t="shared" si="1"/>
        <v>440</v>
      </c>
      <c r="S58" s="11">
        <f>ROUND(R58*Kriterien!$B$6,0)</f>
        <v>550</v>
      </c>
      <c r="T58" s="5" t="s">
        <v>626</v>
      </c>
      <c r="U58" s="5" t="s">
        <v>283</v>
      </c>
    </row>
    <row r="59" spans="1:21" ht="57.95" customHeight="1">
      <c r="A59" s="5" t="s">
        <v>278</v>
      </c>
      <c r="B59" s="5" t="s">
        <v>473</v>
      </c>
      <c r="C59" s="5" t="s">
        <v>248</v>
      </c>
      <c r="D59" s="5">
        <v>3</v>
      </c>
      <c r="E59" s="5" t="s">
        <v>986</v>
      </c>
      <c r="F59" s="5" t="s">
        <v>987</v>
      </c>
      <c r="G59" s="5" t="s">
        <v>593</v>
      </c>
      <c r="H59" s="5" t="s">
        <v>945</v>
      </c>
      <c r="I59" s="8">
        <v>41.884410000000003</v>
      </c>
      <c r="J59" s="8">
        <v>12.480147000000001</v>
      </c>
      <c r="K59" s="5" t="s">
        <v>583</v>
      </c>
      <c r="L59" s="5" t="s">
        <v>630</v>
      </c>
      <c r="M59" s="5" t="s">
        <v>988</v>
      </c>
      <c r="N59" s="5" t="s">
        <v>989</v>
      </c>
      <c r="O59" s="5" t="s">
        <v>990</v>
      </c>
      <c r="P59" s="5" t="s">
        <v>991</v>
      </c>
      <c r="Q59" s="5" t="s">
        <v>992</v>
      </c>
      <c r="R59" s="11">
        <f t="shared" si="1"/>
        <v>423</v>
      </c>
      <c r="S59" s="11">
        <f>ROUND(R59*Kriterien!$B$6,0)</f>
        <v>529</v>
      </c>
      <c r="T59" s="5" t="s">
        <v>636</v>
      </c>
      <c r="U59" s="5" t="s">
        <v>283</v>
      </c>
    </row>
    <row r="60" spans="1:21" ht="57.95" customHeight="1">
      <c r="A60" s="5" t="s">
        <v>286</v>
      </c>
      <c r="B60" s="5" t="s">
        <v>473</v>
      </c>
      <c r="C60" s="5" t="s">
        <v>248</v>
      </c>
      <c r="D60" s="5">
        <v>1</v>
      </c>
      <c r="E60" s="5" t="s">
        <v>993</v>
      </c>
      <c r="F60" s="5" t="s">
        <v>288</v>
      </c>
      <c r="G60" s="5" t="s">
        <v>570</v>
      </c>
      <c r="H60" s="5" t="s">
        <v>924</v>
      </c>
      <c r="I60" s="8">
        <v>41.884758599999998</v>
      </c>
      <c r="J60" s="8">
        <v>12.4958638</v>
      </c>
      <c r="K60" s="5" t="s">
        <v>583</v>
      </c>
      <c r="L60" s="5" t="s">
        <v>630</v>
      </c>
      <c r="M60" s="5" t="s">
        <v>994</v>
      </c>
      <c r="N60" s="5" t="s">
        <v>995</v>
      </c>
      <c r="O60" s="5" t="s">
        <v>996</v>
      </c>
      <c r="P60" s="5" t="s">
        <v>997</v>
      </c>
      <c r="Q60" s="5" t="s">
        <v>998</v>
      </c>
      <c r="R60" s="11">
        <f t="shared" si="1"/>
        <v>0</v>
      </c>
      <c r="S60" s="11">
        <f>ROUND(R60*Kriterien!$B$6,0)</f>
        <v>0</v>
      </c>
      <c r="T60" s="5" t="s">
        <v>626</v>
      </c>
      <c r="U60" s="5"/>
    </row>
    <row r="61" spans="1:21" ht="57.95" customHeight="1">
      <c r="A61" s="5" t="s">
        <v>292</v>
      </c>
      <c r="B61" s="5" t="s">
        <v>473</v>
      </c>
      <c r="C61" s="5" t="s">
        <v>248</v>
      </c>
      <c r="D61" s="5">
        <v>1</v>
      </c>
      <c r="E61" s="5" t="s">
        <v>999</v>
      </c>
      <c r="F61" s="5" t="s">
        <v>1000</v>
      </c>
      <c r="G61" s="5" t="s">
        <v>570</v>
      </c>
      <c r="H61" s="5" t="s">
        <v>1001</v>
      </c>
      <c r="I61" s="8">
        <v>41.885761700000003</v>
      </c>
      <c r="J61" s="8">
        <v>12.5055858</v>
      </c>
      <c r="K61" s="5" t="s">
        <v>583</v>
      </c>
      <c r="L61" s="5" t="s">
        <v>594</v>
      </c>
      <c r="M61" s="5" t="s">
        <v>1002</v>
      </c>
      <c r="N61" s="5" t="s">
        <v>1003</v>
      </c>
      <c r="O61" s="5" t="s">
        <v>1004</v>
      </c>
      <c r="P61" s="5" t="s">
        <v>1005</v>
      </c>
      <c r="Q61" s="5" t="s">
        <v>1006</v>
      </c>
      <c r="R61" s="11">
        <f t="shared" si="1"/>
        <v>0</v>
      </c>
      <c r="S61" s="11">
        <f>ROUND(R61*Kriterien!$B$6,0)</f>
        <v>0</v>
      </c>
      <c r="T61" s="5" t="s">
        <v>1007</v>
      </c>
      <c r="U61" s="5"/>
    </row>
    <row r="62" spans="1:21" ht="57.95" customHeight="1">
      <c r="A62" s="5" t="s">
        <v>292</v>
      </c>
      <c r="B62" s="5" t="s">
        <v>473</v>
      </c>
      <c r="C62" s="5" t="s">
        <v>248</v>
      </c>
      <c r="D62" s="5">
        <v>2</v>
      </c>
      <c r="E62" s="5" t="s">
        <v>1008</v>
      </c>
      <c r="F62" s="5" t="s">
        <v>1009</v>
      </c>
      <c r="G62" s="5" t="s">
        <v>582</v>
      </c>
      <c r="H62" s="5" t="s">
        <v>1001</v>
      </c>
      <c r="I62" s="8">
        <v>41.886844000000004</v>
      </c>
      <c r="J62" s="8">
        <v>12.504798299999999</v>
      </c>
      <c r="K62" s="5" t="s">
        <v>583</v>
      </c>
      <c r="L62" s="5" t="s">
        <v>630</v>
      </c>
      <c r="M62" s="5" t="s">
        <v>1010</v>
      </c>
      <c r="N62" s="5" t="s">
        <v>1011</v>
      </c>
      <c r="O62" s="5" t="s">
        <v>721</v>
      </c>
      <c r="P62" s="5" t="s">
        <v>1012</v>
      </c>
      <c r="Q62" s="5" t="s">
        <v>1013</v>
      </c>
      <c r="R62" s="11">
        <f t="shared" si="1"/>
        <v>137</v>
      </c>
      <c r="S62" s="11">
        <f>ROUND(R62*Kriterien!$B$6,0)</f>
        <v>171</v>
      </c>
      <c r="T62" s="5" t="s">
        <v>626</v>
      </c>
      <c r="U62" s="5"/>
    </row>
    <row r="63" spans="1:21" ht="57.95" customHeight="1">
      <c r="A63" s="5" t="s">
        <v>292</v>
      </c>
      <c r="B63" s="5" t="s">
        <v>473</v>
      </c>
      <c r="C63" s="5" t="s">
        <v>248</v>
      </c>
      <c r="D63" s="5">
        <v>3</v>
      </c>
      <c r="E63" s="5" t="s">
        <v>1014</v>
      </c>
      <c r="F63" s="5" t="s">
        <v>1015</v>
      </c>
      <c r="G63" s="5" t="s">
        <v>593</v>
      </c>
      <c r="H63" s="5" t="s">
        <v>1001</v>
      </c>
      <c r="I63" s="8">
        <v>41.8859055</v>
      </c>
      <c r="J63" s="8">
        <v>12.509334300000001</v>
      </c>
      <c r="K63" s="5" t="s">
        <v>583</v>
      </c>
      <c r="L63" s="5" t="s">
        <v>1016</v>
      </c>
      <c r="M63" s="5" t="s">
        <v>1017</v>
      </c>
      <c r="N63" s="5" t="s">
        <v>1018</v>
      </c>
      <c r="O63" s="5" t="s">
        <v>648</v>
      </c>
      <c r="P63" s="5" t="s">
        <v>1019</v>
      </c>
      <c r="Q63" s="5" t="s">
        <v>1020</v>
      </c>
      <c r="R63" s="11">
        <f t="shared" si="1"/>
        <v>389</v>
      </c>
      <c r="S63" s="11">
        <f>ROUND(R63*Kriterien!$B$6,0)</f>
        <v>486</v>
      </c>
      <c r="T63" s="5" t="s">
        <v>1021</v>
      </c>
      <c r="U63" s="5"/>
    </row>
    <row r="64" spans="1:21" ht="57.95" customHeight="1">
      <c r="A64" s="5" t="s">
        <v>298</v>
      </c>
      <c r="B64" s="5" t="s">
        <v>473</v>
      </c>
      <c r="C64" s="5" t="s">
        <v>248</v>
      </c>
      <c r="D64" s="5">
        <v>1</v>
      </c>
      <c r="E64" s="5" t="s">
        <v>1022</v>
      </c>
      <c r="F64" s="5" t="s">
        <v>1023</v>
      </c>
      <c r="G64" s="5" t="s">
        <v>570</v>
      </c>
      <c r="H64" s="5" t="s">
        <v>1001</v>
      </c>
      <c r="I64" s="8">
        <v>41.876518599999997</v>
      </c>
      <c r="J64" s="8">
        <v>12.502487500000001</v>
      </c>
      <c r="K64" s="5" t="s">
        <v>583</v>
      </c>
      <c r="L64" s="5" t="s">
        <v>630</v>
      </c>
      <c r="M64" s="5" t="s">
        <v>1024</v>
      </c>
      <c r="N64" s="5" t="s">
        <v>1025</v>
      </c>
      <c r="O64" s="5" t="s">
        <v>633</v>
      </c>
      <c r="P64" s="5" t="s">
        <v>1026</v>
      </c>
      <c r="Q64" s="5" t="s">
        <v>1027</v>
      </c>
      <c r="R64" s="11">
        <f t="shared" si="1"/>
        <v>0</v>
      </c>
      <c r="S64" s="11">
        <f>ROUND(R64*Kriterien!$B$6,0)</f>
        <v>0</v>
      </c>
      <c r="T64" s="5" t="s">
        <v>626</v>
      </c>
      <c r="U64" s="5" t="s">
        <v>302</v>
      </c>
    </row>
    <row r="65" spans="1:21" ht="57.95" customHeight="1">
      <c r="A65" s="5" t="s">
        <v>298</v>
      </c>
      <c r="B65" s="5" t="s">
        <v>473</v>
      </c>
      <c r="C65" s="5" t="s">
        <v>248</v>
      </c>
      <c r="D65" s="5">
        <v>2</v>
      </c>
      <c r="E65" s="5" t="s">
        <v>1028</v>
      </c>
      <c r="F65" s="5" t="s">
        <v>1029</v>
      </c>
      <c r="G65" s="5" t="s">
        <v>593</v>
      </c>
      <c r="H65" s="5" t="s">
        <v>1001</v>
      </c>
      <c r="I65" s="8">
        <v>41.882323300000003</v>
      </c>
      <c r="J65" s="8">
        <v>12.498639499999999</v>
      </c>
      <c r="K65" s="5" t="s">
        <v>572</v>
      </c>
      <c r="L65" s="5" t="s">
        <v>1030</v>
      </c>
      <c r="M65" s="5" t="s">
        <v>1031</v>
      </c>
      <c r="N65" s="5" t="s">
        <v>1032</v>
      </c>
      <c r="O65" s="5" t="s">
        <v>1033</v>
      </c>
      <c r="P65" s="5" t="s">
        <v>1034</v>
      </c>
      <c r="Q65" s="5" t="s">
        <v>1035</v>
      </c>
      <c r="R65" s="11">
        <f t="shared" si="1"/>
        <v>719</v>
      </c>
      <c r="S65" s="11">
        <f>ROUND(R65*Kriterien!$B$6,0)</f>
        <v>899</v>
      </c>
      <c r="T65" s="5" t="s">
        <v>1036</v>
      </c>
      <c r="U65" s="5" t="s">
        <v>302</v>
      </c>
    </row>
    <row r="66" spans="1:21" ht="57.95" customHeight="1">
      <c r="A66" s="5" t="s">
        <v>305</v>
      </c>
      <c r="B66" s="5" t="s">
        <v>473</v>
      </c>
      <c r="C66" s="5" t="s">
        <v>248</v>
      </c>
      <c r="D66" s="5">
        <v>1</v>
      </c>
      <c r="E66" s="5" t="s">
        <v>1037</v>
      </c>
      <c r="F66" s="5" t="s">
        <v>545</v>
      </c>
      <c r="G66" s="5" t="s">
        <v>570</v>
      </c>
      <c r="H66" s="5" t="s">
        <v>1038</v>
      </c>
      <c r="I66" s="8">
        <v>41.897128871268357</v>
      </c>
      <c r="J66" s="8">
        <v>12.499145861948264</v>
      </c>
      <c r="K66" s="5" t="s">
        <v>572</v>
      </c>
      <c r="L66" s="5" t="s">
        <v>1039</v>
      </c>
      <c r="M66" s="5" t="s">
        <v>1040</v>
      </c>
      <c r="N66" s="5" t="s">
        <v>1041</v>
      </c>
      <c r="O66" s="5" t="s">
        <v>648</v>
      </c>
      <c r="P66" s="5" t="s">
        <v>1042</v>
      </c>
      <c r="Q66" s="5" t="s">
        <v>1043</v>
      </c>
      <c r="R66" s="11">
        <f t="shared" si="1"/>
        <v>0</v>
      </c>
      <c r="S66" s="11">
        <f>ROUND(R66*Kriterien!$B$6,0)</f>
        <v>0</v>
      </c>
      <c r="T66" s="5" t="s">
        <v>1044</v>
      </c>
      <c r="U66" s="5" t="s">
        <v>309</v>
      </c>
    </row>
    <row r="67" spans="1:21" ht="57.95" customHeight="1">
      <c r="A67" s="5" t="s">
        <v>305</v>
      </c>
      <c r="B67" s="5" t="s">
        <v>473</v>
      </c>
      <c r="C67" s="5" t="s">
        <v>248</v>
      </c>
      <c r="D67" s="5">
        <v>2</v>
      </c>
      <c r="E67" s="5" t="s">
        <v>1045</v>
      </c>
      <c r="F67" s="5" t="s">
        <v>1046</v>
      </c>
      <c r="G67" s="5" t="s">
        <v>582</v>
      </c>
      <c r="H67" s="5" t="s">
        <v>1038</v>
      </c>
      <c r="I67" s="8">
        <v>41.898176599999999</v>
      </c>
      <c r="J67" s="8">
        <v>12.497502799999999</v>
      </c>
      <c r="K67" s="5" t="s">
        <v>583</v>
      </c>
      <c r="L67" s="5" t="s">
        <v>630</v>
      </c>
      <c r="M67" s="5" t="s">
        <v>1047</v>
      </c>
      <c r="N67" s="5" t="s">
        <v>1048</v>
      </c>
      <c r="O67" s="5" t="s">
        <v>1049</v>
      </c>
      <c r="P67" s="5" t="s">
        <v>1050</v>
      </c>
      <c r="Q67" s="5" t="s">
        <v>1051</v>
      </c>
      <c r="R67" s="11">
        <f t="shared" si="1"/>
        <v>179</v>
      </c>
      <c r="S67" s="11">
        <f>ROUND(R67*Kriterien!$B$6,0)</f>
        <v>224</v>
      </c>
      <c r="T67" s="5" t="s">
        <v>626</v>
      </c>
      <c r="U67" s="5" t="s">
        <v>309</v>
      </c>
    </row>
    <row r="68" spans="1:21" ht="57.95" customHeight="1">
      <c r="A68" s="5" t="s">
        <v>305</v>
      </c>
      <c r="B68" s="5" t="s">
        <v>473</v>
      </c>
      <c r="C68" s="5" t="s">
        <v>248</v>
      </c>
      <c r="D68" s="5">
        <v>3</v>
      </c>
      <c r="E68" s="5" t="s">
        <v>1052</v>
      </c>
      <c r="F68" s="5" t="s">
        <v>1053</v>
      </c>
      <c r="G68" s="5" t="s">
        <v>593</v>
      </c>
      <c r="H68" s="5" t="s">
        <v>1054</v>
      </c>
      <c r="I68" s="8">
        <v>41.892398399999998</v>
      </c>
      <c r="J68" s="8">
        <v>12.497297400000001</v>
      </c>
      <c r="K68" s="5" t="s">
        <v>583</v>
      </c>
      <c r="L68" s="5" t="s">
        <v>653</v>
      </c>
      <c r="M68" s="5" t="s">
        <v>1055</v>
      </c>
      <c r="N68" s="5" t="s">
        <v>1056</v>
      </c>
      <c r="O68" s="5" t="s">
        <v>1057</v>
      </c>
      <c r="P68" s="5" t="s">
        <v>1058</v>
      </c>
      <c r="Q68" s="5" t="s">
        <v>1059</v>
      </c>
      <c r="R68" s="11">
        <f t="shared" si="1"/>
        <v>642</v>
      </c>
      <c r="S68" s="11">
        <f>ROUND(R68*Kriterien!$B$6,0)</f>
        <v>803</v>
      </c>
      <c r="T68" s="5" t="s">
        <v>1060</v>
      </c>
      <c r="U68" s="5" t="s">
        <v>309</v>
      </c>
    </row>
    <row r="69" spans="1:21" ht="57.95" customHeight="1">
      <c r="A69" s="5" t="s">
        <v>312</v>
      </c>
      <c r="B69" s="5" t="s">
        <v>473</v>
      </c>
      <c r="C69" s="5" t="s">
        <v>248</v>
      </c>
      <c r="D69" s="5">
        <v>1</v>
      </c>
      <c r="E69" s="5" t="s">
        <v>1061</v>
      </c>
      <c r="F69" s="5" t="s">
        <v>314</v>
      </c>
      <c r="G69" s="5" t="s">
        <v>570</v>
      </c>
      <c r="H69" s="5" t="s">
        <v>1038</v>
      </c>
      <c r="I69" s="8">
        <v>41.891179999999999</v>
      </c>
      <c r="J69" s="8">
        <v>12.51572</v>
      </c>
      <c r="K69" s="5" t="s">
        <v>583</v>
      </c>
      <c r="L69" s="5" t="s">
        <v>1016</v>
      </c>
      <c r="M69" s="5" t="s">
        <v>1062</v>
      </c>
      <c r="N69" s="5" t="s">
        <v>1063</v>
      </c>
      <c r="O69" s="5" t="s">
        <v>633</v>
      </c>
      <c r="P69" s="5" t="s">
        <v>1064</v>
      </c>
      <c r="Q69" s="5" t="s">
        <v>1065</v>
      </c>
      <c r="R69" s="11">
        <f t="shared" ref="R69:R85" si="2">IF(A69=A68,ROUND(SQRT(POWER((I69-I68)*111000,2)+POWER((J69-J68)*111000*COS(RADIANS((I69+I68)/2)),2)),0),0)</f>
        <v>0</v>
      </c>
      <c r="S69" s="11">
        <f>ROUND(R69*Kriterien!$B$6,0)</f>
        <v>0</v>
      </c>
      <c r="T69" s="5" t="s">
        <v>1066</v>
      </c>
      <c r="U69" s="5" t="s">
        <v>316</v>
      </c>
    </row>
    <row r="70" spans="1:21" ht="57.95" customHeight="1">
      <c r="A70" s="5" t="s">
        <v>474</v>
      </c>
      <c r="B70" s="5" t="s">
        <v>475</v>
      </c>
      <c r="C70" s="5" t="s">
        <v>127</v>
      </c>
      <c r="D70" s="5">
        <v>1</v>
      </c>
      <c r="E70" s="5" t="s">
        <v>569</v>
      </c>
      <c r="F70" s="5" t="s">
        <v>477</v>
      </c>
      <c r="G70" s="5" t="s">
        <v>570</v>
      </c>
      <c r="H70" s="5" t="s">
        <v>571</v>
      </c>
      <c r="I70" s="8">
        <v>41.902228600000001</v>
      </c>
      <c r="J70" s="8">
        <v>12.4573576</v>
      </c>
      <c r="K70" s="5" t="s">
        <v>572</v>
      </c>
      <c r="L70" s="5" t="s">
        <v>573</v>
      </c>
      <c r="M70" s="5" t="s">
        <v>574</v>
      </c>
      <c r="N70" s="5" t="s">
        <v>575</v>
      </c>
      <c r="O70" s="5" t="s">
        <v>576</v>
      </c>
      <c r="P70" s="5" t="s">
        <v>577</v>
      </c>
      <c r="Q70" s="5" t="s">
        <v>578</v>
      </c>
      <c r="R70" s="11">
        <f t="shared" si="2"/>
        <v>0</v>
      </c>
      <c r="S70" s="11">
        <f>ROUND(R70*Kriterien!$B$6,0)</f>
        <v>0</v>
      </c>
      <c r="T70" s="5" t="s">
        <v>579</v>
      </c>
      <c r="U70" s="5"/>
    </row>
    <row r="71" spans="1:21" ht="57.95" customHeight="1">
      <c r="A71" s="5" t="s">
        <v>481</v>
      </c>
      <c r="B71" s="5" t="s">
        <v>475</v>
      </c>
      <c r="C71" s="5" t="s">
        <v>127</v>
      </c>
      <c r="D71" s="5">
        <v>1</v>
      </c>
      <c r="E71" s="5" t="s">
        <v>1067</v>
      </c>
      <c r="F71" s="5" t="s">
        <v>483</v>
      </c>
      <c r="G71" s="5" t="s">
        <v>570</v>
      </c>
      <c r="H71" s="5" t="s">
        <v>571</v>
      </c>
      <c r="I71" s="8">
        <v>41.901893200000004</v>
      </c>
      <c r="J71" s="8">
        <v>12.466427400000001</v>
      </c>
      <c r="K71" s="5" t="s">
        <v>583</v>
      </c>
      <c r="L71" s="5" t="s">
        <v>630</v>
      </c>
      <c r="M71" s="5" t="s">
        <v>1068</v>
      </c>
      <c r="N71" s="5" t="s">
        <v>1069</v>
      </c>
      <c r="O71" s="5" t="s">
        <v>1070</v>
      </c>
      <c r="P71" s="5" t="s">
        <v>1071</v>
      </c>
      <c r="Q71" s="5" t="s">
        <v>1072</v>
      </c>
      <c r="R71" s="11">
        <f t="shared" si="2"/>
        <v>0</v>
      </c>
      <c r="S71" s="11">
        <f>ROUND(R71*Kriterien!$B$6,0)</f>
        <v>0</v>
      </c>
      <c r="T71" s="5" t="s">
        <v>636</v>
      </c>
      <c r="U71" s="5"/>
    </row>
    <row r="72" spans="1:21" ht="57.95" customHeight="1">
      <c r="A72" s="5" t="s">
        <v>486</v>
      </c>
      <c r="B72" s="5" t="s">
        <v>475</v>
      </c>
      <c r="C72" s="5" t="s">
        <v>127</v>
      </c>
      <c r="D72" s="5">
        <v>1</v>
      </c>
      <c r="E72" s="5" t="s">
        <v>680</v>
      </c>
      <c r="F72" s="5" t="s">
        <v>681</v>
      </c>
      <c r="G72" s="5" t="s">
        <v>570</v>
      </c>
      <c r="H72" s="5" t="s">
        <v>682</v>
      </c>
      <c r="I72" s="8">
        <v>41.898925599999998</v>
      </c>
      <c r="J72" s="8">
        <v>12.473099100000001</v>
      </c>
      <c r="K72" s="5" t="s">
        <v>583</v>
      </c>
      <c r="L72" s="5" t="s">
        <v>673</v>
      </c>
      <c r="M72" s="5" t="s">
        <v>683</v>
      </c>
      <c r="N72" s="5" t="s">
        <v>684</v>
      </c>
      <c r="O72" s="5" t="s">
        <v>648</v>
      </c>
      <c r="P72" s="5" t="s">
        <v>685</v>
      </c>
      <c r="Q72" s="5" t="s">
        <v>686</v>
      </c>
      <c r="R72" s="11">
        <f t="shared" si="2"/>
        <v>0</v>
      </c>
      <c r="S72" s="11">
        <f>ROUND(R72*Kriterien!$B$6,0)</f>
        <v>0</v>
      </c>
      <c r="T72" s="5" t="s">
        <v>687</v>
      </c>
      <c r="U72" s="5"/>
    </row>
    <row r="73" spans="1:21" ht="57.95" customHeight="1">
      <c r="A73" s="5" t="s">
        <v>486</v>
      </c>
      <c r="B73" s="5" t="s">
        <v>475</v>
      </c>
      <c r="C73" s="5" t="s">
        <v>127</v>
      </c>
      <c r="D73" s="5">
        <v>2</v>
      </c>
      <c r="E73" s="5" t="s">
        <v>688</v>
      </c>
      <c r="F73" s="5" t="s">
        <v>689</v>
      </c>
      <c r="G73" s="5" t="s">
        <v>582</v>
      </c>
      <c r="H73" s="5" t="s">
        <v>682</v>
      </c>
      <c r="I73" s="8">
        <v>41.899797599999999</v>
      </c>
      <c r="J73" s="8">
        <v>12.473020699999999</v>
      </c>
      <c r="K73" s="5" t="s">
        <v>583</v>
      </c>
      <c r="L73" s="5" t="s">
        <v>630</v>
      </c>
      <c r="M73" s="5" t="s">
        <v>690</v>
      </c>
      <c r="N73" s="5" t="s">
        <v>691</v>
      </c>
      <c r="O73" s="5" t="s">
        <v>692</v>
      </c>
      <c r="P73" s="5" t="s">
        <v>693</v>
      </c>
      <c r="Q73" s="5" t="s">
        <v>694</v>
      </c>
      <c r="R73" s="11">
        <f t="shared" si="2"/>
        <v>97</v>
      </c>
      <c r="S73" s="11">
        <f>ROUND(R73*Kriterien!$B$6,0)</f>
        <v>121</v>
      </c>
      <c r="T73" s="5" t="s">
        <v>636</v>
      </c>
      <c r="U73" s="5"/>
    </row>
    <row r="74" spans="1:21" ht="57.95" customHeight="1">
      <c r="A74" s="5" t="s">
        <v>486</v>
      </c>
      <c r="B74" s="5" t="s">
        <v>475</v>
      </c>
      <c r="C74" s="5" t="s">
        <v>127</v>
      </c>
      <c r="D74" s="5">
        <v>3</v>
      </c>
      <c r="E74" s="5" t="s">
        <v>695</v>
      </c>
      <c r="F74" s="5" t="s">
        <v>696</v>
      </c>
      <c r="G74" s="5" t="s">
        <v>593</v>
      </c>
      <c r="H74" s="5" t="s">
        <v>682</v>
      </c>
      <c r="I74" s="8">
        <v>41.898111499999999</v>
      </c>
      <c r="J74" s="8">
        <v>12.473152900000001</v>
      </c>
      <c r="K74" s="5" t="s">
        <v>583</v>
      </c>
      <c r="L74" s="5" t="s">
        <v>630</v>
      </c>
      <c r="M74" s="5" t="s">
        <v>697</v>
      </c>
      <c r="N74" s="5" t="s">
        <v>698</v>
      </c>
      <c r="O74" s="5" t="s">
        <v>699</v>
      </c>
      <c r="P74" s="5" t="s">
        <v>700</v>
      </c>
      <c r="Q74" s="5" t="s">
        <v>701</v>
      </c>
      <c r="R74" s="11">
        <f t="shared" si="2"/>
        <v>187</v>
      </c>
      <c r="S74" s="11">
        <f>ROUND(R74*Kriterien!$B$6,0)</f>
        <v>234</v>
      </c>
      <c r="T74" s="5" t="s">
        <v>636</v>
      </c>
      <c r="U74" s="5"/>
    </row>
    <row r="75" spans="1:21" ht="57.95" customHeight="1">
      <c r="A75" s="5" t="s">
        <v>490</v>
      </c>
      <c r="B75" s="5" t="s">
        <v>491</v>
      </c>
      <c r="C75" s="5" t="s">
        <v>492</v>
      </c>
      <c r="D75" s="5">
        <v>1</v>
      </c>
      <c r="E75" s="5" t="s">
        <v>831</v>
      </c>
      <c r="F75" s="5" t="s">
        <v>494</v>
      </c>
      <c r="G75" s="5" t="s">
        <v>570</v>
      </c>
      <c r="H75" s="5" t="s">
        <v>784</v>
      </c>
      <c r="I75" s="8">
        <v>41.892201999999997</v>
      </c>
      <c r="J75" s="8">
        <v>12.479938000000001</v>
      </c>
      <c r="K75" s="5" t="s">
        <v>583</v>
      </c>
      <c r="L75" s="5" t="s">
        <v>594</v>
      </c>
      <c r="M75" s="5" t="s">
        <v>832</v>
      </c>
      <c r="N75" s="5" t="s">
        <v>833</v>
      </c>
      <c r="O75" s="5" t="s">
        <v>633</v>
      </c>
      <c r="P75" s="5" t="s">
        <v>834</v>
      </c>
      <c r="Q75" s="5" t="s">
        <v>835</v>
      </c>
      <c r="R75" s="11">
        <f t="shared" si="2"/>
        <v>0</v>
      </c>
      <c r="S75" s="11">
        <f>ROUND(R75*Kriterien!$B$6,0)</f>
        <v>0</v>
      </c>
      <c r="T75" s="5" t="s">
        <v>836</v>
      </c>
      <c r="U75" s="5" t="s">
        <v>1073</v>
      </c>
    </row>
    <row r="76" spans="1:21" ht="57.95" customHeight="1">
      <c r="A76" s="5" t="s">
        <v>497</v>
      </c>
      <c r="B76" s="5" t="s">
        <v>475</v>
      </c>
      <c r="C76" s="5" t="s">
        <v>248</v>
      </c>
      <c r="D76" s="5">
        <v>1</v>
      </c>
      <c r="E76" s="5" t="s">
        <v>1074</v>
      </c>
      <c r="F76" s="5" t="s">
        <v>499</v>
      </c>
      <c r="G76" s="5" t="s">
        <v>570</v>
      </c>
      <c r="H76" s="5" t="s">
        <v>945</v>
      </c>
      <c r="I76" s="8">
        <v>41.886650681433466</v>
      </c>
      <c r="J76" s="8">
        <v>12.484508661426391</v>
      </c>
      <c r="K76" s="5" t="s">
        <v>583</v>
      </c>
      <c r="L76" s="5" t="s">
        <v>1075</v>
      </c>
      <c r="M76" s="5" t="s">
        <v>1076</v>
      </c>
      <c r="N76" s="5" t="s">
        <v>1077</v>
      </c>
      <c r="O76" s="5" t="s">
        <v>1078</v>
      </c>
      <c r="P76" s="5" t="s">
        <v>1079</v>
      </c>
      <c r="Q76" s="5" t="s">
        <v>1080</v>
      </c>
      <c r="R76" s="11">
        <f t="shared" si="2"/>
        <v>0</v>
      </c>
      <c r="S76" s="11">
        <f>ROUND(R76*Kriterien!$B$6,0)</f>
        <v>0</v>
      </c>
      <c r="T76" s="5" t="s">
        <v>1081</v>
      </c>
      <c r="U76" s="5" t="s">
        <v>1082</v>
      </c>
    </row>
    <row r="77" spans="1:21" ht="57.95" customHeight="1">
      <c r="A77" s="5" t="s">
        <v>502</v>
      </c>
      <c r="B77" s="5" t="s">
        <v>475</v>
      </c>
      <c r="C77" s="5" t="s">
        <v>248</v>
      </c>
      <c r="D77" s="5">
        <v>1</v>
      </c>
      <c r="E77" s="5" t="s">
        <v>929</v>
      </c>
      <c r="F77" s="5" t="s">
        <v>504</v>
      </c>
      <c r="G77" s="5" t="s">
        <v>570</v>
      </c>
      <c r="H77" s="5" t="s">
        <v>924</v>
      </c>
      <c r="I77" s="8">
        <v>41.889890000000001</v>
      </c>
      <c r="J77" s="8">
        <v>12.493370000000001</v>
      </c>
      <c r="K77" s="5" t="s">
        <v>583</v>
      </c>
      <c r="L77" s="5" t="s">
        <v>594</v>
      </c>
      <c r="M77" s="5" t="s">
        <v>930</v>
      </c>
      <c r="N77" s="5" t="s">
        <v>931</v>
      </c>
      <c r="O77" s="5" t="s">
        <v>648</v>
      </c>
      <c r="P77" s="5" t="s">
        <v>932</v>
      </c>
      <c r="Q77" s="5" t="s">
        <v>933</v>
      </c>
      <c r="R77" s="11">
        <f t="shared" si="2"/>
        <v>0</v>
      </c>
      <c r="S77" s="11">
        <f>ROUND(R77*Kriterien!$B$6,0)</f>
        <v>0</v>
      </c>
      <c r="T77" s="5" t="s">
        <v>934</v>
      </c>
      <c r="U77" s="5" t="s">
        <v>1083</v>
      </c>
    </row>
    <row r="78" spans="1:21" ht="57.95" customHeight="1">
      <c r="A78" s="5" t="s">
        <v>507</v>
      </c>
      <c r="B78" s="5" t="s">
        <v>475</v>
      </c>
      <c r="C78" s="5" t="s">
        <v>248</v>
      </c>
      <c r="D78" s="5">
        <v>1</v>
      </c>
      <c r="E78" s="5" t="s">
        <v>1084</v>
      </c>
      <c r="F78" s="5" t="s">
        <v>509</v>
      </c>
      <c r="G78" s="5" t="s">
        <v>570</v>
      </c>
      <c r="H78" s="5" t="s">
        <v>901</v>
      </c>
      <c r="I78" s="8">
        <v>41.896251399999997</v>
      </c>
      <c r="J78" s="8">
        <v>12.486098399999999</v>
      </c>
      <c r="K78" s="5" t="s">
        <v>583</v>
      </c>
      <c r="L78" s="5" t="s">
        <v>594</v>
      </c>
      <c r="M78" s="5" t="s">
        <v>1085</v>
      </c>
      <c r="N78" s="5" t="s">
        <v>1086</v>
      </c>
      <c r="O78" s="5" t="s">
        <v>1087</v>
      </c>
      <c r="P78" s="5" t="s">
        <v>1088</v>
      </c>
      <c r="Q78" s="5" t="s">
        <v>1089</v>
      </c>
      <c r="R78" s="11">
        <f t="shared" si="2"/>
        <v>0</v>
      </c>
      <c r="S78" s="11">
        <f>ROUND(R78*Kriterien!$B$6,0)</f>
        <v>0</v>
      </c>
      <c r="T78" s="5" t="s">
        <v>1090</v>
      </c>
      <c r="U78" s="5" t="s">
        <v>1091</v>
      </c>
    </row>
    <row r="79" spans="1:21" ht="57.95" customHeight="1">
      <c r="A79" s="5" t="s">
        <v>512</v>
      </c>
      <c r="B79" s="5" t="s">
        <v>513</v>
      </c>
      <c r="C79" s="5" t="s">
        <v>127</v>
      </c>
      <c r="D79" s="5">
        <v>1</v>
      </c>
      <c r="E79" s="5" t="s">
        <v>825</v>
      </c>
      <c r="F79" s="5" t="s">
        <v>515</v>
      </c>
      <c r="G79" s="5" t="s">
        <v>570</v>
      </c>
      <c r="H79" s="5" t="s">
        <v>733</v>
      </c>
      <c r="I79" s="8">
        <v>41.893782000000002</v>
      </c>
      <c r="J79" s="8">
        <v>12.477456</v>
      </c>
      <c r="K79" s="5" t="s">
        <v>583</v>
      </c>
      <c r="L79" s="5" t="s">
        <v>630</v>
      </c>
      <c r="M79" s="5" t="s">
        <v>826</v>
      </c>
      <c r="N79" s="5" t="s">
        <v>827</v>
      </c>
      <c r="O79" s="5" t="s">
        <v>641</v>
      </c>
      <c r="P79" s="5" t="s">
        <v>828</v>
      </c>
      <c r="Q79" s="5" t="s">
        <v>829</v>
      </c>
      <c r="R79" s="11">
        <f t="shared" si="2"/>
        <v>0</v>
      </c>
      <c r="S79" s="11">
        <f>ROUND(R79*Kriterien!$B$6,0)</f>
        <v>0</v>
      </c>
      <c r="T79" s="5" t="s">
        <v>830</v>
      </c>
      <c r="U79" s="5" t="s">
        <v>221</v>
      </c>
    </row>
    <row r="80" spans="1:21" ht="57.95" customHeight="1">
      <c r="A80" s="5" t="s">
        <v>518</v>
      </c>
      <c r="B80" s="5" t="s">
        <v>513</v>
      </c>
      <c r="C80" s="5" t="s">
        <v>127</v>
      </c>
      <c r="D80" s="5">
        <v>1</v>
      </c>
      <c r="E80" s="5" t="s">
        <v>740</v>
      </c>
      <c r="F80" s="5" t="s">
        <v>520</v>
      </c>
      <c r="G80" s="5" t="s">
        <v>570</v>
      </c>
      <c r="H80" s="5" t="s">
        <v>733</v>
      </c>
      <c r="I80" s="8">
        <v>41.902610899999999</v>
      </c>
      <c r="J80" s="8">
        <v>12.483710800000001</v>
      </c>
      <c r="K80" s="5" t="s">
        <v>572</v>
      </c>
      <c r="L80" s="5" t="s">
        <v>741</v>
      </c>
      <c r="M80" s="5" t="s">
        <v>742</v>
      </c>
      <c r="N80" s="5" t="s">
        <v>743</v>
      </c>
      <c r="O80" s="5" t="s">
        <v>648</v>
      </c>
      <c r="P80" s="5" t="s">
        <v>744</v>
      </c>
      <c r="Q80" s="5" t="s">
        <v>745</v>
      </c>
      <c r="R80" s="11">
        <f t="shared" si="2"/>
        <v>0</v>
      </c>
      <c r="S80" s="11">
        <f>ROUND(R80*Kriterien!$B$6,0)</f>
        <v>0</v>
      </c>
      <c r="T80" s="5" t="s">
        <v>746</v>
      </c>
      <c r="U80" s="5" t="s">
        <v>193</v>
      </c>
    </row>
    <row r="81" spans="1:21" ht="57.95" customHeight="1">
      <c r="A81" s="5" t="s">
        <v>523</v>
      </c>
      <c r="B81" s="5" t="s">
        <v>513</v>
      </c>
      <c r="C81" s="5" t="s">
        <v>127</v>
      </c>
      <c r="D81" s="5">
        <v>1</v>
      </c>
      <c r="E81" s="5" t="s">
        <v>1092</v>
      </c>
      <c r="F81" s="5" t="s">
        <v>525</v>
      </c>
      <c r="G81" s="5" t="s">
        <v>570</v>
      </c>
      <c r="H81" s="5" t="s">
        <v>847</v>
      </c>
      <c r="I81" s="8">
        <v>41.8847241</v>
      </c>
      <c r="J81" s="8">
        <v>12.463598899999999</v>
      </c>
      <c r="K81" s="5" t="s">
        <v>572</v>
      </c>
      <c r="L81" s="5" t="s">
        <v>1093</v>
      </c>
      <c r="M81" s="5" t="s">
        <v>1094</v>
      </c>
      <c r="N81" s="5" t="s">
        <v>1095</v>
      </c>
      <c r="O81" s="5" t="s">
        <v>1096</v>
      </c>
      <c r="P81" s="5" t="s">
        <v>1097</v>
      </c>
      <c r="Q81" s="5" t="s">
        <v>1098</v>
      </c>
      <c r="R81" s="11">
        <f t="shared" si="2"/>
        <v>0</v>
      </c>
      <c r="S81" s="11">
        <f>ROUND(R81*Kriterien!$B$6,0)</f>
        <v>0</v>
      </c>
      <c r="T81" s="5" t="s">
        <v>1099</v>
      </c>
      <c r="U81" s="5" t="s">
        <v>1100</v>
      </c>
    </row>
    <row r="82" spans="1:21" ht="57.95" customHeight="1">
      <c r="A82" s="5" t="s">
        <v>528</v>
      </c>
      <c r="B82" s="5" t="s">
        <v>513</v>
      </c>
      <c r="C82" s="5" t="s">
        <v>248</v>
      </c>
      <c r="D82" s="5">
        <v>1</v>
      </c>
      <c r="E82" s="5" t="s">
        <v>1101</v>
      </c>
      <c r="F82" s="5" t="s">
        <v>530</v>
      </c>
      <c r="G82" s="5" t="s">
        <v>570</v>
      </c>
      <c r="H82" s="5" t="s">
        <v>1054</v>
      </c>
      <c r="I82" s="8">
        <v>41.8946228</v>
      </c>
      <c r="J82" s="8">
        <v>12.504308099999999</v>
      </c>
      <c r="K82" s="5" t="s">
        <v>572</v>
      </c>
      <c r="L82" s="5" t="s">
        <v>1093</v>
      </c>
      <c r="M82" s="5" t="s">
        <v>1102</v>
      </c>
      <c r="N82" s="5" t="s">
        <v>1103</v>
      </c>
      <c r="O82" s="5" t="s">
        <v>633</v>
      </c>
      <c r="P82" s="5" t="s">
        <v>1104</v>
      </c>
      <c r="Q82" s="5" t="s">
        <v>1105</v>
      </c>
      <c r="R82" s="11">
        <f t="shared" si="2"/>
        <v>0</v>
      </c>
      <c r="S82" s="11">
        <f>ROUND(R82*Kriterien!$B$6,0)</f>
        <v>0</v>
      </c>
      <c r="T82" s="5" t="s">
        <v>1106</v>
      </c>
      <c r="U82" s="5" t="s">
        <v>1107</v>
      </c>
    </row>
    <row r="83" spans="1:21" ht="57.95" customHeight="1">
      <c r="A83" s="5" t="s">
        <v>533</v>
      </c>
      <c r="B83" s="5" t="s">
        <v>513</v>
      </c>
      <c r="C83" s="5" t="s">
        <v>248</v>
      </c>
      <c r="D83" s="5">
        <v>1</v>
      </c>
      <c r="E83" s="5" t="s">
        <v>1108</v>
      </c>
      <c r="F83" s="5" t="s">
        <v>535</v>
      </c>
      <c r="G83" s="5" t="s">
        <v>570</v>
      </c>
      <c r="H83" s="5" t="s">
        <v>1054</v>
      </c>
      <c r="I83" s="8">
        <v>41.8919766</v>
      </c>
      <c r="J83" s="8">
        <v>12.5039912</v>
      </c>
      <c r="K83" s="5" t="s">
        <v>572</v>
      </c>
      <c r="L83" s="5" t="s">
        <v>1093</v>
      </c>
      <c r="M83" s="5" t="s">
        <v>1109</v>
      </c>
      <c r="N83" s="5" t="s">
        <v>1110</v>
      </c>
      <c r="O83" s="5" t="s">
        <v>1111</v>
      </c>
      <c r="P83" s="5" t="s">
        <v>1112</v>
      </c>
      <c r="Q83" s="5" t="s">
        <v>1113</v>
      </c>
      <c r="R83" s="11">
        <f t="shared" si="2"/>
        <v>0</v>
      </c>
      <c r="S83" s="11">
        <f>ROUND(R83*Kriterien!$B$6,0)</f>
        <v>0</v>
      </c>
      <c r="T83" s="5" t="s">
        <v>1114</v>
      </c>
      <c r="U83" s="5" t="s">
        <v>1115</v>
      </c>
    </row>
    <row r="84" spans="1:21" ht="57.95" customHeight="1">
      <c r="A84" s="5" t="s">
        <v>537</v>
      </c>
      <c r="B84" s="5" t="s">
        <v>538</v>
      </c>
      <c r="C84" s="5" t="s">
        <v>127</v>
      </c>
      <c r="D84" s="5">
        <v>1</v>
      </c>
      <c r="E84" s="5" t="s">
        <v>1116</v>
      </c>
      <c r="F84" s="5" t="s">
        <v>540</v>
      </c>
      <c r="G84" s="5" t="s">
        <v>570</v>
      </c>
      <c r="H84" s="5" t="s">
        <v>865</v>
      </c>
      <c r="I84" s="8">
        <v>41.891477299999998</v>
      </c>
      <c r="J84" s="8">
        <v>12.4613885</v>
      </c>
      <c r="K84" s="5" t="s">
        <v>583</v>
      </c>
      <c r="L84" s="5" t="s">
        <v>1117</v>
      </c>
      <c r="M84" s="5" t="s">
        <v>1118</v>
      </c>
      <c r="N84" s="5" t="s">
        <v>1119</v>
      </c>
      <c r="O84" s="5" t="s">
        <v>1120</v>
      </c>
      <c r="P84" s="5" t="s">
        <v>1121</v>
      </c>
      <c r="Q84" s="5" t="s">
        <v>1122</v>
      </c>
      <c r="R84" s="11">
        <f t="shared" si="2"/>
        <v>0</v>
      </c>
      <c r="S84" s="11">
        <f>ROUND(R84*Kriterien!$B$6,0)</f>
        <v>0</v>
      </c>
      <c r="T84" s="5" t="s">
        <v>1123</v>
      </c>
      <c r="U84" s="5" t="s">
        <v>539</v>
      </c>
    </row>
    <row r="85" spans="1:21" ht="57.95" customHeight="1">
      <c r="A85" s="6" t="s">
        <v>543</v>
      </c>
      <c r="B85" s="6" t="s">
        <v>538</v>
      </c>
      <c r="C85" s="6" t="s">
        <v>248</v>
      </c>
      <c r="D85" s="6">
        <v>1</v>
      </c>
      <c r="E85" s="6" t="s">
        <v>1037</v>
      </c>
      <c r="F85" s="6" t="s">
        <v>545</v>
      </c>
      <c r="G85" s="6" t="s">
        <v>570</v>
      </c>
      <c r="H85" s="6" t="s">
        <v>1038</v>
      </c>
      <c r="I85" s="9">
        <v>41.897128871268357</v>
      </c>
      <c r="J85" s="9">
        <v>12.499145861948264</v>
      </c>
      <c r="K85" s="6" t="s">
        <v>572</v>
      </c>
      <c r="L85" s="6" t="s">
        <v>1039</v>
      </c>
      <c r="M85" s="6" t="s">
        <v>1040</v>
      </c>
      <c r="N85" s="6" t="s">
        <v>1041</v>
      </c>
      <c r="O85" s="6" t="s">
        <v>648</v>
      </c>
      <c r="P85" s="6" t="s">
        <v>1042</v>
      </c>
      <c r="Q85" s="6" t="s">
        <v>1043</v>
      </c>
      <c r="R85" s="12">
        <f t="shared" si="2"/>
        <v>0</v>
      </c>
      <c r="S85" s="12">
        <f>ROUND(R85*Kriterien!$B$6,0)</f>
        <v>0</v>
      </c>
      <c r="T85" s="6" t="s">
        <v>1044</v>
      </c>
      <c r="U85" s="6" t="s">
        <v>544</v>
      </c>
    </row>
  </sheetData>
  <mergeCells count="2">
    <mergeCell ref="A1:U1"/>
    <mergeCell ref="A2:U2"/>
  </mergeCells>
  <conditionalFormatting sqref="K5:K85">
    <cfRule type="containsText" dxfId="33" priority="1" operator="containsText" text="GRUEN"/>
    <cfRule type="containsText" dxfId="32" priority="2" operator="containsText" text="GELB"/>
    <cfRule type="containsText" dxfId="31" priority="3" operator="containsText" text="ROT"/>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18"/>
  <sheetViews>
    <sheetView showGridLines="0" workbookViewId="0">
      <selection sqref="A1:P1"/>
    </sheetView>
  </sheetViews>
  <sheetFormatPr baseColWidth="10" defaultColWidth="9" defaultRowHeight="14.25"/>
  <cols>
    <col min="1" max="1" width="7" customWidth="1"/>
    <col min="2" max="2" width="14" customWidth="1"/>
    <col min="3" max="3" width="18" customWidth="1"/>
    <col min="4" max="4" width="12" customWidth="1"/>
    <col min="5" max="5" width="30" customWidth="1"/>
    <col min="6" max="6" width="50" customWidth="1"/>
    <col min="7" max="7" width="14" customWidth="1"/>
    <col min="8" max="8" width="65" customWidth="1"/>
    <col min="9" max="9" width="22" customWidth="1"/>
    <col min="10" max="10" width="35" customWidth="1"/>
    <col min="11" max="11" width="26" customWidth="1"/>
    <col min="12" max="12" width="16" customWidth="1"/>
    <col min="13" max="13" width="48" customWidth="1"/>
    <col min="14" max="14" width="14" customWidth="1"/>
    <col min="15" max="16" width="50" customWidth="1"/>
    <col min="17" max="17" width="32" customWidth="1"/>
    <col min="18" max="18" width="18" customWidth="1"/>
    <col min="19" max="19" width="34" customWidth="1"/>
  </cols>
  <sheetData>
    <row r="1" spans="1:19" ht="30" customHeight="1">
      <c r="A1" s="69" t="s">
        <v>1124</v>
      </c>
      <c r="B1" s="69"/>
      <c r="C1" s="69"/>
      <c r="D1" s="69"/>
      <c r="E1" s="69"/>
      <c r="F1" s="69"/>
      <c r="G1" s="69"/>
      <c r="H1" s="69"/>
      <c r="I1" s="69"/>
      <c r="J1" s="69"/>
      <c r="K1" s="69"/>
      <c r="L1" s="69"/>
      <c r="M1" s="69"/>
      <c r="N1" s="69"/>
      <c r="O1" s="69"/>
      <c r="P1" s="69"/>
    </row>
    <row r="2" spans="1:19" ht="32.1" customHeight="1">
      <c r="A2" s="70" t="s">
        <v>1125</v>
      </c>
      <c r="B2" s="70"/>
      <c r="C2" s="70"/>
      <c r="D2" s="70"/>
      <c r="E2" s="70"/>
      <c r="F2" s="70"/>
      <c r="G2" s="70"/>
      <c r="H2" s="70"/>
      <c r="I2" s="70"/>
      <c r="J2" s="70"/>
      <c r="K2" s="70"/>
      <c r="L2" s="70"/>
      <c r="M2" s="70"/>
      <c r="N2" s="70"/>
      <c r="O2" s="70"/>
      <c r="P2" s="70"/>
    </row>
    <row r="3" spans="1:19">
      <c r="A3" s="24"/>
      <c r="B3" s="24"/>
      <c r="C3" s="24"/>
      <c r="D3" s="24"/>
      <c r="E3" s="24"/>
      <c r="F3" s="24"/>
      <c r="G3" s="24"/>
      <c r="H3" s="24"/>
      <c r="I3" s="24"/>
      <c r="J3" s="24"/>
      <c r="K3" s="24"/>
      <c r="L3" s="24"/>
      <c r="M3" s="24"/>
      <c r="N3" s="24"/>
      <c r="O3" s="24"/>
      <c r="P3" s="24"/>
    </row>
    <row r="4" spans="1:19" ht="30">
      <c r="A4" s="25" t="s">
        <v>96</v>
      </c>
      <c r="B4" s="25" t="s">
        <v>97</v>
      </c>
      <c r="C4" s="25" t="s">
        <v>461</v>
      </c>
      <c r="D4" s="25" t="s">
        <v>98</v>
      </c>
      <c r="E4" s="25" t="s">
        <v>462</v>
      </c>
      <c r="F4" s="25" t="s">
        <v>101</v>
      </c>
      <c r="G4" s="25" t="s">
        <v>1126</v>
      </c>
      <c r="H4" s="25" t="s">
        <v>1127</v>
      </c>
      <c r="I4" s="25" t="s">
        <v>24</v>
      </c>
      <c r="J4" s="25" t="s">
        <v>323</v>
      </c>
      <c r="K4" s="25" t="s">
        <v>1128</v>
      </c>
      <c r="L4" s="25" t="s">
        <v>1129</v>
      </c>
      <c r="M4" s="25" t="s">
        <v>1130</v>
      </c>
      <c r="N4" s="25" t="s">
        <v>1131</v>
      </c>
      <c r="O4" s="25" t="s">
        <v>124</v>
      </c>
      <c r="P4" s="25" t="s">
        <v>123</v>
      </c>
      <c r="Q4" s="60" t="s">
        <v>1132</v>
      </c>
      <c r="R4" s="60" t="s">
        <v>1133</v>
      </c>
      <c r="S4" s="60" t="s">
        <v>1134</v>
      </c>
    </row>
    <row r="5" spans="1:19" ht="48" customHeight="1">
      <c r="A5" s="4">
        <v>1</v>
      </c>
      <c r="B5" s="4" t="s">
        <v>474</v>
      </c>
      <c r="C5" s="4" t="s">
        <v>475</v>
      </c>
      <c r="D5" s="4" t="s">
        <v>127</v>
      </c>
      <c r="E5" s="4" t="s">
        <v>476</v>
      </c>
      <c r="F5" s="4" t="s">
        <v>477</v>
      </c>
      <c r="G5" s="4" t="s">
        <v>53</v>
      </c>
      <c r="H5" s="4" t="s">
        <v>479</v>
      </c>
      <c r="I5" s="4" t="s">
        <v>478</v>
      </c>
      <c r="J5" s="4" t="s">
        <v>1135</v>
      </c>
      <c r="K5" s="4"/>
      <c r="L5" s="4" t="s">
        <v>1136</v>
      </c>
      <c r="M5" s="4" t="s">
        <v>1137</v>
      </c>
      <c r="N5" s="4" t="s">
        <v>1138</v>
      </c>
      <c r="O5" s="4" t="s">
        <v>480</v>
      </c>
      <c r="P5" s="4" t="s">
        <v>1139</v>
      </c>
      <c r="Q5" s="61" t="s">
        <v>1140</v>
      </c>
      <c r="R5" s="61" t="s">
        <v>1141</v>
      </c>
      <c r="S5" s="61" t="s">
        <v>1142</v>
      </c>
    </row>
    <row r="6" spans="1:19" ht="48" customHeight="1">
      <c r="A6" s="5">
        <v>2</v>
      </c>
      <c r="B6" s="5" t="s">
        <v>481</v>
      </c>
      <c r="C6" s="5" t="s">
        <v>475</v>
      </c>
      <c r="D6" s="5" t="s">
        <v>127</v>
      </c>
      <c r="E6" s="5" t="s">
        <v>482</v>
      </c>
      <c r="F6" s="5" t="s">
        <v>483</v>
      </c>
      <c r="G6" s="5" t="s">
        <v>53</v>
      </c>
      <c r="H6" s="5" t="s">
        <v>484</v>
      </c>
      <c r="I6" s="5" t="s">
        <v>478</v>
      </c>
      <c r="J6" s="5" t="s">
        <v>1143</v>
      </c>
      <c r="K6" s="5"/>
      <c r="L6" s="5" t="s">
        <v>1136</v>
      </c>
      <c r="M6" s="5" t="s">
        <v>1144</v>
      </c>
      <c r="N6" s="5" t="s">
        <v>1138</v>
      </c>
      <c r="O6" s="5" t="s">
        <v>485</v>
      </c>
      <c r="P6" s="5" t="s">
        <v>1145</v>
      </c>
      <c r="Q6" s="61" t="s">
        <v>1140</v>
      </c>
      <c r="R6" s="61" t="s">
        <v>1141</v>
      </c>
      <c r="S6" s="61" t="s">
        <v>1142</v>
      </c>
    </row>
    <row r="7" spans="1:19" ht="48" customHeight="1">
      <c r="A7" s="5">
        <v>3</v>
      </c>
      <c r="B7" s="5" t="s">
        <v>486</v>
      </c>
      <c r="C7" s="5" t="s">
        <v>475</v>
      </c>
      <c r="D7" s="5" t="s">
        <v>127</v>
      </c>
      <c r="E7" s="5" t="s">
        <v>487</v>
      </c>
      <c r="F7" s="5" t="s">
        <v>168</v>
      </c>
      <c r="G7" s="5" t="s">
        <v>56</v>
      </c>
      <c r="H7" s="5" t="s">
        <v>488</v>
      </c>
      <c r="I7" s="5" t="s">
        <v>478</v>
      </c>
      <c r="J7" s="5" t="s">
        <v>1146</v>
      </c>
      <c r="K7" s="5"/>
      <c r="L7" s="5" t="s">
        <v>1136</v>
      </c>
      <c r="M7" s="5" t="s">
        <v>1147</v>
      </c>
      <c r="N7" s="5" t="s">
        <v>1138</v>
      </c>
      <c r="O7" s="5" t="s">
        <v>489</v>
      </c>
      <c r="P7" s="5" t="s">
        <v>1148</v>
      </c>
      <c r="Q7" s="61" t="s">
        <v>1140</v>
      </c>
      <c r="R7" s="61" t="s">
        <v>1141</v>
      </c>
      <c r="S7" s="61" t="s">
        <v>1142</v>
      </c>
    </row>
    <row r="8" spans="1:19" ht="48" customHeight="1">
      <c r="A8" s="5">
        <v>4</v>
      </c>
      <c r="B8" s="5" t="s">
        <v>490</v>
      </c>
      <c r="C8" s="5" t="s">
        <v>491</v>
      </c>
      <c r="D8" s="5" t="s">
        <v>492</v>
      </c>
      <c r="E8" s="5" t="s">
        <v>493</v>
      </c>
      <c r="F8" s="5" t="s">
        <v>494</v>
      </c>
      <c r="G8" s="5" t="s">
        <v>1149</v>
      </c>
      <c r="H8" s="5" t="s">
        <v>495</v>
      </c>
      <c r="I8" s="5" t="s">
        <v>478</v>
      </c>
      <c r="J8" s="5" t="s">
        <v>1150</v>
      </c>
      <c r="K8" s="5" t="s">
        <v>1073</v>
      </c>
      <c r="L8" s="5" t="s">
        <v>1151</v>
      </c>
      <c r="M8" s="5" t="s">
        <v>1152</v>
      </c>
      <c r="N8" s="5" t="s">
        <v>1138</v>
      </c>
      <c r="O8" s="5" t="s">
        <v>496</v>
      </c>
      <c r="P8" s="5" t="s">
        <v>1153</v>
      </c>
      <c r="Q8" s="61" t="s">
        <v>1140</v>
      </c>
      <c r="R8" s="61" t="s">
        <v>1154</v>
      </c>
      <c r="S8" s="61" t="s">
        <v>1142</v>
      </c>
    </row>
    <row r="9" spans="1:19" ht="48" customHeight="1">
      <c r="A9" s="5">
        <v>5</v>
      </c>
      <c r="B9" s="5" t="s">
        <v>497</v>
      </c>
      <c r="C9" s="5" t="s">
        <v>475</v>
      </c>
      <c r="D9" s="5" t="s">
        <v>248</v>
      </c>
      <c r="E9" s="5" t="s">
        <v>498</v>
      </c>
      <c r="F9" s="5" t="s">
        <v>499</v>
      </c>
      <c r="G9" s="5" t="s">
        <v>56</v>
      </c>
      <c r="H9" s="5" t="s">
        <v>500</v>
      </c>
      <c r="I9" s="5" t="s">
        <v>478</v>
      </c>
      <c r="J9" s="5" t="s">
        <v>1155</v>
      </c>
      <c r="K9" s="5" t="s">
        <v>1082</v>
      </c>
      <c r="L9" s="5" t="s">
        <v>1136</v>
      </c>
      <c r="M9" s="5" t="s">
        <v>1156</v>
      </c>
      <c r="N9" s="5" t="s">
        <v>1138</v>
      </c>
      <c r="O9" s="5" t="s">
        <v>501</v>
      </c>
      <c r="P9" s="5" t="s">
        <v>1157</v>
      </c>
      <c r="Q9" s="61" t="s">
        <v>1140</v>
      </c>
      <c r="R9" s="61" t="s">
        <v>1141</v>
      </c>
      <c r="S9" s="61" t="s">
        <v>1142</v>
      </c>
    </row>
    <row r="10" spans="1:19" ht="48" customHeight="1">
      <c r="A10" s="5">
        <v>6</v>
      </c>
      <c r="B10" s="5" t="s">
        <v>502</v>
      </c>
      <c r="C10" s="5" t="s">
        <v>475</v>
      </c>
      <c r="D10" s="5" t="s">
        <v>248</v>
      </c>
      <c r="E10" s="5" t="s">
        <v>503</v>
      </c>
      <c r="F10" s="5" t="s">
        <v>504</v>
      </c>
      <c r="G10" s="5" t="s">
        <v>53</v>
      </c>
      <c r="H10" s="5" t="s">
        <v>505</v>
      </c>
      <c r="I10" s="5" t="s">
        <v>478</v>
      </c>
      <c r="J10" s="5" t="s">
        <v>1158</v>
      </c>
      <c r="K10" s="5" t="s">
        <v>1083</v>
      </c>
      <c r="L10" s="5" t="s">
        <v>1136</v>
      </c>
      <c r="M10" s="5" t="s">
        <v>1159</v>
      </c>
      <c r="N10" s="5" t="s">
        <v>1138</v>
      </c>
      <c r="O10" s="5" t="s">
        <v>506</v>
      </c>
      <c r="P10" s="5" t="s">
        <v>1160</v>
      </c>
      <c r="Q10" s="61" t="s">
        <v>1140</v>
      </c>
      <c r="R10" s="61" t="s">
        <v>1141</v>
      </c>
      <c r="S10" s="61" t="s">
        <v>1142</v>
      </c>
    </row>
    <row r="11" spans="1:19" ht="48" customHeight="1">
      <c r="A11" s="5">
        <v>7</v>
      </c>
      <c r="B11" s="5" t="s">
        <v>507</v>
      </c>
      <c r="C11" s="5" t="s">
        <v>475</v>
      </c>
      <c r="D11" s="5" t="s">
        <v>248</v>
      </c>
      <c r="E11" s="5" t="s">
        <v>508</v>
      </c>
      <c r="F11" s="5" t="s">
        <v>509</v>
      </c>
      <c r="G11" s="5" t="s">
        <v>56</v>
      </c>
      <c r="H11" s="5" t="s">
        <v>510</v>
      </c>
      <c r="I11" s="5" t="s">
        <v>478</v>
      </c>
      <c r="J11" s="5" t="s">
        <v>1161</v>
      </c>
      <c r="K11" s="5" t="s">
        <v>1091</v>
      </c>
      <c r="L11" s="5" t="s">
        <v>1136</v>
      </c>
      <c r="M11" s="5" t="s">
        <v>1162</v>
      </c>
      <c r="N11" s="5" t="s">
        <v>1138</v>
      </c>
      <c r="O11" s="5" t="s">
        <v>511</v>
      </c>
      <c r="P11" s="5" t="s">
        <v>1163</v>
      </c>
      <c r="Q11" s="61" t="s">
        <v>1140</v>
      </c>
      <c r="R11" s="61" t="s">
        <v>1141</v>
      </c>
      <c r="S11" s="61" t="s">
        <v>1142</v>
      </c>
    </row>
    <row r="12" spans="1:19" ht="48" customHeight="1">
      <c r="A12" s="5">
        <v>8</v>
      </c>
      <c r="B12" s="5" t="s">
        <v>512</v>
      </c>
      <c r="C12" s="5" t="s">
        <v>513</v>
      </c>
      <c r="D12" s="5" t="s">
        <v>127</v>
      </c>
      <c r="E12" s="5" t="s">
        <v>514</v>
      </c>
      <c r="F12" s="5" t="s">
        <v>515</v>
      </c>
      <c r="G12" s="5" t="s">
        <v>1164</v>
      </c>
      <c r="H12" s="5" t="s">
        <v>516</v>
      </c>
      <c r="I12" s="5" t="s">
        <v>29</v>
      </c>
      <c r="J12" s="5" t="s">
        <v>35</v>
      </c>
      <c r="K12" s="5" t="s">
        <v>221</v>
      </c>
      <c r="L12" s="5" t="s">
        <v>1165</v>
      </c>
      <c r="M12" s="5" t="s">
        <v>1166</v>
      </c>
      <c r="N12" s="5" t="s">
        <v>1167</v>
      </c>
      <c r="O12" s="5" t="s">
        <v>517</v>
      </c>
      <c r="P12" s="5" t="s">
        <v>1168</v>
      </c>
      <c r="Q12" s="61" t="s">
        <v>1169</v>
      </c>
      <c r="R12" s="61" t="s">
        <v>1170</v>
      </c>
      <c r="S12" s="61" t="s">
        <v>1171</v>
      </c>
    </row>
    <row r="13" spans="1:19" ht="48" customHeight="1">
      <c r="A13" s="5">
        <v>9</v>
      </c>
      <c r="B13" s="5" t="s">
        <v>518</v>
      </c>
      <c r="C13" s="5" t="s">
        <v>513</v>
      </c>
      <c r="D13" s="5" t="s">
        <v>127</v>
      </c>
      <c r="E13" s="5" t="s">
        <v>519</v>
      </c>
      <c r="F13" s="5" t="s">
        <v>520</v>
      </c>
      <c r="G13" s="5" t="s">
        <v>1164</v>
      </c>
      <c r="H13" s="5" t="s">
        <v>521</v>
      </c>
      <c r="I13" s="5" t="s">
        <v>29</v>
      </c>
      <c r="J13" s="5" t="s">
        <v>35</v>
      </c>
      <c r="K13" s="5" t="s">
        <v>193</v>
      </c>
      <c r="L13" s="5" t="s">
        <v>1165</v>
      </c>
      <c r="M13" s="5" t="s">
        <v>1172</v>
      </c>
      <c r="N13" s="5" t="s">
        <v>1167</v>
      </c>
      <c r="O13" s="5" t="s">
        <v>522</v>
      </c>
      <c r="P13" s="5" t="s">
        <v>1173</v>
      </c>
      <c r="Q13" s="61" t="s">
        <v>1169</v>
      </c>
      <c r="R13" s="61" t="s">
        <v>1170</v>
      </c>
      <c r="S13" s="61" t="s">
        <v>1171</v>
      </c>
    </row>
    <row r="14" spans="1:19" ht="48" customHeight="1">
      <c r="A14" s="5">
        <v>10</v>
      </c>
      <c r="B14" s="5" t="s">
        <v>523</v>
      </c>
      <c r="C14" s="5" t="s">
        <v>513</v>
      </c>
      <c r="D14" s="5" t="s">
        <v>127</v>
      </c>
      <c r="E14" s="5" t="s">
        <v>524</v>
      </c>
      <c r="F14" s="5" t="s">
        <v>525</v>
      </c>
      <c r="G14" s="5" t="s">
        <v>1164</v>
      </c>
      <c r="H14" s="5" t="s">
        <v>526</v>
      </c>
      <c r="I14" s="5" t="s">
        <v>29</v>
      </c>
      <c r="J14" s="5" t="s">
        <v>1174</v>
      </c>
      <c r="K14" s="5" t="s">
        <v>1100</v>
      </c>
      <c r="L14" s="5" t="s">
        <v>1165</v>
      </c>
      <c r="M14" s="5" t="s">
        <v>1175</v>
      </c>
      <c r="N14" s="5" t="s">
        <v>1167</v>
      </c>
      <c r="O14" s="5" t="s">
        <v>527</v>
      </c>
      <c r="P14" s="5" t="s">
        <v>1176</v>
      </c>
      <c r="Q14" s="61" t="s">
        <v>1169</v>
      </c>
      <c r="R14" s="61" t="s">
        <v>1170</v>
      </c>
      <c r="S14" s="61" t="s">
        <v>1171</v>
      </c>
    </row>
    <row r="15" spans="1:19" ht="48" customHeight="1">
      <c r="A15" s="5">
        <v>11</v>
      </c>
      <c r="B15" s="5" t="s">
        <v>528</v>
      </c>
      <c r="C15" s="5" t="s">
        <v>513</v>
      </c>
      <c r="D15" s="5" t="s">
        <v>248</v>
      </c>
      <c r="E15" s="5" t="s">
        <v>529</v>
      </c>
      <c r="F15" s="5" t="s">
        <v>530</v>
      </c>
      <c r="G15" s="5" t="s">
        <v>1164</v>
      </c>
      <c r="H15" s="5" t="s">
        <v>531</v>
      </c>
      <c r="I15" s="5" t="s">
        <v>29</v>
      </c>
      <c r="J15" s="5" t="s">
        <v>1177</v>
      </c>
      <c r="K15" s="5" t="s">
        <v>1107</v>
      </c>
      <c r="L15" s="5" t="s">
        <v>1165</v>
      </c>
      <c r="M15" s="5" t="s">
        <v>1175</v>
      </c>
      <c r="N15" s="5" t="s">
        <v>1167</v>
      </c>
      <c r="O15" s="5" t="s">
        <v>532</v>
      </c>
      <c r="P15" s="5" t="s">
        <v>1178</v>
      </c>
      <c r="Q15" s="61" t="s">
        <v>1169</v>
      </c>
      <c r="R15" s="61" t="s">
        <v>1170</v>
      </c>
      <c r="S15" s="61" t="s">
        <v>1171</v>
      </c>
    </row>
    <row r="16" spans="1:19" ht="48" customHeight="1">
      <c r="A16" s="5">
        <v>12</v>
      </c>
      <c r="B16" s="5" t="s">
        <v>533</v>
      </c>
      <c r="C16" s="5" t="s">
        <v>513</v>
      </c>
      <c r="D16" s="5" t="s">
        <v>248</v>
      </c>
      <c r="E16" s="5" t="s">
        <v>534</v>
      </c>
      <c r="F16" s="5" t="s">
        <v>535</v>
      </c>
      <c r="G16" s="5" t="s">
        <v>1164</v>
      </c>
      <c r="H16" s="5" t="s">
        <v>536</v>
      </c>
      <c r="I16" s="5" t="s">
        <v>29</v>
      </c>
      <c r="J16" s="5" t="s">
        <v>1179</v>
      </c>
      <c r="K16" s="5" t="s">
        <v>1115</v>
      </c>
      <c r="L16" s="5" t="s">
        <v>1165</v>
      </c>
      <c r="M16" s="5" t="s">
        <v>1180</v>
      </c>
      <c r="N16" s="5" t="s">
        <v>1167</v>
      </c>
      <c r="O16" s="5" t="s">
        <v>527</v>
      </c>
      <c r="P16" s="5" t="s">
        <v>1181</v>
      </c>
      <c r="Q16" s="61" t="s">
        <v>1169</v>
      </c>
      <c r="R16" s="61" t="s">
        <v>1170</v>
      </c>
      <c r="S16" s="61" t="s">
        <v>1171</v>
      </c>
    </row>
    <row r="17" spans="1:19" ht="48" customHeight="1">
      <c r="A17" s="5">
        <v>13</v>
      </c>
      <c r="B17" s="5" t="s">
        <v>537</v>
      </c>
      <c r="C17" s="5" t="s">
        <v>538</v>
      </c>
      <c r="D17" s="5" t="s">
        <v>127</v>
      </c>
      <c r="E17" s="5" t="s">
        <v>539</v>
      </c>
      <c r="F17" s="5" t="s">
        <v>540</v>
      </c>
      <c r="G17" s="5" t="s">
        <v>1182</v>
      </c>
      <c r="H17" s="5" t="s">
        <v>541</v>
      </c>
      <c r="I17" s="5" t="s">
        <v>35</v>
      </c>
      <c r="J17" s="5" t="s">
        <v>1183</v>
      </c>
      <c r="K17" s="5" t="s">
        <v>539</v>
      </c>
      <c r="L17" s="5" t="s">
        <v>1165</v>
      </c>
      <c r="M17" s="5" t="s">
        <v>1184</v>
      </c>
      <c r="N17" s="5" t="s">
        <v>1185</v>
      </c>
      <c r="O17" s="5" t="s">
        <v>542</v>
      </c>
      <c r="P17" s="5" t="s">
        <v>1186</v>
      </c>
      <c r="Q17" s="61" t="s">
        <v>1187</v>
      </c>
      <c r="R17" s="61" t="s">
        <v>1188</v>
      </c>
      <c r="S17" s="61" t="s">
        <v>1189</v>
      </c>
    </row>
    <row r="18" spans="1:19" ht="48" customHeight="1">
      <c r="A18" s="6">
        <v>14</v>
      </c>
      <c r="B18" s="6" t="s">
        <v>543</v>
      </c>
      <c r="C18" s="6" t="s">
        <v>538</v>
      </c>
      <c r="D18" s="6" t="s">
        <v>248</v>
      </c>
      <c r="E18" s="6" t="s">
        <v>544</v>
      </c>
      <c r="F18" s="6" t="s">
        <v>545</v>
      </c>
      <c r="G18" s="6" t="s">
        <v>1182</v>
      </c>
      <c r="H18" s="6" t="s">
        <v>546</v>
      </c>
      <c r="I18" s="6" t="s">
        <v>35</v>
      </c>
      <c r="J18" s="6" t="s">
        <v>1183</v>
      </c>
      <c r="K18" s="6" t="s">
        <v>544</v>
      </c>
      <c r="L18" s="6" t="s">
        <v>1165</v>
      </c>
      <c r="M18" s="6" t="s">
        <v>1190</v>
      </c>
      <c r="N18" s="6" t="s">
        <v>1191</v>
      </c>
      <c r="O18" s="6" t="s">
        <v>547</v>
      </c>
      <c r="P18" s="6" t="s">
        <v>1192</v>
      </c>
      <c r="Q18" s="61" t="s">
        <v>1187</v>
      </c>
      <c r="R18" s="61" t="s">
        <v>1188</v>
      </c>
      <c r="S18" s="61" t="s">
        <v>1189</v>
      </c>
    </row>
  </sheetData>
  <mergeCells count="2">
    <mergeCell ref="A1:P1"/>
    <mergeCell ref="A2:P2"/>
  </mergeCells>
  <conditionalFormatting sqref="N5:N18">
    <cfRule type="containsText" dxfId="30" priority="1" operator="containsText" text="BESTAETIGT"/>
    <cfRule type="containsText" dxfId="29" priority="2" operator="containsText" text="BEDINGT"/>
  </conditionalFormatting>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O20"/>
  <sheetViews>
    <sheetView showGridLines="0" workbookViewId="0">
      <selection sqref="A1:K1"/>
    </sheetView>
  </sheetViews>
  <sheetFormatPr baseColWidth="10" defaultColWidth="9" defaultRowHeight="14.25"/>
  <cols>
    <col min="1" max="1" width="11" customWidth="1"/>
    <col min="2" max="2" width="34" customWidth="1"/>
    <col min="3" max="3" width="30" customWidth="1"/>
    <col min="4" max="4" width="52" customWidth="1"/>
    <col min="5" max="6" width="18" customWidth="1"/>
    <col min="7" max="7" width="16" customWidth="1"/>
    <col min="8" max="8" width="30" customWidth="1"/>
    <col min="9" max="9" width="55" customWidth="1"/>
    <col min="10" max="10" width="42" customWidth="1"/>
    <col min="11" max="11" width="40" customWidth="1"/>
    <col min="12" max="14" width="14" customWidth="1"/>
    <col min="15" max="15" width="18" customWidth="1"/>
  </cols>
  <sheetData>
    <row r="1" spans="1:15" ht="30" customHeight="1">
      <c r="A1" s="69" t="s">
        <v>1193</v>
      </c>
      <c r="B1" s="69"/>
      <c r="C1" s="69"/>
      <c r="D1" s="69"/>
      <c r="E1" s="69"/>
      <c r="F1" s="69"/>
      <c r="G1" s="69"/>
      <c r="H1" s="69"/>
      <c r="I1" s="69"/>
      <c r="J1" s="69"/>
      <c r="K1" s="69"/>
    </row>
    <row r="2" spans="1:15" ht="32.1" customHeight="1">
      <c r="A2" s="70" t="s">
        <v>1194</v>
      </c>
      <c r="B2" s="70"/>
      <c r="C2" s="70"/>
      <c r="D2" s="70"/>
      <c r="E2" s="70"/>
      <c r="F2" s="70"/>
      <c r="G2" s="70"/>
      <c r="H2" s="70"/>
      <c r="I2" s="70"/>
      <c r="J2" s="70"/>
      <c r="K2" s="70"/>
    </row>
    <row r="3" spans="1:15" ht="15">
      <c r="A3" s="24"/>
      <c r="B3" s="24"/>
      <c r="C3" s="24"/>
      <c r="D3" s="24"/>
      <c r="E3" s="24"/>
      <c r="F3" s="24"/>
      <c r="G3" s="24"/>
      <c r="H3" s="24"/>
      <c r="I3" s="24"/>
      <c r="J3" s="24"/>
      <c r="K3" s="24"/>
      <c r="L3" s="64" t="s">
        <v>1195</v>
      </c>
      <c r="M3" s="64" t="s">
        <v>1196</v>
      </c>
      <c r="N3" s="64" t="s">
        <v>1197</v>
      </c>
      <c r="O3" s="64" t="s">
        <v>1198</v>
      </c>
    </row>
    <row r="4" spans="1:15">
      <c r="A4" s="25" t="s">
        <v>98</v>
      </c>
      <c r="B4" s="25" t="s">
        <v>552</v>
      </c>
      <c r="C4" s="25" t="s">
        <v>553</v>
      </c>
      <c r="D4" s="25" t="s">
        <v>1199</v>
      </c>
      <c r="E4" s="25" t="s">
        <v>1200</v>
      </c>
      <c r="F4" s="25" t="s">
        <v>1201</v>
      </c>
      <c r="G4" s="25" t="s">
        <v>1202</v>
      </c>
      <c r="H4" s="25" t="s">
        <v>1203</v>
      </c>
      <c r="I4" s="25" t="s">
        <v>124</v>
      </c>
      <c r="J4" s="25" t="s">
        <v>564</v>
      </c>
      <c r="K4" s="25" t="s">
        <v>123</v>
      </c>
      <c r="L4" s="61"/>
      <c r="M4" s="61"/>
      <c r="N4" s="61"/>
      <c r="O4" s="61"/>
    </row>
    <row r="5" spans="1:15" ht="44.1" customHeight="1">
      <c r="A5" s="4" t="s">
        <v>127</v>
      </c>
      <c r="B5" s="4" t="s">
        <v>591</v>
      </c>
      <c r="C5" s="4" t="s">
        <v>592</v>
      </c>
      <c r="D5" s="4" t="s">
        <v>1204</v>
      </c>
      <c r="E5" s="4">
        <f>COUNTIFS(Ortszuordnung!$E$5:$E$85,B5,Ortszuordnung!$B$5:$B$85,"REGULAER")</f>
        <v>1</v>
      </c>
      <c r="F5" s="4">
        <f>COUNTIF(Ortszuordnung!$E$5:$E$85,B5)-E5</f>
        <v>0</v>
      </c>
      <c r="G5" s="4" t="s">
        <v>583</v>
      </c>
      <c r="H5" s="4" t="s">
        <v>1205</v>
      </c>
      <c r="I5" s="4" t="s">
        <v>1206</v>
      </c>
      <c r="J5" s="4" t="s">
        <v>599</v>
      </c>
      <c r="K5" s="4" t="s">
        <v>1207</v>
      </c>
      <c r="L5" s="61" t="s">
        <v>1208</v>
      </c>
      <c r="M5" s="61" t="s">
        <v>1209</v>
      </c>
      <c r="N5" s="61" t="s">
        <v>1210</v>
      </c>
      <c r="O5" s="61" t="s">
        <v>1211</v>
      </c>
    </row>
    <row r="6" spans="1:15" ht="44.1" customHeight="1">
      <c r="A6" s="5" t="s">
        <v>127</v>
      </c>
      <c r="B6" s="5" t="s">
        <v>627</v>
      </c>
      <c r="C6" s="5" t="s">
        <v>628</v>
      </c>
      <c r="D6" s="5" t="s">
        <v>1212</v>
      </c>
      <c r="E6" s="5">
        <f>COUNTIFS(Ortszuordnung!$E$5:$E$85,B6,Ortszuordnung!$B$5:$B$85,"REGULAER")</f>
        <v>1</v>
      </c>
      <c r="F6" s="5">
        <f>COUNTIF(Ortszuordnung!$E$5:$E$85,B6)-E6</f>
        <v>0</v>
      </c>
      <c r="G6" s="5" t="s">
        <v>583</v>
      </c>
      <c r="H6" s="5" t="s">
        <v>1213</v>
      </c>
      <c r="I6" s="5" t="s">
        <v>1214</v>
      </c>
      <c r="J6" s="5" t="s">
        <v>635</v>
      </c>
      <c r="K6" s="5" t="s">
        <v>1207</v>
      </c>
      <c r="L6" s="61"/>
      <c r="M6" s="61"/>
      <c r="N6" s="61"/>
      <c r="O6" s="61"/>
    </row>
    <row r="7" spans="1:15" ht="44.1" customHeight="1">
      <c r="A7" s="5" t="s">
        <v>127</v>
      </c>
      <c r="B7" s="5" t="s">
        <v>680</v>
      </c>
      <c r="C7" s="5" t="s">
        <v>681</v>
      </c>
      <c r="D7" s="5" t="s">
        <v>1215</v>
      </c>
      <c r="E7" s="5">
        <f>COUNTIFS(Ortszuordnung!$E$5:$E$85,B7,Ortszuordnung!$B$5:$B$85,"REGULAER")</f>
        <v>1</v>
      </c>
      <c r="F7" s="5">
        <f>COUNTIF(Ortszuordnung!$E$5:$E$85,B7)-E7</f>
        <v>1</v>
      </c>
      <c r="G7" s="5" t="s">
        <v>583</v>
      </c>
      <c r="H7" s="5" t="s">
        <v>1213</v>
      </c>
      <c r="I7" s="5" t="s">
        <v>1216</v>
      </c>
      <c r="J7" s="5" t="s">
        <v>686</v>
      </c>
      <c r="K7" s="5" t="s">
        <v>1207</v>
      </c>
      <c r="L7" s="61" t="s">
        <v>1217</v>
      </c>
      <c r="M7" s="61" t="s">
        <v>1209</v>
      </c>
      <c r="N7" s="61" t="s">
        <v>1210</v>
      </c>
      <c r="O7" s="61" t="s">
        <v>1218</v>
      </c>
    </row>
    <row r="8" spans="1:15" ht="44.1" customHeight="1">
      <c r="A8" s="5" t="s">
        <v>127</v>
      </c>
      <c r="B8" s="5" t="s">
        <v>799</v>
      </c>
      <c r="C8" s="5" t="s">
        <v>800</v>
      </c>
      <c r="D8" s="5" t="s">
        <v>1219</v>
      </c>
      <c r="E8" s="5">
        <f>COUNTIFS(Ortszuordnung!$E$5:$E$85,B8,Ortszuordnung!$B$5:$B$85,"REGULAER")</f>
        <v>1</v>
      </c>
      <c r="F8" s="5">
        <f>COUNTIF(Ortszuordnung!$E$5:$E$85,B8)-E8</f>
        <v>0</v>
      </c>
      <c r="G8" s="5" t="s">
        <v>583</v>
      </c>
      <c r="H8" s="5" t="s">
        <v>1205</v>
      </c>
      <c r="I8" s="5" t="s">
        <v>1220</v>
      </c>
      <c r="J8" s="5" t="s">
        <v>806</v>
      </c>
      <c r="K8" s="5" t="s">
        <v>1207</v>
      </c>
      <c r="L8" s="61" t="s">
        <v>1221</v>
      </c>
      <c r="M8" s="61" t="s">
        <v>1209</v>
      </c>
      <c r="N8" s="61" t="s">
        <v>1210</v>
      </c>
      <c r="O8" s="61" t="s">
        <v>1222</v>
      </c>
    </row>
    <row r="9" spans="1:15" ht="44.1" customHeight="1">
      <c r="A9" s="5" t="s">
        <v>127</v>
      </c>
      <c r="B9" s="5" t="s">
        <v>878</v>
      </c>
      <c r="C9" s="5" t="s">
        <v>879</v>
      </c>
      <c r="D9" s="5" t="s">
        <v>1212</v>
      </c>
      <c r="E9" s="5">
        <f>COUNTIFS(Ortszuordnung!$E$5:$E$85,B9,Ortszuordnung!$B$5:$B$85,"REGULAER")</f>
        <v>1</v>
      </c>
      <c r="F9" s="5">
        <f>COUNTIF(Ortszuordnung!$E$5:$E$85,B9)-E9</f>
        <v>0</v>
      </c>
      <c r="G9" s="5" t="s">
        <v>583</v>
      </c>
      <c r="H9" s="5" t="s">
        <v>1213</v>
      </c>
      <c r="I9" s="5" t="s">
        <v>1214</v>
      </c>
      <c r="J9" s="5" t="s">
        <v>884</v>
      </c>
      <c r="K9" s="5" t="s">
        <v>1207</v>
      </c>
      <c r="L9" s="61"/>
      <c r="M9" s="61"/>
      <c r="N9" s="61"/>
      <c r="O9" s="61"/>
    </row>
    <row r="10" spans="1:15" ht="44.1" customHeight="1">
      <c r="A10" s="5" t="s">
        <v>127</v>
      </c>
      <c r="B10" s="5" t="s">
        <v>1116</v>
      </c>
      <c r="C10" s="5" t="s">
        <v>540</v>
      </c>
      <c r="D10" s="5" t="s">
        <v>1223</v>
      </c>
      <c r="E10" s="5">
        <f>COUNTIFS(Ortszuordnung!$E$5:$E$85,B10,Ortszuordnung!$B$5:$B$85,"REGULAER")</f>
        <v>0</v>
      </c>
      <c r="F10" s="5">
        <f>COUNTIF(Ortszuordnung!$E$5:$E$85,B10)-E10</f>
        <v>1</v>
      </c>
      <c r="G10" s="5" t="s">
        <v>583</v>
      </c>
      <c r="H10" s="5" t="s">
        <v>1224</v>
      </c>
      <c r="I10" s="5" t="s">
        <v>1225</v>
      </c>
      <c r="J10" s="5" t="s">
        <v>1122</v>
      </c>
      <c r="K10" s="5" t="s">
        <v>1207</v>
      </c>
      <c r="L10" s="61"/>
      <c r="M10" s="61"/>
      <c r="N10" s="61"/>
      <c r="O10" s="61"/>
    </row>
    <row r="11" spans="1:15" ht="44.1" customHeight="1">
      <c r="A11" s="5" t="s">
        <v>127</v>
      </c>
      <c r="B11" s="5" t="s">
        <v>1226</v>
      </c>
      <c r="C11" s="5" t="s">
        <v>1227</v>
      </c>
      <c r="D11" s="5" t="s">
        <v>1212</v>
      </c>
      <c r="E11" s="5">
        <f>COUNTIFS(Ortszuordnung!$E$5:$E$85,B11,Ortszuordnung!$B$5:$B$85,"REGULAER")</f>
        <v>0</v>
      </c>
      <c r="F11" s="5">
        <f>COUNTIF(Ortszuordnung!$E$5:$E$85,B11)-E11</f>
        <v>0</v>
      </c>
      <c r="G11" s="5" t="s">
        <v>583</v>
      </c>
      <c r="H11" s="5" t="s">
        <v>1213</v>
      </c>
      <c r="I11" s="5" t="s">
        <v>1228</v>
      </c>
      <c r="J11" s="5" t="s">
        <v>1229</v>
      </c>
      <c r="K11" s="5" t="s">
        <v>1207</v>
      </c>
      <c r="L11" s="61"/>
      <c r="M11" s="61"/>
      <c r="N11" s="61"/>
      <c r="O11" s="61"/>
    </row>
    <row r="12" spans="1:15" ht="44.1" customHeight="1">
      <c r="A12" s="5" t="s">
        <v>248</v>
      </c>
      <c r="B12" s="5" t="s">
        <v>899</v>
      </c>
      <c r="C12" s="5" t="s">
        <v>900</v>
      </c>
      <c r="D12" s="5" t="s">
        <v>1212</v>
      </c>
      <c r="E12" s="5">
        <f>COUNTIFS(Ortszuordnung!$E$5:$E$85,B12,Ortszuordnung!$B$5:$B$85,"REGULAER")</f>
        <v>1</v>
      </c>
      <c r="F12" s="5">
        <f>COUNTIF(Ortszuordnung!$E$5:$E$85,B12)-E12</f>
        <v>0</v>
      </c>
      <c r="G12" s="5" t="s">
        <v>583</v>
      </c>
      <c r="H12" s="5" t="s">
        <v>1213</v>
      </c>
      <c r="I12" s="5" t="s">
        <v>1214</v>
      </c>
      <c r="J12" s="5" t="s">
        <v>906</v>
      </c>
      <c r="K12" s="5" t="s">
        <v>1207</v>
      </c>
      <c r="L12" s="61"/>
      <c r="M12" s="61"/>
      <c r="N12" s="61"/>
      <c r="O12" s="61"/>
    </row>
    <row r="13" spans="1:15" ht="44.1" customHeight="1">
      <c r="A13" s="5" t="s">
        <v>248</v>
      </c>
      <c r="B13" s="5" t="s">
        <v>929</v>
      </c>
      <c r="C13" s="5" t="s">
        <v>504</v>
      </c>
      <c r="D13" s="5" t="s">
        <v>1230</v>
      </c>
      <c r="E13" s="5">
        <f>COUNTIFS(Ortszuordnung!$E$5:$E$85,B13,Ortszuordnung!$B$5:$B$85,"REGULAER")</f>
        <v>1</v>
      </c>
      <c r="F13" s="5">
        <f>COUNTIF(Ortszuordnung!$E$5:$E$85,B13)-E13</f>
        <v>1</v>
      </c>
      <c r="G13" s="5" t="s">
        <v>583</v>
      </c>
      <c r="H13" s="5" t="s">
        <v>1205</v>
      </c>
      <c r="I13" s="5" t="s">
        <v>1231</v>
      </c>
      <c r="J13" s="5" t="s">
        <v>933</v>
      </c>
      <c r="K13" s="5" t="s">
        <v>1207</v>
      </c>
      <c r="L13" s="61" t="s">
        <v>1232</v>
      </c>
      <c r="M13" s="61" t="s">
        <v>1209</v>
      </c>
      <c r="N13" s="61" t="s">
        <v>1210</v>
      </c>
      <c r="O13" s="61" t="s">
        <v>1233</v>
      </c>
    </row>
    <row r="14" spans="1:15" ht="44.1" customHeight="1">
      <c r="A14" s="5" t="s">
        <v>248</v>
      </c>
      <c r="B14" s="5" t="s">
        <v>1101</v>
      </c>
      <c r="C14" s="5" t="s">
        <v>530</v>
      </c>
      <c r="D14" s="5" t="s">
        <v>1234</v>
      </c>
      <c r="E14" s="5">
        <f>COUNTIFS(Ortszuordnung!$E$5:$E$85,B14,Ortszuordnung!$B$5:$B$85,"REGULAER")</f>
        <v>0</v>
      </c>
      <c r="F14" s="5">
        <f>COUNTIF(Ortszuordnung!$E$5:$E$85,B14)-E14</f>
        <v>1</v>
      </c>
      <c r="G14" s="5" t="s">
        <v>572</v>
      </c>
      <c r="H14" s="5" t="s">
        <v>1213</v>
      </c>
      <c r="I14" s="5" t="s">
        <v>1235</v>
      </c>
      <c r="J14" s="5" t="s">
        <v>1105</v>
      </c>
      <c r="K14" s="5" t="s">
        <v>1207</v>
      </c>
      <c r="L14" s="61" t="s">
        <v>1236</v>
      </c>
      <c r="M14" s="61" t="s">
        <v>1209</v>
      </c>
      <c r="N14" s="61" t="s">
        <v>1210</v>
      </c>
      <c r="O14" s="61" t="s">
        <v>1237</v>
      </c>
    </row>
    <row r="15" spans="1:15" ht="44.1" customHeight="1">
      <c r="A15" s="5" t="s">
        <v>248</v>
      </c>
      <c r="B15" s="5" t="s">
        <v>1037</v>
      </c>
      <c r="C15" s="5" t="s">
        <v>545</v>
      </c>
      <c r="D15" s="5" t="s">
        <v>1238</v>
      </c>
      <c r="E15" s="5">
        <f>COUNTIFS(Ortszuordnung!$E$5:$E$85,B15,Ortszuordnung!$B$5:$B$85,"REGULAER")</f>
        <v>1</v>
      </c>
      <c r="F15" s="5">
        <f>COUNTIF(Ortszuordnung!$E$5:$E$85,B15)-E15</f>
        <v>1</v>
      </c>
      <c r="G15" s="5" t="s">
        <v>572</v>
      </c>
      <c r="H15" s="5" t="s">
        <v>1213</v>
      </c>
      <c r="I15" s="5" t="s">
        <v>1239</v>
      </c>
      <c r="J15" s="5" t="s">
        <v>1043</v>
      </c>
      <c r="K15" s="5" t="s">
        <v>1207</v>
      </c>
      <c r="L15" s="61"/>
      <c r="M15" s="61"/>
      <c r="N15" s="61"/>
      <c r="O15" s="61"/>
    </row>
    <row r="16" spans="1:15" ht="44.1" customHeight="1">
      <c r="A16" s="6" t="s">
        <v>248</v>
      </c>
      <c r="B16" s="6" t="s">
        <v>1074</v>
      </c>
      <c r="C16" s="6" t="s">
        <v>499</v>
      </c>
      <c r="D16" s="6" t="s">
        <v>1240</v>
      </c>
      <c r="E16" s="6">
        <f>COUNTIFS(Ortszuordnung!$E$5:$E$85,B16,Ortszuordnung!$B$5:$B$85,"REGULAER")</f>
        <v>0</v>
      </c>
      <c r="F16" s="6">
        <f>COUNTIF(Ortszuordnung!$E$5:$E$85,B16)-E16</f>
        <v>1</v>
      </c>
      <c r="G16" s="6" t="s">
        <v>583</v>
      </c>
      <c r="H16" s="6" t="s">
        <v>1213</v>
      </c>
      <c r="I16" s="6" t="s">
        <v>1241</v>
      </c>
      <c r="J16" s="6" t="s">
        <v>1080</v>
      </c>
      <c r="K16" s="6" t="s">
        <v>1207</v>
      </c>
      <c r="L16" s="61"/>
      <c r="M16" s="61"/>
      <c r="N16" s="61"/>
      <c r="O16" s="61"/>
    </row>
    <row r="17" spans="12:15">
      <c r="L17" s="61"/>
      <c r="M17" s="61"/>
      <c r="N17" s="61"/>
      <c r="O17" s="61"/>
    </row>
    <row r="18" spans="12:15">
      <c r="L18" s="61"/>
      <c r="M18" s="61"/>
      <c r="N18" s="61"/>
      <c r="O18" s="61"/>
    </row>
    <row r="19" spans="12:15">
      <c r="L19" s="61"/>
      <c r="M19" s="61"/>
      <c r="N19" s="61"/>
      <c r="O19" s="61"/>
    </row>
    <row r="20" spans="12:15">
      <c r="L20" s="61"/>
      <c r="M20" s="61"/>
      <c r="N20" s="61"/>
      <c r="O20" s="61"/>
    </row>
  </sheetData>
  <mergeCells count="2">
    <mergeCell ref="A1:K1"/>
    <mergeCell ref="A2:K2"/>
  </mergeCells>
  <conditionalFormatting sqref="G5:G16">
    <cfRule type="containsText" dxfId="28" priority="1" operator="containsText" text="GRUEN"/>
    <cfRule type="containsText" dxfId="27" priority="2" operator="containsText" text="GELB"/>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94"/>
  <sheetViews>
    <sheetView showGridLines="0" workbookViewId="0">
      <selection sqref="A1:M1"/>
    </sheetView>
  </sheetViews>
  <sheetFormatPr baseColWidth="10" defaultColWidth="9" defaultRowHeight="14.25"/>
  <cols>
    <col min="1" max="1" width="34" customWidth="1"/>
    <col min="2" max="2" width="11" customWidth="1"/>
    <col min="3" max="3" width="31" customWidth="1"/>
    <col min="4" max="4" width="30" customWidth="1"/>
    <col min="5" max="5" width="11" customWidth="1"/>
    <col min="6" max="6" width="27" customWidth="1"/>
    <col min="7" max="7" width="55" customWidth="1"/>
    <col min="8" max="8" width="15" customWidth="1"/>
    <col min="9" max="9" width="17" customWidth="1"/>
    <col min="10" max="10" width="18" customWidth="1"/>
    <col min="11" max="11" width="13" customWidth="1"/>
    <col min="12" max="12" width="28" customWidth="1"/>
    <col min="13" max="13" width="60" customWidth="1"/>
  </cols>
  <sheetData>
    <row r="1" spans="1:13" ht="30" customHeight="1">
      <c r="A1" s="69" t="s">
        <v>1242</v>
      </c>
      <c r="B1" s="69"/>
      <c r="C1" s="69"/>
      <c r="D1" s="69"/>
      <c r="E1" s="69"/>
      <c r="F1" s="69"/>
      <c r="G1" s="69"/>
      <c r="H1" s="69"/>
      <c r="I1" s="69"/>
      <c r="J1" s="69"/>
      <c r="K1" s="69"/>
      <c r="L1" s="69"/>
      <c r="M1" s="69"/>
    </row>
    <row r="2" spans="1:13" ht="32.1" customHeight="1">
      <c r="A2" s="70" t="s">
        <v>1243</v>
      </c>
      <c r="B2" s="70"/>
      <c r="C2" s="70"/>
      <c r="D2" s="70"/>
      <c r="E2" s="70"/>
      <c r="F2" s="70"/>
      <c r="G2" s="70"/>
      <c r="H2" s="70"/>
      <c r="I2" s="70"/>
      <c r="J2" s="70"/>
      <c r="K2" s="70"/>
      <c r="L2" s="70"/>
      <c r="M2" s="70"/>
    </row>
    <row r="3" spans="1:13">
      <c r="A3" s="24"/>
      <c r="B3" s="24"/>
      <c r="C3" s="24"/>
      <c r="D3" s="24"/>
      <c r="E3" s="24"/>
      <c r="F3" s="24"/>
      <c r="G3" s="24"/>
      <c r="H3" s="24"/>
      <c r="I3" s="24"/>
      <c r="J3" s="24"/>
      <c r="K3" s="24"/>
      <c r="L3" s="24"/>
      <c r="M3" s="24"/>
    </row>
    <row r="4" spans="1:13">
      <c r="A4" s="25" t="s">
        <v>552</v>
      </c>
      <c r="B4" s="25" t="s">
        <v>98</v>
      </c>
      <c r="C4" s="25" t="s">
        <v>555</v>
      </c>
      <c r="D4" s="25" t="s">
        <v>553</v>
      </c>
      <c r="E4" s="25" t="s">
        <v>558</v>
      </c>
      <c r="F4" s="25" t="s">
        <v>559</v>
      </c>
      <c r="G4" s="25" t="s">
        <v>1199</v>
      </c>
      <c r="H4" s="25" t="s">
        <v>1244</v>
      </c>
      <c r="I4" s="25" t="s">
        <v>1201</v>
      </c>
      <c r="J4" s="25" t="s">
        <v>1245</v>
      </c>
      <c r="K4" s="25" t="s">
        <v>1246</v>
      </c>
      <c r="L4" s="25" t="s">
        <v>1247</v>
      </c>
      <c r="M4" s="25" t="s">
        <v>1248</v>
      </c>
    </row>
    <row r="5" spans="1:13" ht="38.1" customHeight="1">
      <c r="A5" s="4" t="s">
        <v>569</v>
      </c>
      <c r="B5" s="4" t="s">
        <v>127</v>
      </c>
      <c r="C5" s="4" t="s">
        <v>571</v>
      </c>
      <c r="D5" s="4" t="s">
        <v>477</v>
      </c>
      <c r="E5" s="4" t="s">
        <v>572</v>
      </c>
      <c r="F5" s="4" t="s">
        <v>573</v>
      </c>
      <c r="G5" s="4"/>
      <c r="H5" s="4">
        <f>COUNTIFS(Ortszuordnung!$E$5:$E$85,A5,Ortszuordnung!$B$5:$B$85,"REGULAER")</f>
        <v>1</v>
      </c>
      <c r="I5" s="4">
        <f>COUNTIF(Ortszuordnung!$E$5:$E$85,A5)-H5</f>
        <v>1</v>
      </c>
      <c r="J5" s="4" t="str">
        <f t="shared" ref="J5:J36" si="0">IF(E5="ROT","AUSSCHLUSS",IF(H5&gt;0,"KERNQUEST",IF(I5&gt;0,"SONDERQUEST",IF(G5&lt;&gt;"","SUPPORT","RESERVE"))))</f>
        <v>KERNQUEST</v>
      </c>
      <c r="K5" s="4">
        <v>93</v>
      </c>
      <c r="L5" s="4"/>
      <c r="M5" s="4" t="str">
        <f t="shared" ref="M5:M36" si="1">IF(J5="AUSSCHLUSS","Nicht als Pflichtort; nur nach neuer Evidenz neu bewerten.",IF(J5="KERNQUEST","In regulärer Quest gruppiert; aktuelle Sicht und blinden Test vor Release abschließen.",IF(J5="SONDERQUEST","Für Medien-, Hidden- oder Bossinhalt vorgesehen; separate Slot- oder Eventregel.",IF(J5="SUPPORT","Nur als Supportpunkt behalten; keine zusätzliche Pflichtquest.","Als Ersatz- oder späterer Questkandidat erhalten."))))</f>
        <v>In regulärer Quest gruppiert; aktuelle Sicht und blinden Test vor Release abschließen.</v>
      </c>
    </row>
    <row r="6" spans="1:13" ht="38.1" customHeight="1">
      <c r="A6" s="5" t="s">
        <v>1067</v>
      </c>
      <c r="B6" s="5" t="s">
        <v>127</v>
      </c>
      <c r="C6" s="5" t="s">
        <v>571</v>
      </c>
      <c r="D6" s="5" t="s">
        <v>483</v>
      </c>
      <c r="E6" s="5" t="s">
        <v>583</v>
      </c>
      <c r="F6" s="5" t="s">
        <v>630</v>
      </c>
      <c r="G6" s="5"/>
      <c r="H6" s="5">
        <f>COUNTIFS(Ortszuordnung!$E$5:$E$85,A6,Ortszuordnung!$B$5:$B$85,"REGULAER")</f>
        <v>0</v>
      </c>
      <c r="I6" s="5">
        <f>COUNTIF(Ortszuordnung!$E$5:$E$85,A6)-H6</f>
        <v>1</v>
      </c>
      <c r="J6" s="5" t="str">
        <f t="shared" si="0"/>
        <v>SONDERQUEST</v>
      </c>
      <c r="K6" s="5">
        <v>89</v>
      </c>
      <c r="L6" s="5" t="s">
        <v>1249</v>
      </c>
      <c r="M6" s="5" t="str">
        <f t="shared" si="1"/>
        <v>Für Medien-, Hidden- oder Bossinhalt vorgesehen; separate Slot- oder Eventregel.</v>
      </c>
    </row>
    <row r="7" spans="1:13" ht="38.1" customHeight="1">
      <c r="A7" s="5" t="s">
        <v>591</v>
      </c>
      <c r="B7" s="5" t="s">
        <v>127</v>
      </c>
      <c r="C7" s="5" t="s">
        <v>571</v>
      </c>
      <c r="D7" s="5" t="s">
        <v>592</v>
      </c>
      <c r="E7" s="5" t="s">
        <v>583</v>
      </c>
      <c r="F7" s="5" t="s">
        <v>594</v>
      </c>
      <c r="G7" s="5" t="s">
        <v>1204</v>
      </c>
      <c r="H7" s="5">
        <f>COUNTIFS(Ortszuordnung!$E$5:$E$85,A7,Ortszuordnung!$B$5:$B$85,"REGULAER")</f>
        <v>1</v>
      </c>
      <c r="I7" s="5">
        <f>COUNTIF(Ortszuordnung!$E$5:$E$85,A7)-H7</f>
        <v>0</v>
      </c>
      <c r="J7" s="5" t="str">
        <f t="shared" si="0"/>
        <v>KERNQUEST</v>
      </c>
      <c r="K7" s="5">
        <v>86</v>
      </c>
      <c r="L7" s="5"/>
      <c r="M7" s="5" t="str">
        <f t="shared" si="1"/>
        <v>In regulärer Quest gruppiert; aktuelle Sicht und blinden Test vor Release abschließen.</v>
      </c>
    </row>
    <row r="8" spans="1:13" ht="38.1" customHeight="1">
      <c r="A8" s="5" t="s">
        <v>601</v>
      </c>
      <c r="B8" s="5" t="s">
        <v>127</v>
      </c>
      <c r="C8" s="5" t="s">
        <v>571</v>
      </c>
      <c r="D8" s="5" t="s">
        <v>602</v>
      </c>
      <c r="E8" s="5" t="s">
        <v>572</v>
      </c>
      <c r="F8" s="5" t="s">
        <v>603</v>
      </c>
      <c r="G8" s="5"/>
      <c r="H8" s="5">
        <f>COUNTIFS(Ortszuordnung!$E$5:$E$85,A8,Ortszuordnung!$B$5:$B$85,"REGULAER")</f>
        <v>1</v>
      </c>
      <c r="I8" s="5">
        <f>COUNTIF(Ortszuordnung!$E$5:$E$85,A8)-H8</f>
        <v>0</v>
      </c>
      <c r="J8" s="5" t="str">
        <f t="shared" si="0"/>
        <v>KERNQUEST</v>
      </c>
      <c r="K8" s="5">
        <v>91</v>
      </c>
      <c r="L8" s="5"/>
      <c r="M8" s="5" t="str">
        <f t="shared" si="1"/>
        <v>In regulärer Quest gruppiert; aktuelle Sicht und blinden Test vor Release abschließen.</v>
      </c>
    </row>
    <row r="9" spans="1:13" ht="38.1" customHeight="1">
      <c r="A9" s="5" t="s">
        <v>580</v>
      </c>
      <c r="B9" s="5" t="s">
        <v>127</v>
      </c>
      <c r="C9" s="5" t="s">
        <v>571</v>
      </c>
      <c r="D9" s="5" t="s">
        <v>581</v>
      </c>
      <c r="E9" s="5" t="s">
        <v>583</v>
      </c>
      <c r="F9" s="5" t="s">
        <v>584</v>
      </c>
      <c r="G9" s="5"/>
      <c r="H9" s="5">
        <f>COUNTIFS(Ortszuordnung!$E$5:$E$85,A9,Ortszuordnung!$B$5:$B$85,"REGULAER")</f>
        <v>1</v>
      </c>
      <c r="I9" s="5">
        <f>COUNTIF(Ortszuordnung!$E$5:$E$85,A9)-H9</f>
        <v>0</v>
      </c>
      <c r="J9" s="5" t="str">
        <f t="shared" si="0"/>
        <v>KERNQUEST</v>
      </c>
      <c r="K9" s="5">
        <v>90</v>
      </c>
      <c r="L9" s="5"/>
      <c r="M9" s="5" t="str">
        <f t="shared" si="1"/>
        <v>In regulärer Quest gruppiert; aktuelle Sicht und blinden Test vor Release abschließen.</v>
      </c>
    </row>
    <row r="10" spans="1:13" ht="38.1" customHeight="1">
      <c r="A10" s="5" t="s">
        <v>619</v>
      </c>
      <c r="B10" s="5" t="s">
        <v>127</v>
      </c>
      <c r="C10" s="5" t="s">
        <v>571</v>
      </c>
      <c r="D10" s="5" t="s">
        <v>620</v>
      </c>
      <c r="E10" s="5" t="s">
        <v>583</v>
      </c>
      <c r="F10" s="5" t="s">
        <v>584</v>
      </c>
      <c r="G10" s="5"/>
      <c r="H10" s="5">
        <f>COUNTIFS(Ortszuordnung!$E$5:$E$85,A10,Ortszuordnung!$B$5:$B$85,"REGULAER")</f>
        <v>1</v>
      </c>
      <c r="I10" s="5">
        <f>COUNTIF(Ortszuordnung!$E$5:$E$85,A10)-H10</f>
        <v>0</v>
      </c>
      <c r="J10" s="5" t="str">
        <f t="shared" si="0"/>
        <v>KERNQUEST</v>
      </c>
      <c r="K10" s="5">
        <v>89</v>
      </c>
      <c r="L10" s="5"/>
      <c r="M10" s="5" t="str">
        <f t="shared" si="1"/>
        <v>In regulärer Quest gruppiert; aktuelle Sicht und blinden Test vor Release abschließen.</v>
      </c>
    </row>
    <row r="11" spans="1:13" ht="38.1" customHeight="1">
      <c r="A11" s="5" t="s">
        <v>627</v>
      </c>
      <c r="B11" s="5" t="s">
        <v>127</v>
      </c>
      <c r="C11" s="5" t="s">
        <v>629</v>
      </c>
      <c r="D11" s="5" t="s">
        <v>628</v>
      </c>
      <c r="E11" s="5" t="s">
        <v>583</v>
      </c>
      <c r="F11" s="5" t="s">
        <v>630</v>
      </c>
      <c r="G11" s="5" t="s">
        <v>1212</v>
      </c>
      <c r="H11" s="5">
        <f>COUNTIFS(Ortszuordnung!$E$5:$E$85,A11,Ortszuordnung!$B$5:$B$85,"REGULAER")</f>
        <v>1</v>
      </c>
      <c r="I11" s="5">
        <f>COUNTIF(Ortszuordnung!$E$5:$E$85,A11)-H11</f>
        <v>0</v>
      </c>
      <c r="J11" s="5" t="str">
        <f t="shared" si="0"/>
        <v>KERNQUEST</v>
      </c>
      <c r="K11" s="5">
        <v>89</v>
      </c>
      <c r="L11" s="5"/>
      <c r="M11" s="5" t="str">
        <f t="shared" si="1"/>
        <v>In regulärer Quest gruppiert; aktuelle Sicht und blinden Test vor Release abschließen.</v>
      </c>
    </row>
    <row r="12" spans="1:13" ht="38.1" customHeight="1">
      <c r="A12" s="5" t="s">
        <v>672</v>
      </c>
      <c r="B12" s="5" t="s">
        <v>127</v>
      </c>
      <c r="C12" s="5" t="s">
        <v>629</v>
      </c>
      <c r="D12" s="5" t="s">
        <v>161</v>
      </c>
      <c r="E12" s="5" t="s">
        <v>583</v>
      </c>
      <c r="F12" s="5" t="s">
        <v>673</v>
      </c>
      <c r="G12" s="5"/>
      <c r="H12" s="5">
        <f>COUNTIFS(Ortszuordnung!$E$5:$E$85,A12,Ortszuordnung!$B$5:$B$85,"REGULAER")</f>
        <v>1</v>
      </c>
      <c r="I12" s="5">
        <f>COUNTIF(Ortszuordnung!$E$5:$E$85,A12)-H12</f>
        <v>0</v>
      </c>
      <c r="J12" s="5" t="str">
        <f t="shared" si="0"/>
        <v>KERNQUEST</v>
      </c>
      <c r="K12" s="5">
        <v>89</v>
      </c>
      <c r="L12" s="5"/>
      <c r="M12" s="5" t="str">
        <f t="shared" si="1"/>
        <v>In regulärer Quest gruppiert; aktuelle Sicht und blinden Test vor Release abschließen.</v>
      </c>
    </row>
    <row r="13" spans="1:13" ht="38.1" customHeight="1">
      <c r="A13" s="5" t="s">
        <v>637</v>
      </c>
      <c r="B13" s="5" t="s">
        <v>127</v>
      </c>
      <c r="C13" s="5" t="s">
        <v>629</v>
      </c>
      <c r="D13" s="5" t="s">
        <v>638</v>
      </c>
      <c r="E13" s="5" t="s">
        <v>583</v>
      </c>
      <c r="F13" s="5" t="s">
        <v>630</v>
      </c>
      <c r="G13" s="5"/>
      <c r="H13" s="5">
        <f>COUNTIFS(Ortszuordnung!$E$5:$E$85,A13,Ortszuordnung!$B$5:$B$85,"REGULAER")</f>
        <v>1</v>
      </c>
      <c r="I13" s="5">
        <f>COUNTIF(Ortszuordnung!$E$5:$E$85,A13)-H13</f>
        <v>0</v>
      </c>
      <c r="J13" s="5" t="str">
        <f t="shared" si="0"/>
        <v>KERNQUEST</v>
      </c>
      <c r="K13" s="5">
        <v>87</v>
      </c>
      <c r="L13" s="5" t="s">
        <v>1250</v>
      </c>
      <c r="M13" s="5" t="str">
        <f t="shared" si="1"/>
        <v>In regulärer Quest gruppiert; aktuelle Sicht und blinden Test vor Release abschließen.</v>
      </c>
    </row>
    <row r="14" spans="1:13" ht="38.1" customHeight="1">
      <c r="A14" s="5" t="s">
        <v>644</v>
      </c>
      <c r="B14" s="5" t="s">
        <v>127</v>
      </c>
      <c r="C14" s="5" t="s">
        <v>629</v>
      </c>
      <c r="D14" s="5" t="s">
        <v>645</v>
      </c>
      <c r="E14" s="5" t="s">
        <v>583</v>
      </c>
      <c r="F14" s="5" t="s">
        <v>630</v>
      </c>
      <c r="G14" s="5"/>
      <c r="H14" s="5">
        <f>COUNTIFS(Ortszuordnung!$E$5:$E$85,A14,Ortszuordnung!$B$5:$B$85,"REGULAER")</f>
        <v>1</v>
      </c>
      <c r="I14" s="5">
        <f>COUNTIF(Ortszuordnung!$E$5:$E$85,A14)-H14</f>
        <v>0</v>
      </c>
      <c r="J14" s="5" t="str">
        <f t="shared" si="0"/>
        <v>KERNQUEST</v>
      </c>
      <c r="K14" s="5">
        <v>89</v>
      </c>
      <c r="L14" s="5"/>
      <c r="M14" s="5" t="str">
        <f t="shared" si="1"/>
        <v>In regulärer Quest gruppiert; aktuelle Sicht und blinden Test vor Release abschließen.</v>
      </c>
    </row>
    <row r="15" spans="1:13" ht="38.1" customHeight="1">
      <c r="A15" s="5" t="s">
        <v>1251</v>
      </c>
      <c r="B15" s="5" t="s">
        <v>127</v>
      </c>
      <c r="C15" s="5" t="s">
        <v>629</v>
      </c>
      <c r="D15" s="5" t="s">
        <v>1252</v>
      </c>
      <c r="E15" s="5" t="s">
        <v>583</v>
      </c>
      <c r="F15" s="5" t="s">
        <v>630</v>
      </c>
      <c r="G15" s="5"/>
      <c r="H15" s="5">
        <f>COUNTIFS(Ortszuordnung!$E$5:$E$85,A15,Ortszuordnung!$B$5:$B$85,"REGULAER")</f>
        <v>0</v>
      </c>
      <c r="I15" s="5">
        <f>COUNTIF(Ortszuordnung!$E$5:$E$85,A15)-H15</f>
        <v>0</v>
      </c>
      <c r="J15" s="5" t="str">
        <f t="shared" si="0"/>
        <v>RESERVE</v>
      </c>
      <c r="K15" s="5">
        <v>88</v>
      </c>
      <c r="L15" s="5"/>
      <c r="M15" s="5" t="str">
        <f t="shared" si="1"/>
        <v>Als Ersatz- oder späterer Questkandidat erhalten.</v>
      </c>
    </row>
    <row r="16" spans="1:13" ht="38.1" customHeight="1">
      <c r="A16" s="5" t="s">
        <v>680</v>
      </c>
      <c r="B16" s="5" t="s">
        <v>127</v>
      </c>
      <c r="C16" s="5" t="s">
        <v>682</v>
      </c>
      <c r="D16" s="5" t="s">
        <v>681</v>
      </c>
      <c r="E16" s="5" t="s">
        <v>583</v>
      </c>
      <c r="F16" s="5" t="s">
        <v>673</v>
      </c>
      <c r="G16" s="5" t="s">
        <v>1215</v>
      </c>
      <c r="H16" s="5">
        <f>COUNTIFS(Ortszuordnung!$E$5:$E$85,A16,Ortszuordnung!$B$5:$B$85,"REGULAER")</f>
        <v>1</v>
      </c>
      <c r="I16" s="5">
        <f>COUNTIF(Ortszuordnung!$E$5:$E$85,A16)-H16</f>
        <v>1</v>
      </c>
      <c r="J16" s="5" t="str">
        <f t="shared" si="0"/>
        <v>KERNQUEST</v>
      </c>
      <c r="K16" s="5">
        <v>93</v>
      </c>
      <c r="L16" s="5"/>
      <c r="M16" s="5" t="str">
        <f t="shared" si="1"/>
        <v>In regulärer Quest gruppiert; aktuelle Sicht und blinden Test vor Release abschließen.</v>
      </c>
    </row>
    <row r="17" spans="1:13" ht="38.1" customHeight="1">
      <c r="A17" s="5" t="s">
        <v>717</v>
      </c>
      <c r="B17" s="5" t="s">
        <v>127</v>
      </c>
      <c r="C17" s="5" t="s">
        <v>682</v>
      </c>
      <c r="D17" s="5" t="s">
        <v>718</v>
      </c>
      <c r="E17" s="5" t="s">
        <v>583</v>
      </c>
      <c r="F17" s="5" t="s">
        <v>630</v>
      </c>
      <c r="G17" s="5"/>
      <c r="H17" s="5">
        <f>COUNTIFS(Ortszuordnung!$E$5:$E$85,A17,Ortszuordnung!$B$5:$B$85,"REGULAER")</f>
        <v>1</v>
      </c>
      <c r="I17" s="5">
        <f>COUNTIF(Ortszuordnung!$E$5:$E$85,A17)-H17</f>
        <v>0</v>
      </c>
      <c r="J17" s="5" t="str">
        <f t="shared" si="0"/>
        <v>KERNQUEST</v>
      </c>
      <c r="K17" s="5">
        <v>91</v>
      </c>
      <c r="L17" s="5" t="s">
        <v>1253</v>
      </c>
      <c r="M17" s="5" t="str">
        <f t="shared" si="1"/>
        <v>In regulärer Quest gruppiert; aktuelle Sicht und blinden Test vor Release abschließen.</v>
      </c>
    </row>
    <row r="18" spans="1:13" ht="38.1" customHeight="1">
      <c r="A18" s="5" t="s">
        <v>688</v>
      </c>
      <c r="B18" s="5" t="s">
        <v>127</v>
      </c>
      <c r="C18" s="5" t="s">
        <v>682</v>
      </c>
      <c r="D18" s="5" t="s">
        <v>689</v>
      </c>
      <c r="E18" s="5" t="s">
        <v>583</v>
      </c>
      <c r="F18" s="5" t="s">
        <v>630</v>
      </c>
      <c r="G18" s="5"/>
      <c r="H18" s="5">
        <f>COUNTIFS(Ortszuordnung!$E$5:$E$85,A18,Ortszuordnung!$B$5:$B$85,"REGULAER")</f>
        <v>1</v>
      </c>
      <c r="I18" s="5">
        <f>COUNTIF(Ortszuordnung!$E$5:$E$85,A18)-H18</f>
        <v>1</v>
      </c>
      <c r="J18" s="5" t="str">
        <f t="shared" si="0"/>
        <v>KERNQUEST</v>
      </c>
      <c r="K18" s="5">
        <v>88</v>
      </c>
      <c r="L18" s="5"/>
      <c r="M18" s="5" t="str">
        <f t="shared" si="1"/>
        <v>In regulärer Quest gruppiert; aktuelle Sicht und blinden Test vor Release abschließen.</v>
      </c>
    </row>
    <row r="19" spans="1:13" ht="38.1" customHeight="1">
      <c r="A19" s="5" t="s">
        <v>695</v>
      </c>
      <c r="B19" s="5" t="s">
        <v>127</v>
      </c>
      <c r="C19" s="5" t="s">
        <v>682</v>
      </c>
      <c r="D19" s="5" t="s">
        <v>696</v>
      </c>
      <c r="E19" s="5" t="s">
        <v>583</v>
      </c>
      <c r="F19" s="5" t="s">
        <v>630</v>
      </c>
      <c r="G19" s="5"/>
      <c r="H19" s="5">
        <f>COUNTIFS(Ortszuordnung!$E$5:$E$85,A19,Ortszuordnung!$B$5:$B$85,"REGULAER")</f>
        <v>1</v>
      </c>
      <c r="I19" s="5">
        <f>COUNTIF(Ortszuordnung!$E$5:$E$85,A19)-H19</f>
        <v>1</v>
      </c>
      <c r="J19" s="5" t="str">
        <f t="shared" si="0"/>
        <v>KERNQUEST</v>
      </c>
      <c r="K19" s="5">
        <v>88</v>
      </c>
      <c r="L19" s="5"/>
      <c r="M19" s="5" t="str">
        <f t="shared" si="1"/>
        <v>In regulärer Quest gruppiert; aktuelle Sicht und blinden Test vor Release abschließen.</v>
      </c>
    </row>
    <row r="20" spans="1:13" ht="38.1" customHeight="1">
      <c r="A20" s="5" t="s">
        <v>702</v>
      </c>
      <c r="B20" s="5" t="s">
        <v>127</v>
      </c>
      <c r="C20" s="5" t="s">
        <v>682</v>
      </c>
      <c r="D20" s="5" t="s">
        <v>703</v>
      </c>
      <c r="E20" s="5" t="s">
        <v>583</v>
      </c>
      <c r="F20" s="5" t="s">
        <v>594</v>
      </c>
      <c r="G20" s="5"/>
      <c r="H20" s="5">
        <f>COUNTIFS(Ortszuordnung!$E$5:$E$85,A20,Ortszuordnung!$B$5:$B$85,"REGULAER")</f>
        <v>1</v>
      </c>
      <c r="I20" s="5">
        <f>COUNTIF(Ortszuordnung!$E$5:$E$85,A20)-H20</f>
        <v>0</v>
      </c>
      <c r="J20" s="5" t="str">
        <f t="shared" si="0"/>
        <v>KERNQUEST</v>
      </c>
      <c r="K20" s="5">
        <v>83</v>
      </c>
      <c r="L20" s="5"/>
      <c r="M20" s="5" t="str">
        <f t="shared" si="1"/>
        <v>In regulärer Quest gruppiert; aktuelle Sicht und blinden Test vor Release abschließen.</v>
      </c>
    </row>
    <row r="21" spans="1:13" ht="38.1" customHeight="1">
      <c r="A21" s="5" t="s">
        <v>724</v>
      </c>
      <c r="B21" s="5" t="s">
        <v>127</v>
      </c>
      <c r="C21" s="5" t="s">
        <v>682</v>
      </c>
      <c r="D21" s="5" t="s">
        <v>725</v>
      </c>
      <c r="E21" s="5" t="s">
        <v>583</v>
      </c>
      <c r="F21" s="5" t="s">
        <v>630</v>
      </c>
      <c r="G21" s="5"/>
      <c r="H21" s="5">
        <f>COUNTIFS(Ortszuordnung!$E$5:$E$85,A21,Ortszuordnung!$B$5:$B$85,"REGULAER")</f>
        <v>1</v>
      </c>
      <c r="I21" s="5">
        <f>COUNTIF(Ortszuordnung!$E$5:$E$85,A21)-H21</f>
        <v>0</v>
      </c>
      <c r="J21" s="5" t="str">
        <f t="shared" si="0"/>
        <v>KERNQUEST</v>
      </c>
      <c r="K21" s="5">
        <v>89</v>
      </c>
      <c r="L21" s="5" t="s">
        <v>1254</v>
      </c>
      <c r="M21" s="5" t="str">
        <f t="shared" si="1"/>
        <v>In regulärer Quest gruppiert; aktuelle Sicht und blinden Test vor Release abschließen.</v>
      </c>
    </row>
    <row r="22" spans="1:13" ht="38.1" customHeight="1">
      <c r="A22" s="5" t="s">
        <v>731</v>
      </c>
      <c r="B22" s="5" t="s">
        <v>127</v>
      </c>
      <c r="C22" s="5" t="s">
        <v>733</v>
      </c>
      <c r="D22" s="5" t="s">
        <v>732</v>
      </c>
      <c r="E22" s="5" t="s">
        <v>572</v>
      </c>
      <c r="F22" s="5" t="s">
        <v>734</v>
      </c>
      <c r="G22" s="5"/>
      <c r="H22" s="5">
        <f>COUNTIFS(Ortszuordnung!$E$5:$E$85,A22,Ortszuordnung!$B$5:$B$85,"REGULAER")</f>
        <v>1</v>
      </c>
      <c r="I22" s="5">
        <f>COUNTIF(Ortszuordnung!$E$5:$E$85,A22)-H22</f>
        <v>0</v>
      </c>
      <c r="J22" s="5" t="str">
        <f t="shared" si="0"/>
        <v>KERNQUEST</v>
      </c>
      <c r="K22" s="5">
        <v>91</v>
      </c>
      <c r="L22" s="5"/>
      <c r="M22" s="5" t="str">
        <f t="shared" si="1"/>
        <v>In regulärer Quest gruppiert; aktuelle Sicht und blinden Test vor Release abschließen.</v>
      </c>
    </row>
    <row r="23" spans="1:13" ht="38.1" customHeight="1">
      <c r="A23" s="5" t="s">
        <v>747</v>
      </c>
      <c r="B23" s="5" t="s">
        <v>127</v>
      </c>
      <c r="C23" s="5" t="s">
        <v>733</v>
      </c>
      <c r="D23" s="5" t="s">
        <v>748</v>
      </c>
      <c r="E23" s="5" t="s">
        <v>583</v>
      </c>
      <c r="F23" s="5" t="s">
        <v>630</v>
      </c>
      <c r="G23" s="5"/>
      <c r="H23" s="5">
        <f>COUNTIFS(Ortszuordnung!$E$5:$E$85,A23,Ortszuordnung!$B$5:$B$85,"REGULAER")</f>
        <v>1</v>
      </c>
      <c r="I23" s="5">
        <f>COUNTIF(Ortszuordnung!$E$5:$E$85,A23)-H23</f>
        <v>0</v>
      </c>
      <c r="J23" s="5" t="str">
        <f t="shared" si="0"/>
        <v>KERNQUEST</v>
      </c>
      <c r="K23" s="5">
        <v>88</v>
      </c>
      <c r="L23" s="5"/>
      <c r="M23" s="5" t="str">
        <f t="shared" si="1"/>
        <v>In regulärer Quest gruppiert; aktuelle Sicht und blinden Test vor Release abschließen.</v>
      </c>
    </row>
    <row r="24" spans="1:13" ht="38.1" customHeight="1">
      <c r="A24" s="5" t="s">
        <v>761</v>
      </c>
      <c r="B24" s="5" t="s">
        <v>127</v>
      </c>
      <c r="C24" s="5" t="s">
        <v>733</v>
      </c>
      <c r="D24" s="5" t="s">
        <v>762</v>
      </c>
      <c r="E24" s="5" t="s">
        <v>583</v>
      </c>
      <c r="F24" s="5" t="s">
        <v>630</v>
      </c>
      <c r="G24" s="5"/>
      <c r="H24" s="5">
        <f>COUNTIFS(Ortszuordnung!$E$5:$E$85,A24,Ortszuordnung!$B$5:$B$85,"REGULAER")</f>
        <v>1</v>
      </c>
      <c r="I24" s="5">
        <f>COUNTIF(Ortszuordnung!$E$5:$E$85,A24)-H24</f>
        <v>0</v>
      </c>
      <c r="J24" s="5" t="str">
        <f t="shared" si="0"/>
        <v>KERNQUEST</v>
      </c>
      <c r="K24" s="5">
        <v>90</v>
      </c>
      <c r="L24" s="5"/>
      <c r="M24" s="5" t="str">
        <f t="shared" si="1"/>
        <v>In regulärer Quest gruppiert; aktuelle Sicht und blinden Test vor Release abschließen.</v>
      </c>
    </row>
    <row r="25" spans="1:13" ht="38.1" customHeight="1">
      <c r="A25" s="5" t="s">
        <v>776</v>
      </c>
      <c r="B25" s="5" t="s">
        <v>127</v>
      </c>
      <c r="C25" s="5" t="s">
        <v>733</v>
      </c>
      <c r="D25" s="5" t="s">
        <v>206</v>
      </c>
      <c r="E25" s="5" t="s">
        <v>583</v>
      </c>
      <c r="F25" s="5" t="s">
        <v>630</v>
      </c>
      <c r="G25" s="5"/>
      <c r="H25" s="5">
        <f>COUNTIFS(Ortszuordnung!$E$5:$E$85,A25,Ortszuordnung!$B$5:$B$85,"REGULAER")</f>
        <v>1</v>
      </c>
      <c r="I25" s="5">
        <f>COUNTIF(Ortszuordnung!$E$5:$E$85,A25)-H25</f>
        <v>0</v>
      </c>
      <c r="J25" s="5" t="str">
        <f t="shared" si="0"/>
        <v>KERNQUEST</v>
      </c>
      <c r="K25" s="5">
        <v>89</v>
      </c>
      <c r="L25" s="5"/>
      <c r="M25" s="5" t="str">
        <f t="shared" si="1"/>
        <v>In regulärer Quest gruppiert; aktuelle Sicht und blinden Test vor Release abschließen.</v>
      </c>
    </row>
    <row r="26" spans="1:13" ht="38.1" customHeight="1">
      <c r="A26" s="5" t="s">
        <v>753</v>
      </c>
      <c r="B26" s="5" t="s">
        <v>127</v>
      </c>
      <c r="C26" s="5" t="s">
        <v>733</v>
      </c>
      <c r="D26" s="5" t="s">
        <v>754</v>
      </c>
      <c r="E26" s="5" t="s">
        <v>572</v>
      </c>
      <c r="F26" s="5" t="s">
        <v>755</v>
      </c>
      <c r="G26" s="5"/>
      <c r="H26" s="5">
        <f>COUNTIFS(Ortszuordnung!$E$5:$E$85,A26,Ortszuordnung!$B$5:$B$85,"REGULAER")</f>
        <v>1</v>
      </c>
      <c r="I26" s="5">
        <f>COUNTIF(Ortszuordnung!$E$5:$E$85,A26)-H26</f>
        <v>0</v>
      </c>
      <c r="J26" s="5" t="str">
        <f t="shared" si="0"/>
        <v>KERNQUEST</v>
      </c>
      <c r="K26" s="5">
        <v>89</v>
      </c>
      <c r="L26" s="5"/>
      <c r="M26" s="5" t="str">
        <f t="shared" si="1"/>
        <v>In regulärer Quest gruppiert; aktuelle Sicht und blinden Test vor Release abschließen.</v>
      </c>
    </row>
    <row r="27" spans="1:13" ht="38.1" customHeight="1">
      <c r="A27" s="5" t="s">
        <v>837</v>
      </c>
      <c r="B27" s="5" t="s">
        <v>127</v>
      </c>
      <c r="C27" s="5" t="s">
        <v>784</v>
      </c>
      <c r="D27" s="5" t="s">
        <v>226</v>
      </c>
      <c r="E27" s="5" t="s">
        <v>572</v>
      </c>
      <c r="F27" s="5" t="s">
        <v>838</v>
      </c>
      <c r="G27" s="5"/>
      <c r="H27" s="5">
        <f>COUNTIFS(Ortszuordnung!$E$5:$E$85,A27,Ortszuordnung!$B$5:$B$85,"REGULAER")</f>
        <v>1</v>
      </c>
      <c r="I27" s="5">
        <f>COUNTIF(Ortszuordnung!$E$5:$E$85,A27)-H27</f>
        <v>0</v>
      </c>
      <c r="J27" s="5" t="str">
        <f t="shared" si="0"/>
        <v>KERNQUEST</v>
      </c>
      <c r="K27" s="5">
        <v>83</v>
      </c>
      <c r="L27" s="5" t="s">
        <v>1255</v>
      </c>
      <c r="M27" s="5" t="str">
        <f t="shared" si="1"/>
        <v>In regulärer Quest gruppiert; aktuelle Sicht und blinden Test vor Release abschließen.</v>
      </c>
    </row>
    <row r="28" spans="1:13" ht="38.1" customHeight="1">
      <c r="A28" s="5" t="s">
        <v>782</v>
      </c>
      <c r="B28" s="5" t="s">
        <v>127</v>
      </c>
      <c r="C28" s="5" t="s">
        <v>784</v>
      </c>
      <c r="D28" s="5" t="s">
        <v>783</v>
      </c>
      <c r="E28" s="5" t="s">
        <v>583</v>
      </c>
      <c r="F28" s="5" t="s">
        <v>584</v>
      </c>
      <c r="G28" s="5"/>
      <c r="H28" s="5">
        <f>COUNTIFS(Ortszuordnung!$E$5:$E$85,A28,Ortszuordnung!$B$5:$B$85,"REGULAER")</f>
        <v>1</v>
      </c>
      <c r="I28" s="5">
        <f>COUNTIF(Ortszuordnung!$E$5:$E$85,A28)-H28</f>
        <v>0</v>
      </c>
      <c r="J28" s="5" t="str">
        <f t="shared" si="0"/>
        <v>KERNQUEST</v>
      </c>
      <c r="K28" s="5">
        <v>83</v>
      </c>
      <c r="L28" s="5" t="s">
        <v>1256</v>
      </c>
      <c r="M28" s="5" t="str">
        <f t="shared" si="1"/>
        <v>In regulärer Quest gruppiert; aktuelle Sicht und blinden Test vor Release abschließen.</v>
      </c>
    </row>
    <row r="29" spans="1:13" ht="38.1" customHeight="1">
      <c r="A29" s="5" t="s">
        <v>790</v>
      </c>
      <c r="B29" s="5" t="s">
        <v>127</v>
      </c>
      <c r="C29" s="5" t="s">
        <v>784</v>
      </c>
      <c r="D29" s="5" t="s">
        <v>791</v>
      </c>
      <c r="E29" s="5" t="s">
        <v>572</v>
      </c>
      <c r="F29" s="5" t="s">
        <v>792</v>
      </c>
      <c r="G29" s="5"/>
      <c r="H29" s="5">
        <f>COUNTIFS(Ortszuordnung!$E$5:$E$85,A29,Ortszuordnung!$B$5:$B$85,"REGULAER")</f>
        <v>1</v>
      </c>
      <c r="I29" s="5">
        <f>COUNTIF(Ortszuordnung!$E$5:$E$85,A29)-H29</f>
        <v>0</v>
      </c>
      <c r="J29" s="5" t="str">
        <f t="shared" si="0"/>
        <v>KERNQUEST</v>
      </c>
      <c r="K29" s="5">
        <v>88</v>
      </c>
      <c r="L29" s="5"/>
      <c r="M29" s="5" t="str">
        <f t="shared" si="1"/>
        <v>In regulärer Quest gruppiert; aktuelle Sicht und blinden Test vor Release abschließen.</v>
      </c>
    </row>
    <row r="30" spans="1:13" ht="38.1" customHeight="1">
      <c r="A30" s="5" t="s">
        <v>808</v>
      </c>
      <c r="B30" s="5" t="s">
        <v>127</v>
      </c>
      <c r="C30" s="5" t="s">
        <v>784</v>
      </c>
      <c r="D30" s="5" t="s">
        <v>809</v>
      </c>
      <c r="E30" s="5" t="s">
        <v>572</v>
      </c>
      <c r="F30" s="5" t="s">
        <v>810</v>
      </c>
      <c r="G30" s="5"/>
      <c r="H30" s="5">
        <f>COUNTIFS(Ortszuordnung!$E$5:$E$85,A30,Ortszuordnung!$B$5:$B$85,"REGULAER")</f>
        <v>1</v>
      </c>
      <c r="I30" s="5">
        <f>COUNTIF(Ortszuordnung!$E$5:$E$85,A30)-H30</f>
        <v>0</v>
      </c>
      <c r="J30" s="5" t="str">
        <f t="shared" si="0"/>
        <v>KERNQUEST</v>
      </c>
      <c r="K30" s="5">
        <v>80</v>
      </c>
      <c r="L30" s="5"/>
      <c r="M30" s="5" t="str">
        <f t="shared" si="1"/>
        <v>In regulärer Quest gruppiert; aktuelle Sicht und blinden Test vor Release abschließen.</v>
      </c>
    </row>
    <row r="31" spans="1:13" ht="38.1" customHeight="1">
      <c r="A31" s="5" t="s">
        <v>799</v>
      </c>
      <c r="B31" s="5" t="s">
        <v>127</v>
      </c>
      <c r="C31" s="5" t="s">
        <v>784</v>
      </c>
      <c r="D31" s="5" t="s">
        <v>800</v>
      </c>
      <c r="E31" s="5" t="s">
        <v>583</v>
      </c>
      <c r="F31" s="5" t="s">
        <v>801</v>
      </c>
      <c r="G31" s="5" t="s">
        <v>1219</v>
      </c>
      <c r="H31" s="5">
        <f>COUNTIFS(Ortszuordnung!$E$5:$E$85,A31,Ortszuordnung!$B$5:$B$85,"REGULAER")</f>
        <v>1</v>
      </c>
      <c r="I31" s="5">
        <f>COUNTIF(Ortszuordnung!$E$5:$E$85,A31)-H31</f>
        <v>0</v>
      </c>
      <c r="J31" s="5" t="str">
        <f t="shared" si="0"/>
        <v>KERNQUEST</v>
      </c>
      <c r="K31" s="5">
        <v>89</v>
      </c>
      <c r="L31" s="5"/>
      <c r="M31" s="5" t="str">
        <f t="shared" si="1"/>
        <v>In regulärer Quest gruppiert; aktuelle Sicht und blinden Test vor Release abschließen.</v>
      </c>
    </row>
    <row r="32" spans="1:13" ht="38.1" customHeight="1">
      <c r="A32" s="5" t="s">
        <v>845</v>
      </c>
      <c r="B32" s="5" t="s">
        <v>127</v>
      </c>
      <c r="C32" s="5" t="s">
        <v>847</v>
      </c>
      <c r="D32" s="5" t="s">
        <v>846</v>
      </c>
      <c r="E32" s="5" t="s">
        <v>572</v>
      </c>
      <c r="F32" s="5" t="s">
        <v>848</v>
      </c>
      <c r="G32" s="5"/>
      <c r="H32" s="5">
        <f>COUNTIFS(Ortszuordnung!$E$5:$E$85,A32,Ortszuordnung!$B$5:$B$85,"REGULAER")</f>
        <v>1</v>
      </c>
      <c r="I32" s="5">
        <f>COUNTIF(Ortszuordnung!$E$5:$E$85,A32)-H32</f>
        <v>0</v>
      </c>
      <c r="J32" s="5" t="str">
        <f t="shared" si="0"/>
        <v>KERNQUEST</v>
      </c>
      <c r="K32" s="5">
        <v>82</v>
      </c>
      <c r="L32" s="5"/>
      <c r="M32" s="5" t="str">
        <f t="shared" si="1"/>
        <v>In regulärer Quest gruppiert; aktuelle Sicht und blinden Test vor Release abschließen.</v>
      </c>
    </row>
    <row r="33" spans="1:13" ht="38.1" customHeight="1">
      <c r="A33" s="5" t="s">
        <v>855</v>
      </c>
      <c r="B33" s="5" t="s">
        <v>127</v>
      </c>
      <c r="C33" s="5" t="s">
        <v>847</v>
      </c>
      <c r="D33" s="5" t="s">
        <v>856</v>
      </c>
      <c r="E33" s="5" t="s">
        <v>583</v>
      </c>
      <c r="F33" s="5" t="s">
        <v>594</v>
      </c>
      <c r="G33" s="5"/>
      <c r="H33" s="5">
        <f>COUNTIFS(Ortszuordnung!$E$5:$E$85,A33,Ortszuordnung!$B$5:$B$85,"REGULAER")</f>
        <v>1</v>
      </c>
      <c r="I33" s="5">
        <f>COUNTIF(Ortszuordnung!$E$5:$E$85,A33)-H33</f>
        <v>0</v>
      </c>
      <c r="J33" s="5" t="str">
        <f t="shared" si="0"/>
        <v>KERNQUEST</v>
      </c>
      <c r="K33" s="5">
        <v>81</v>
      </c>
      <c r="L33" s="5"/>
      <c r="M33" s="5" t="str">
        <f t="shared" si="1"/>
        <v>In regulärer Quest gruppiert; aktuelle Sicht und blinden Test vor Release abschließen.</v>
      </c>
    </row>
    <row r="34" spans="1:13" ht="38.1" customHeight="1">
      <c r="A34" s="5" t="s">
        <v>1257</v>
      </c>
      <c r="B34" s="5" t="s">
        <v>127</v>
      </c>
      <c r="C34" s="5" t="s">
        <v>847</v>
      </c>
      <c r="D34" s="5" t="s">
        <v>1258</v>
      </c>
      <c r="E34" s="5" t="s">
        <v>583</v>
      </c>
      <c r="F34" s="5" t="s">
        <v>630</v>
      </c>
      <c r="G34" s="5"/>
      <c r="H34" s="5">
        <f>COUNTIFS(Ortszuordnung!$E$5:$E$85,A34,Ortszuordnung!$B$5:$B$85,"REGULAER")</f>
        <v>0</v>
      </c>
      <c r="I34" s="5">
        <f>COUNTIF(Ortszuordnung!$E$5:$E$85,A34)-H34</f>
        <v>0</v>
      </c>
      <c r="J34" s="5" t="str">
        <f t="shared" si="0"/>
        <v>RESERVE</v>
      </c>
      <c r="K34" s="5">
        <v>89</v>
      </c>
      <c r="L34" s="5"/>
      <c r="M34" s="5" t="str">
        <f t="shared" si="1"/>
        <v>Als Ersatz- oder späterer Questkandidat erhalten.</v>
      </c>
    </row>
    <row r="35" spans="1:13" ht="38.1" customHeight="1">
      <c r="A35" s="5" t="s">
        <v>872</v>
      </c>
      <c r="B35" s="5" t="s">
        <v>127</v>
      </c>
      <c r="C35" s="5" t="s">
        <v>847</v>
      </c>
      <c r="D35" s="5" t="s">
        <v>873</v>
      </c>
      <c r="E35" s="5" t="s">
        <v>583</v>
      </c>
      <c r="F35" s="5" t="s">
        <v>630</v>
      </c>
      <c r="G35" s="5"/>
      <c r="H35" s="5">
        <f>COUNTIFS(Ortszuordnung!$E$5:$E$85,A35,Ortszuordnung!$B$5:$B$85,"REGULAER")</f>
        <v>1</v>
      </c>
      <c r="I35" s="5">
        <f>COUNTIF(Ortszuordnung!$E$5:$E$85,A35)-H35</f>
        <v>0</v>
      </c>
      <c r="J35" s="5" t="str">
        <f t="shared" si="0"/>
        <v>KERNQUEST</v>
      </c>
      <c r="K35" s="5">
        <v>87</v>
      </c>
      <c r="L35" s="5"/>
      <c r="M35" s="5" t="str">
        <f t="shared" si="1"/>
        <v>In regulärer Quest gruppiert; aktuelle Sicht und blinden Test vor Release abschließen.</v>
      </c>
    </row>
    <row r="36" spans="1:13" ht="38.1" customHeight="1">
      <c r="A36" s="5" t="s">
        <v>1259</v>
      </c>
      <c r="B36" s="5" t="s">
        <v>127</v>
      </c>
      <c r="C36" s="5" t="s">
        <v>847</v>
      </c>
      <c r="D36" s="5" t="s">
        <v>1260</v>
      </c>
      <c r="E36" s="5" t="s">
        <v>583</v>
      </c>
      <c r="F36" s="5" t="s">
        <v>630</v>
      </c>
      <c r="G36" s="5"/>
      <c r="H36" s="5">
        <f>COUNTIFS(Ortszuordnung!$E$5:$E$85,A36,Ortszuordnung!$B$5:$B$85,"REGULAER")</f>
        <v>0</v>
      </c>
      <c r="I36" s="5">
        <f>COUNTIF(Ortszuordnung!$E$5:$E$85,A36)-H36</f>
        <v>0</v>
      </c>
      <c r="J36" s="5" t="str">
        <f t="shared" si="0"/>
        <v>RESERVE</v>
      </c>
      <c r="K36" s="5">
        <v>87</v>
      </c>
      <c r="L36" s="5"/>
      <c r="M36" s="5" t="str">
        <f t="shared" si="1"/>
        <v>Als Ersatz- oder späterer Questkandidat erhalten.</v>
      </c>
    </row>
    <row r="37" spans="1:13" ht="38.1" customHeight="1">
      <c r="A37" s="5" t="s">
        <v>878</v>
      </c>
      <c r="B37" s="5" t="s">
        <v>127</v>
      </c>
      <c r="C37" s="5" t="s">
        <v>865</v>
      </c>
      <c r="D37" s="5" t="s">
        <v>879</v>
      </c>
      <c r="E37" s="5" t="s">
        <v>583</v>
      </c>
      <c r="F37" s="5" t="s">
        <v>630</v>
      </c>
      <c r="G37" s="5" t="s">
        <v>1212</v>
      </c>
      <c r="H37" s="5">
        <f>COUNTIFS(Ortszuordnung!$E$5:$E$85,A37,Ortszuordnung!$B$5:$B$85,"REGULAER")</f>
        <v>1</v>
      </c>
      <c r="I37" s="5">
        <f>COUNTIF(Ortszuordnung!$E$5:$E$85,A37)-H37</f>
        <v>0</v>
      </c>
      <c r="J37" s="5" t="str">
        <f t="shared" ref="J37:J68" si="2">IF(E37="ROT","AUSSCHLUSS",IF(H37&gt;0,"KERNQUEST",IF(I37&gt;0,"SONDERQUEST",IF(G37&lt;&gt;"","SUPPORT","RESERVE"))))</f>
        <v>KERNQUEST</v>
      </c>
      <c r="K37" s="5">
        <v>91</v>
      </c>
      <c r="L37" s="5"/>
      <c r="M37" s="5" t="str">
        <f t="shared" ref="M37:M68" si="3">IF(J37="AUSSCHLUSS","Nicht als Pflichtort; nur nach neuer Evidenz neu bewerten.",IF(J37="KERNQUEST","In regulärer Quest gruppiert; aktuelle Sicht und blinden Test vor Release abschließen.",IF(J37="SONDERQUEST","Für Medien-, Hidden- oder Bossinhalt vorgesehen; separate Slot- oder Eventregel.",IF(J37="SUPPORT","Nur als Supportpunkt behalten; keine zusätzliche Pflichtquest.","Als Ersatz- oder späterer Questkandidat erhalten."))))</f>
        <v>In regulärer Quest gruppiert; aktuelle Sicht und blinden Test vor Release abschließen.</v>
      </c>
    </row>
    <row r="38" spans="1:13" ht="38.1" customHeight="1">
      <c r="A38" s="5" t="s">
        <v>885</v>
      </c>
      <c r="B38" s="5" t="s">
        <v>127</v>
      </c>
      <c r="C38" s="5" t="s">
        <v>865</v>
      </c>
      <c r="D38" s="5" t="s">
        <v>886</v>
      </c>
      <c r="E38" s="5" t="s">
        <v>583</v>
      </c>
      <c r="F38" s="5" t="s">
        <v>630</v>
      </c>
      <c r="G38" s="5"/>
      <c r="H38" s="5">
        <f>COUNTIFS(Ortszuordnung!$E$5:$E$85,A38,Ortszuordnung!$B$5:$B$85,"REGULAER")</f>
        <v>1</v>
      </c>
      <c r="I38" s="5">
        <f>COUNTIF(Ortszuordnung!$E$5:$E$85,A38)-H38</f>
        <v>0</v>
      </c>
      <c r="J38" s="5" t="str">
        <f t="shared" si="2"/>
        <v>KERNQUEST</v>
      </c>
      <c r="K38" s="5">
        <v>91</v>
      </c>
      <c r="L38" s="5"/>
      <c r="M38" s="5" t="str">
        <f t="shared" si="3"/>
        <v>In regulärer Quest gruppiert; aktuelle Sicht und blinden Test vor Release abschließen.</v>
      </c>
    </row>
    <row r="39" spans="1:13" ht="38.1" customHeight="1">
      <c r="A39" s="5" t="s">
        <v>892</v>
      </c>
      <c r="B39" s="5" t="s">
        <v>127</v>
      </c>
      <c r="C39" s="5" t="s">
        <v>865</v>
      </c>
      <c r="D39" s="5" t="s">
        <v>893</v>
      </c>
      <c r="E39" s="5" t="s">
        <v>583</v>
      </c>
      <c r="F39" s="5" t="s">
        <v>630</v>
      </c>
      <c r="G39" s="5"/>
      <c r="H39" s="5">
        <f>COUNTIFS(Ortszuordnung!$E$5:$E$85,A39,Ortszuordnung!$B$5:$B$85,"REGULAER")</f>
        <v>1</v>
      </c>
      <c r="I39" s="5">
        <f>COUNTIF(Ortszuordnung!$E$5:$E$85,A39)-H39</f>
        <v>0</v>
      </c>
      <c r="J39" s="5" t="str">
        <f t="shared" si="2"/>
        <v>KERNQUEST</v>
      </c>
      <c r="K39" s="5">
        <v>87</v>
      </c>
      <c r="L39" s="5"/>
      <c r="M39" s="5" t="str">
        <f t="shared" si="3"/>
        <v>In regulärer Quest gruppiert; aktuelle Sicht und blinden Test vor Release abschließen.</v>
      </c>
    </row>
    <row r="40" spans="1:13" ht="38.1" customHeight="1">
      <c r="A40" s="5" t="s">
        <v>1261</v>
      </c>
      <c r="B40" s="5" t="s">
        <v>127</v>
      </c>
      <c r="C40" s="5" t="s">
        <v>865</v>
      </c>
      <c r="D40" s="5" t="s">
        <v>1262</v>
      </c>
      <c r="E40" s="5" t="s">
        <v>583</v>
      </c>
      <c r="F40" s="5" t="s">
        <v>584</v>
      </c>
      <c r="G40" s="5"/>
      <c r="H40" s="5">
        <f>COUNTIFS(Ortszuordnung!$E$5:$E$85,A40,Ortszuordnung!$B$5:$B$85,"REGULAER")</f>
        <v>0</v>
      </c>
      <c r="I40" s="5">
        <f>COUNTIF(Ortszuordnung!$E$5:$E$85,A40)-H40</f>
        <v>0</v>
      </c>
      <c r="J40" s="5" t="str">
        <f t="shared" si="2"/>
        <v>RESERVE</v>
      </c>
      <c r="K40" s="5">
        <v>85</v>
      </c>
      <c r="L40" s="5"/>
      <c r="M40" s="5" t="str">
        <f t="shared" si="3"/>
        <v>Als Ersatz- oder späterer Questkandidat erhalten.</v>
      </c>
    </row>
    <row r="41" spans="1:13" ht="38.1" customHeight="1">
      <c r="A41" s="5" t="s">
        <v>1263</v>
      </c>
      <c r="B41" s="5" t="s">
        <v>127</v>
      </c>
      <c r="C41" s="5" t="s">
        <v>865</v>
      </c>
      <c r="D41" s="5" t="s">
        <v>1264</v>
      </c>
      <c r="E41" s="5" t="s">
        <v>583</v>
      </c>
      <c r="F41" s="5" t="s">
        <v>630</v>
      </c>
      <c r="G41" s="5"/>
      <c r="H41" s="5">
        <f>COUNTIFS(Ortszuordnung!$E$5:$E$85,A41,Ortszuordnung!$B$5:$B$85,"REGULAER")</f>
        <v>0</v>
      </c>
      <c r="I41" s="5">
        <f>COUNTIF(Ortszuordnung!$E$5:$E$85,A41)-H41</f>
        <v>0</v>
      </c>
      <c r="J41" s="5" t="str">
        <f t="shared" si="2"/>
        <v>RESERVE</v>
      </c>
      <c r="K41" s="5">
        <v>85</v>
      </c>
      <c r="L41" s="5"/>
      <c r="M41" s="5" t="str">
        <f t="shared" si="3"/>
        <v>Als Ersatz- oder späterer Questkandidat erhalten.</v>
      </c>
    </row>
    <row r="42" spans="1:13" ht="38.1" customHeight="1">
      <c r="A42" s="5" t="s">
        <v>1265</v>
      </c>
      <c r="B42" s="5" t="s">
        <v>127</v>
      </c>
      <c r="C42" s="5" t="s">
        <v>682</v>
      </c>
      <c r="D42" s="5" t="s">
        <v>1266</v>
      </c>
      <c r="E42" s="5" t="s">
        <v>1267</v>
      </c>
      <c r="F42" s="5" t="s">
        <v>1268</v>
      </c>
      <c r="G42" s="5"/>
      <c r="H42" s="5">
        <f>COUNTIFS(Ortszuordnung!$E$5:$E$85,A42,Ortszuordnung!$B$5:$B$85,"REGULAER")</f>
        <v>0</v>
      </c>
      <c r="I42" s="5">
        <f>COUNTIF(Ortszuordnung!$E$5:$E$85,A42)-H42</f>
        <v>0</v>
      </c>
      <c r="J42" s="5" t="str">
        <f t="shared" si="2"/>
        <v>AUSSCHLUSS</v>
      </c>
      <c r="K42" s="5">
        <v>91</v>
      </c>
      <c r="L42" s="5" t="s">
        <v>1269</v>
      </c>
      <c r="M42" s="5" t="str">
        <f t="shared" si="3"/>
        <v>Nicht als Pflichtort; nur nach neuer Evidenz neu bewerten.</v>
      </c>
    </row>
    <row r="43" spans="1:13" ht="38.1" customHeight="1">
      <c r="A43" s="5" t="s">
        <v>816</v>
      </c>
      <c r="B43" s="5" t="s">
        <v>127</v>
      </c>
      <c r="C43" s="5" t="s">
        <v>784</v>
      </c>
      <c r="D43" s="5" t="s">
        <v>817</v>
      </c>
      <c r="E43" s="5" t="s">
        <v>572</v>
      </c>
      <c r="F43" s="5" t="s">
        <v>818</v>
      </c>
      <c r="G43" s="5"/>
      <c r="H43" s="5">
        <f>COUNTIFS(Ortszuordnung!$E$5:$E$85,A43,Ortszuordnung!$B$5:$B$85,"REGULAER")</f>
        <v>1</v>
      </c>
      <c r="I43" s="5">
        <f>COUNTIF(Ortszuordnung!$E$5:$E$85,A43)-H43</f>
        <v>0</v>
      </c>
      <c r="J43" s="5" t="str">
        <f t="shared" si="2"/>
        <v>KERNQUEST</v>
      </c>
      <c r="K43" s="5">
        <v>83</v>
      </c>
      <c r="L43" s="5" t="s">
        <v>1270</v>
      </c>
      <c r="M43" s="5" t="str">
        <f t="shared" si="3"/>
        <v>In regulärer Quest gruppiert; aktuelle Sicht und blinden Test vor Release abschließen.</v>
      </c>
    </row>
    <row r="44" spans="1:13" ht="38.1" customHeight="1">
      <c r="A44" s="5" t="s">
        <v>651</v>
      </c>
      <c r="B44" s="5" t="s">
        <v>127</v>
      </c>
      <c r="C44" s="5" t="s">
        <v>629</v>
      </c>
      <c r="D44" s="5" t="s">
        <v>652</v>
      </c>
      <c r="E44" s="5" t="s">
        <v>583</v>
      </c>
      <c r="F44" s="5" t="s">
        <v>653</v>
      </c>
      <c r="G44" s="5"/>
      <c r="H44" s="5">
        <f>COUNTIFS(Ortszuordnung!$E$5:$E$85,A44,Ortszuordnung!$B$5:$B$85,"REGULAER")</f>
        <v>1</v>
      </c>
      <c r="I44" s="5">
        <f>COUNTIF(Ortszuordnung!$E$5:$E$85,A44)-H44</f>
        <v>0</v>
      </c>
      <c r="J44" s="5" t="str">
        <f t="shared" si="2"/>
        <v>KERNQUEST</v>
      </c>
      <c r="K44" s="5">
        <v>91</v>
      </c>
      <c r="L44" s="5" t="s">
        <v>156</v>
      </c>
      <c r="M44" s="5" t="str">
        <f t="shared" si="3"/>
        <v>In regulärer Quest gruppiert; aktuelle Sicht und blinden Test vor Release abschließen.</v>
      </c>
    </row>
    <row r="45" spans="1:13" ht="38.1" customHeight="1">
      <c r="A45" s="5" t="s">
        <v>1116</v>
      </c>
      <c r="B45" s="5" t="s">
        <v>127</v>
      </c>
      <c r="C45" s="5" t="s">
        <v>865</v>
      </c>
      <c r="D45" s="5" t="s">
        <v>540</v>
      </c>
      <c r="E45" s="5" t="s">
        <v>583</v>
      </c>
      <c r="F45" s="5" t="s">
        <v>1117</v>
      </c>
      <c r="G45" s="5" t="s">
        <v>1223</v>
      </c>
      <c r="H45" s="5">
        <f>COUNTIFS(Ortszuordnung!$E$5:$E$85,A45,Ortszuordnung!$B$5:$B$85,"REGULAER")</f>
        <v>0</v>
      </c>
      <c r="I45" s="5">
        <f>COUNTIF(Ortszuordnung!$E$5:$E$85,A45)-H45</f>
        <v>1</v>
      </c>
      <c r="J45" s="5" t="str">
        <f t="shared" si="2"/>
        <v>SONDERQUEST</v>
      </c>
      <c r="K45" s="5">
        <v>86</v>
      </c>
      <c r="L45" s="5" t="s">
        <v>539</v>
      </c>
      <c r="M45" s="5" t="str">
        <f t="shared" si="3"/>
        <v>Für Medien-, Hidden- oder Bossinhalt vorgesehen; separate Slot- oder Eventregel.</v>
      </c>
    </row>
    <row r="46" spans="1:13" ht="38.1" customHeight="1">
      <c r="A46" s="5" t="s">
        <v>831</v>
      </c>
      <c r="B46" s="5" t="s">
        <v>127</v>
      </c>
      <c r="C46" s="5" t="s">
        <v>784</v>
      </c>
      <c r="D46" s="5" t="s">
        <v>494</v>
      </c>
      <c r="E46" s="5" t="s">
        <v>583</v>
      </c>
      <c r="F46" s="5" t="s">
        <v>594</v>
      </c>
      <c r="G46" s="5"/>
      <c r="H46" s="5">
        <f>COUNTIFS(Ortszuordnung!$E$5:$E$85,A46,Ortszuordnung!$B$5:$B$85,"REGULAER")</f>
        <v>1</v>
      </c>
      <c r="I46" s="5">
        <f>COUNTIF(Ortszuordnung!$E$5:$E$85,A46)-H46</f>
        <v>1</v>
      </c>
      <c r="J46" s="5" t="str">
        <f t="shared" si="2"/>
        <v>KERNQUEST</v>
      </c>
      <c r="K46" s="5"/>
      <c r="L46" s="5" t="s">
        <v>1073</v>
      </c>
      <c r="M46" s="5" t="str">
        <f t="shared" si="3"/>
        <v>In regulärer Quest gruppiert; aktuelle Sicht und blinden Test vor Release abschließen.</v>
      </c>
    </row>
    <row r="47" spans="1:13" ht="38.1" customHeight="1">
      <c r="A47" s="5" t="s">
        <v>825</v>
      </c>
      <c r="B47" s="5" t="s">
        <v>127</v>
      </c>
      <c r="C47" s="5" t="s">
        <v>733</v>
      </c>
      <c r="D47" s="5" t="s">
        <v>515</v>
      </c>
      <c r="E47" s="5" t="s">
        <v>583</v>
      </c>
      <c r="F47" s="5" t="s">
        <v>630</v>
      </c>
      <c r="G47" s="5"/>
      <c r="H47" s="5">
        <f>COUNTIFS(Ortszuordnung!$E$5:$E$85,A47,Ortszuordnung!$B$5:$B$85,"REGULAER")</f>
        <v>1</v>
      </c>
      <c r="I47" s="5">
        <f>COUNTIF(Ortszuordnung!$E$5:$E$85,A47)-H47</f>
        <v>1</v>
      </c>
      <c r="J47" s="5" t="str">
        <f t="shared" si="2"/>
        <v>KERNQUEST</v>
      </c>
      <c r="K47" s="5">
        <v>84</v>
      </c>
      <c r="L47" s="5" t="s">
        <v>221</v>
      </c>
      <c r="M47" s="5" t="str">
        <f t="shared" si="3"/>
        <v>In regulärer Quest gruppiert; aktuelle Sicht und blinden Test vor Release abschließen.</v>
      </c>
    </row>
    <row r="48" spans="1:13" ht="38.1" customHeight="1">
      <c r="A48" s="5" t="s">
        <v>659</v>
      </c>
      <c r="B48" s="5" t="s">
        <v>127</v>
      </c>
      <c r="C48" s="5" t="s">
        <v>629</v>
      </c>
      <c r="D48" s="5" t="s">
        <v>660</v>
      </c>
      <c r="E48" s="5" t="s">
        <v>583</v>
      </c>
      <c r="F48" s="5" t="s">
        <v>653</v>
      </c>
      <c r="G48" s="5"/>
      <c r="H48" s="5">
        <f>COUNTIFS(Ortszuordnung!$E$5:$E$85,A48,Ortszuordnung!$B$5:$B$85,"REGULAER")</f>
        <v>1</v>
      </c>
      <c r="I48" s="5">
        <f>COUNTIF(Ortszuordnung!$E$5:$E$85,A48)-H48</f>
        <v>0</v>
      </c>
      <c r="J48" s="5" t="str">
        <f t="shared" si="2"/>
        <v>KERNQUEST</v>
      </c>
      <c r="K48" s="5">
        <v>83</v>
      </c>
      <c r="L48" s="5" t="s">
        <v>1271</v>
      </c>
      <c r="M48" s="5" t="str">
        <f t="shared" si="3"/>
        <v>In regulärer Quest gruppiert; aktuelle Sicht und blinden Test vor Release abschließen.</v>
      </c>
    </row>
    <row r="49" spans="1:13" ht="38.1" customHeight="1">
      <c r="A49" s="5" t="s">
        <v>1092</v>
      </c>
      <c r="B49" s="5" t="s">
        <v>127</v>
      </c>
      <c r="C49" s="5" t="s">
        <v>847</v>
      </c>
      <c r="D49" s="5" t="s">
        <v>525</v>
      </c>
      <c r="E49" s="5" t="s">
        <v>572</v>
      </c>
      <c r="F49" s="5" t="s">
        <v>1093</v>
      </c>
      <c r="G49" s="5"/>
      <c r="H49" s="5">
        <f>COUNTIFS(Ortszuordnung!$E$5:$E$85,A49,Ortszuordnung!$B$5:$B$85,"REGULAER")</f>
        <v>0</v>
      </c>
      <c r="I49" s="5">
        <f>COUNTIF(Ortszuordnung!$E$5:$E$85,A49)-H49</f>
        <v>1</v>
      </c>
      <c r="J49" s="5" t="str">
        <f t="shared" si="2"/>
        <v>SONDERQUEST</v>
      </c>
      <c r="K49" s="5">
        <v>82</v>
      </c>
      <c r="L49" s="5" t="s">
        <v>1100</v>
      </c>
      <c r="M49" s="5" t="str">
        <f t="shared" si="3"/>
        <v>Für Medien-, Hidden- oder Bossinhalt vorgesehen; separate Slot- oder Eventregel.</v>
      </c>
    </row>
    <row r="50" spans="1:13" ht="38.1" customHeight="1">
      <c r="A50" s="5" t="s">
        <v>710</v>
      </c>
      <c r="B50" s="5" t="s">
        <v>127</v>
      </c>
      <c r="C50" s="5" t="s">
        <v>682</v>
      </c>
      <c r="D50" s="5" t="s">
        <v>711</v>
      </c>
      <c r="E50" s="5" t="s">
        <v>583</v>
      </c>
      <c r="F50" s="5" t="s">
        <v>673</v>
      </c>
      <c r="G50" s="5"/>
      <c r="H50" s="5">
        <f>COUNTIFS(Ortszuordnung!$E$5:$E$85,A50,Ortszuordnung!$B$5:$B$85,"REGULAER")</f>
        <v>1</v>
      </c>
      <c r="I50" s="5">
        <f>COUNTIF(Ortszuordnung!$E$5:$E$85,A50)-H50</f>
        <v>0</v>
      </c>
      <c r="J50" s="5" t="str">
        <f t="shared" si="2"/>
        <v>KERNQUEST</v>
      </c>
      <c r="K50" s="5">
        <v>91</v>
      </c>
      <c r="L50" s="5" t="s">
        <v>178</v>
      </c>
      <c r="M50" s="5" t="str">
        <f t="shared" si="3"/>
        <v>In regulärer Quest gruppiert; aktuelle Sicht und blinden Test vor Release abschließen.</v>
      </c>
    </row>
    <row r="51" spans="1:13" ht="38.1" customHeight="1">
      <c r="A51" s="5" t="s">
        <v>740</v>
      </c>
      <c r="B51" s="5" t="s">
        <v>127</v>
      </c>
      <c r="C51" s="5" t="s">
        <v>733</v>
      </c>
      <c r="D51" s="5" t="s">
        <v>520</v>
      </c>
      <c r="E51" s="5" t="s">
        <v>572</v>
      </c>
      <c r="F51" s="5" t="s">
        <v>741</v>
      </c>
      <c r="G51" s="5"/>
      <c r="H51" s="5">
        <f>COUNTIFS(Ortszuordnung!$E$5:$E$85,A51,Ortszuordnung!$B$5:$B$85,"REGULAER")</f>
        <v>1</v>
      </c>
      <c r="I51" s="5">
        <f>COUNTIF(Ortszuordnung!$E$5:$E$85,A51)-H51</f>
        <v>1</v>
      </c>
      <c r="J51" s="5" t="str">
        <f t="shared" si="2"/>
        <v>KERNQUEST</v>
      </c>
      <c r="K51" s="5">
        <v>80</v>
      </c>
      <c r="L51" s="5" t="s">
        <v>193</v>
      </c>
      <c r="M51" s="5" t="str">
        <f t="shared" si="3"/>
        <v>In regulärer Quest gruppiert; aktuelle Sicht und blinden Test vor Release abschließen.</v>
      </c>
    </row>
    <row r="52" spans="1:13" ht="38.1" customHeight="1">
      <c r="A52" s="5" t="s">
        <v>767</v>
      </c>
      <c r="B52" s="5" t="s">
        <v>127</v>
      </c>
      <c r="C52" s="5" t="s">
        <v>733</v>
      </c>
      <c r="D52" s="5" t="s">
        <v>768</v>
      </c>
      <c r="E52" s="5" t="s">
        <v>583</v>
      </c>
      <c r="F52" s="5" t="s">
        <v>769</v>
      </c>
      <c r="G52" s="5"/>
      <c r="H52" s="5">
        <f>COUNTIFS(Ortszuordnung!$E$5:$E$85,A52,Ortszuordnung!$B$5:$B$85,"REGULAER")</f>
        <v>1</v>
      </c>
      <c r="I52" s="5">
        <f>COUNTIF(Ortszuordnung!$E$5:$E$85,A52)-H52</f>
        <v>0</v>
      </c>
      <c r="J52" s="5" t="str">
        <f t="shared" si="2"/>
        <v>KERNQUEST</v>
      </c>
      <c r="K52" s="5">
        <v>80</v>
      </c>
      <c r="L52" s="5" t="s">
        <v>201</v>
      </c>
      <c r="M52" s="5" t="str">
        <f t="shared" si="3"/>
        <v>In regulärer Quest gruppiert; aktuelle Sicht und blinden Test vor Release abschließen.</v>
      </c>
    </row>
    <row r="53" spans="1:13" ht="38.1" customHeight="1">
      <c r="A53" s="5" t="s">
        <v>666</v>
      </c>
      <c r="B53" s="5" t="s">
        <v>127</v>
      </c>
      <c r="C53" s="5" t="s">
        <v>629</v>
      </c>
      <c r="D53" s="5" t="s">
        <v>667</v>
      </c>
      <c r="E53" s="5" t="s">
        <v>583</v>
      </c>
      <c r="F53" s="5" t="s">
        <v>653</v>
      </c>
      <c r="G53" s="5"/>
      <c r="H53" s="5">
        <f>COUNTIFS(Ortszuordnung!$E$5:$E$85,A53,Ortszuordnung!$B$5:$B$85,"REGULAER")</f>
        <v>1</v>
      </c>
      <c r="I53" s="5">
        <f>COUNTIF(Ortszuordnung!$E$5:$E$85,A53)-H53</f>
        <v>0</v>
      </c>
      <c r="J53" s="5" t="str">
        <f t="shared" si="2"/>
        <v>KERNQUEST</v>
      </c>
      <c r="K53" s="5">
        <v>85</v>
      </c>
      <c r="L53" s="5" t="s">
        <v>1272</v>
      </c>
      <c r="M53" s="5" t="str">
        <f t="shared" si="3"/>
        <v>In regulärer Quest gruppiert; aktuelle Sicht und blinden Test vor Release abschließen.</v>
      </c>
    </row>
    <row r="54" spans="1:13" ht="38.1" customHeight="1">
      <c r="A54" s="5" t="s">
        <v>863</v>
      </c>
      <c r="B54" s="5" t="s">
        <v>127</v>
      </c>
      <c r="C54" s="5" t="s">
        <v>865</v>
      </c>
      <c r="D54" s="5" t="s">
        <v>864</v>
      </c>
      <c r="E54" s="5" t="s">
        <v>583</v>
      </c>
      <c r="F54" s="5" t="s">
        <v>866</v>
      </c>
      <c r="G54" s="5"/>
      <c r="H54" s="5">
        <f>COUNTIFS(Ortszuordnung!$E$5:$E$85,A54,Ortszuordnung!$B$5:$B$85,"REGULAER")</f>
        <v>1</v>
      </c>
      <c r="I54" s="5">
        <f>COUNTIF(Ortszuordnung!$E$5:$E$85,A54)-H54</f>
        <v>0</v>
      </c>
      <c r="J54" s="5" t="str">
        <f t="shared" si="2"/>
        <v>KERNQUEST</v>
      </c>
      <c r="K54" s="5">
        <v>89</v>
      </c>
      <c r="L54" s="5" t="s">
        <v>244</v>
      </c>
      <c r="M54" s="5" t="str">
        <f t="shared" si="3"/>
        <v>In regulärer Quest gruppiert; aktuelle Sicht und blinden Test vor Release abschließen.</v>
      </c>
    </row>
    <row r="55" spans="1:13" ht="38.1" customHeight="1">
      <c r="A55" s="5" t="s">
        <v>1273</v>
      </c>
      <c r="B55" s="5" t="s">
        <v>127</v>
      </c>
      <c r="C55" s="5" t="s">
        <v>847</v>
      </c>
      <c r="D55" s="5" t="s">
        <v>1274</v>
      </c>
      <c r="E55" s="5" t="s">
        <v>572</v>
      </c>
      <c r="F55" s="5" t="s">
        <v>1275</v>
      </c>
      <c r="G55" s="5"/>
      <c r="H55" s="5">
        <f>COUNTIFS(Ortszuordnung!$E$5:$E$85,A55,Ortszuordnung!$B$5:$B$85,"REGULAER")</f>
        <v>0</v>
      </c>
      <c r="I55" s="5">
        <f>COUNTIF(Ortszuordnung!$E$5:$E$85,A55)-H55</f>
        <v>0</v>
      </c>
      <c r="J55" s="5" t="str">
        <f t="shared" si="2"/>
        <v>RESERVE</v>
      </c>
      <c r="K55" s="5">
        <v>80</v>
      </c>
      <c r="L55" s="5" t="s">
        <v>1276</v>
      </c>
      <c r="M55" s="5" t="str">
        <f t="shared" si="3"/>
        <v>Als Ersatz- oder späterer Questkandidat erhalten.</v>
      </c>
    </row>
    <row r="56" spans="1:13" ht="38.1" customHeight="1">
      <c r="A56" s="5" t="s">
        <v>1226</v>
      </c>
      <c r="B56" s="5" t="s">
        <v>127</v>
      </c>
      <c r="C56" s="5" t="s">
        <v>847</v>
      </c>
      <c r="D56" s="5" t="s">
        <v>1227</v>
      </c>
      <c r="E56" s="5" t="s">
        <v>583</v>
      </c>
      <c r="F56" s="5" t="s">
        <v>1277</v>
      </c>
      <c r="G56" s="5" t="s">
        <v>1212</v>
      </c>
      <c r="H56" s="5">
        <f>COUNTIFS(Ortszuordnung!$E$5:$E$85,A56,Ortszuordnung!$B$5:$B$85,"REGULAER")</f>
        <v>0</v>
      </c>
      <c r="I56" s="5">
        <f>COUNTIF(Ortszuordnung!$E$5:$E$85,A56)-H56</f>
        <v>0</v>
      </c>
      <c r="J56" s="5" t="str">
        <f t="shared" si="2"/>
        <v>SUPPORT</v>
      </c>
      <c r="K56" s="5">
        <v>89</v>
      </c>
      <c r="L56" s="5" t="s">
        <v>1278</v>
      </c>
      <c r="M56" s="5" t="str">
        <f t="shared" si="3"/>
        <v>Nur als Supportpunkt behalten; keine zusätzliche Pflichtquest.</v>
      </c>
    </row>
    <row r="57" spans="1:13" ht="38.1" customHeight="1">
      <c r="A57" s="5" t="s">
        <v>1279</v>
      </c>
      <c r="B57" s="5" t="s">
        <v>127</v>
      </c>
      <c r="C57" s="5" t="s">
        <v>784</v>
      </c>
      <c r="D57" s="5" t="s">
        <v>1280</v>
      </c>
      <c r="E57" s="5" t="s">
        <v>1267</v>
      </c>
      <c r="F57" s="5" t="s">
        <v>1268</v>
      </c>
      <c r="G57" s="5"/>
      <c r="H57" s="5">
        <f>COUNTIFS(Ortszuordnung!$E$5:$E$85,A57,Ortszuordnung!$B$5:$B$85,"REGULAER")</f>
        <v>0</v>
      </c>
      <c r="I57" s="5">
        <f>COUNTIF(Ortszuordnung!$E$5:$E$85,A57)-H57</f>
        <v>0</v>
      </c>
      <c r="J57" s="5" t="str">
        <f t="shared" si="2"/>
        <v>AUSSCHLUSS</v>
      </c>
      <c r="K57" s="5">
        <v>80</v>
      </c>
      <c r="L57" s="5" t="s">
        <v>1281</v>
      </c>
      <c r="M57" s="5" t="str">
        <f t="shared" si="3"/>
        <v>Nicht als Pflichtort; nur nach neuer Evidenz neu bewerten.</v>
      </c>
    </row>
    <row r="58" spans="1:13" ht="38.1" customHeight="1">
      <c r="A58" s="5" t="s">
        <v>1282</v>
      </c>
      <c r="B58" s="5" t="s">
        <v>127</v>
      </c>
      <c r="C58" s="5" t="s">
        <v>784</v>
      </c>
      <c r="D58" s="5" t="s">
        <v>1283</v>
      </c>
      <c r="E58" s="5" t="s">
        <v>1267</v>
      </c>
      <c r="F58" s="5" t="s">
        <v>1284</v>
      </c>
      <c r="G58" s="5"/>
      <c r="H58" s="5">
        <f>COUNTIFS(Ortszuordnung!$E$5:$E$85,A58,Ortszuordnung!$B$5:$B$85,"REGULAER")</f>
        <v>0</v>
      </c>
      <c r="I58" s="5">
        <f>COUNTIF(Ortszuordnung!$E$5:$E$85,A58)-H58</f>
        <v>0</v>
      </c>
      <c r="J58" s="5" t="str">
        <f t="shared" si="2"/>
        <v>AUSSCHLUSS</v>
      </c>
      <c r="K58" s="5">
        <v>89</v>
      </c>
      <c r="L58" s="5" t="s">
        <v>1285</v>
      </c>
      <c r="M58" s="5" t="str">
        <f t="shared" si="3"/>
        <v>Nicht als Pflichtort; nur nach neuer Evidenz neu bewerten.</v>
      </c>
    </row>
    <row r="59" spans="1:13" ht="38.1" customHeight="1">
      <c r="A59" s="5" t="s">
        <v>610</v>
      </c>
      <c r="B59" s="5" t="s">
        <v>127</v>
      </c>
      <c r="C59" s="5" t="s">
        <v>571</v>
      </c>
      <c r="D59" s="5" t="s">
        <v>611</v>
      </c>
      <c r="E59" s="5" t="s">
        <v>572</v>
      </c>
      <c r="F59" s="5" t="s">
        <v>612</v>
      </c>
      <c r="G59" s="5"/>
      <c r="H59" s="5">
        <f>COUNTIFS(Ortszuordnung!$E$5:$E$85,A59,Ortszuordnung!$B$5:$B$85,"REGULAER")</f>
        <v>1</v>
      </c>
      <c r="I59" s="5">
        <f>COUNTIF(Ortszuordnung!$E$5:$E$85,A59)-H59</f>
        <v>0</v>
      </c>
      <c r="J59" s="5" t="str">
        <f t="shared" si="2"/>
        <v>KERNQUEST</v>
      </c>
      <c r="K59" s="5">
        <v>85</v>
      </c>
      <c r="L59" s="5" t="s">
        <v>141</v>
      </c>
      <c r="M59" s="5" t="str">
        <f t="shared" si="3"/>
        <v>In regulärer Quest gruppiert; aktuelle Sicht und blinden Test vor Release abschließen.</v>
      </c>
    </row>
    <row r="60" spans="1:13" ht="38.1" customHeight="1">
      <c r="A60" s="5" t="s">
        <v>899</v>
      </c>
      <c r="B60" s="5" t="s">
        <v>248</v>
      </c>
      <c r="C60" s="5" t="s">
        <v>901</v>
      </c>
      <c r="D60" s="5" t="s">
        <v>900</v>
      </c>
      <c r="E60" s="5" t="s">
        <v>583</v>
      </c>
      <c r="F60" s="5" t="s">
        <v>630</v>
      </c>
      <c r="G60" s="5" t="s">
        <v>1212</v>
      </c>
      <c r="H60" s="5">
        <f>COUNTIFS(Ortszuordnung!$E$5:$E$85,A60,Ortszuordnung!$B$5:$B$85,"REGULAER")</f>
        <v>1</v>
      </c>
      <c r="I60" s="5">
        <f>COUNTIF(Ortszuordnung!$E$5:$E$85,A60)-H60</f>
        <v>0</v>
      </c>
      <c r="J60" s="5" t="str">
        <f t="shared" si="2"/>
        <v>KERNQUEST</v>
      </c>
      <c r="K60" s="5">
        <v>93</v>
      </c>
      <c r="L60" s="5"/>
      <c r="M60" s="5" t="str">
        <f t="shared" si="3"/>
        <v>In regulärer Quest gruppiert; aktuelle Sicht und blinden Test vor Release abschließen.</v>
      </c>
    </row>
    <row r="61" spans="1:13" ht="38.1" customHeight="1">
      <c r="A61" s="5" t="s">
        <v>907</v>
      </c>
      <c r="B61" s="5" t="s">
        <v>248</v>
      </c>
      <c r="C61" s="5" t="s">
        <v>901</v>
      </c>
      <c r="D61" s="5" t="s">
        <v>908</v>
      </c>
      <c r="E61" s="5" t="s">
        <v>572</v>
      </c>
      <c r="F61" s="5" t="s">
        <v>909</v>
      </c>
      <c r="G61" s="5"/>
      <c r="H61" s="5">
        <f>COUNTIFS(Ortszuordnung!$E$5:$E$85,A61,Ortszuordnung!$B$5:$B$85,"REGULAER")</f>
        <v>1</v>
      </c>
      <c r="I61" s="5">
        <f>COUNTIF(Ortszuordnung!$E$5:$E$85,A61)-H61</f>
        <v>0</v>
      </c>
      <c r="J61" s="5" t="str">
        <f t="shared" si="2"/>
        <v>KERNQUEST</v>
      </c>
      <c r="K61" s="5">
        <v>84</v>
      </c>
      <c r="L61" s="5" t="s">
        <v>1286</v>
      </c>
      <c r="M61" s="5" t="str">
        <f t="shared" si="3"/>
        <v>In regulärer Quest gruppiert; aktuelle Sicht und blinden Test vor Release abschließen.</v>
      </c>
    </row>
    <row r="62" spans="1:13" ht="38.1" customHeight="1">
      <c r="A62" s="5" t="s">
        <v>916</v>
      </c>
      <c r="B62" s="5" t="s">
        <v>248</v>
      </c>
      <c r="C62" s="5" t="s">
        <v>901</v>
      </c>
      <c r="D62" s="5" t="s">
        <v>257</v>
      </c>
      <c r="E62" s="5" t="s">
        <v>583</v>
      </c>
      <c r="F62" s="5" t="s">
        <v>673</v>
      </c>
      <c r="G62" s="5"/>
      <c r="H62" s="5">
        <f>COUNTIFS(Ortszuordnung!$E$5:$E$85,A62,Ortszuordnung!$B$5:$B$85,"REGULAER")</f>
        <v>1</v>
      </c>
      <c r="I62" s="5">
        <f>COUNTIF(Ortszuordnung!$E$5:$E$85,A62)-H62</f>
        <v>0</v>
      </c>
      <c r="J62" s="5" t="str">
        <f t="shared" si="2"/>
        <v>KERNQUEST</v>
      </c>
      <c r="K62" s="5">
        <v>88</v>
      </c>
      <c r="L62" s="5" t="s">
        <v>1287</v>
      </c>
      <c r="M62" s="5" t="str">
        <f t="shared" si="3"/>
        <v>In regulärer Quest gruppiert; aktuelle Sicht und blinden Test vor Release abschließen.</v>
      </c>
    </row>
    <row r="63" spans="1:13" ht="38.1" customHeight="1">
      <c r="A63" s="5" t="s">
        <v>1288</v>
      </c>
      <c r="B63" s="5" t="s">
        <v>248</v>
      </c>
      <c r="C63" s="5" t="s">
        <v>901</v>
      </c>
      <c r="D63" s="5" t="s">
        <v>1289</v>
      </c>
      <c r="E63" s="5" t="s">
        <v>572</v>
      </c>
      <c r="F63" s="5" t="s">
        <v>1290</v>
      </c>
      <c r="G63" s="5"/>
      <c r="H63" s="5">
        <f>COUNTIFS(Ortszuordnung!$E$5:$E$85,A63,Ortszuordnung!$B$5:$B$85,"REGULAER")</f>
        <v>0</v>
      </c>
      <c r="I63" s="5">
        <f>COUNTIF(Ortszuordnung!$E$5:$E$85,A63)-H63</f>
        <v>0</v>
      </c>
      <c r="J63" s="5" t="str">
        <f t="shared" si="2"/>
        <v>RESERVE</v>
      </c>
      <c r="K63" s="5">
        <v>91</v>
      </c>
      <c r="L63" s="5"/>
      <c r="M63" s="5" t="str">
        <f t="shared" si="3"/>
        <v>Als Ersatz- oder späterer Questkandidat erhalten.</v>
      </c>
    </row>
    <row r="64" spans="1:13" ht="38.1" customHeight="1">
      <c r="A64" s="5" t="s">
        <v>922</v>
      </c>
      <c r="B64" s="5" t="s">
        <v>248</v>
      </c>
      <c r="C64" s="5" t="s">
        <v>924</v>
      </c>
      <c r="D64" s="5" t="s">
        <v>923</v>
      </c>
      <c r="E64" s="5" t="s">
        <v>583</v>
      </c>
      <c r="F64" s="5" t="s">
        <v>594</v>
      </c>
      <c r="G64" s="5"/>
      <c r="H64" s="5">
        <f>COUNTIFS(Ortszuordnung!$E$5:$E$85,A64,Ortszuordnung!$B$5:$B$85,"REGULAER")</f>
        <v>1</v>
      </c>
      <c r="I64" s="5">
        <f>COUNTIF(Ortszuordnung!$E$5:$E$85,A64)-H64</f>
        <v>0</v>
      </c>
      <c r="J64" s="5" t="str">
        <f t="shared" si="2"/>
        <v>KERNQUEST</v>
      </c>
      <c r="K64" s="5">
        <v>91</v>
      </c>
      <c r="L64" s="5"/>
      <c r="M64" s="5" t="str">
        <f t="shared" si="3"/>
        <v>In regulärer Quest gruppiert; aktuelle Sicht und blinden Test vor Release abschließen.</v>
      </c>
    </row>
    <row r="65" spans="1:13" ht="38.1" customHeight="1">
      <c r="A65" s="5" t="s">
        <v>929</v>
      </c>
      <c r="B65" s="5" t="s">
        <v>248</v>
      </c>
      <c r="C65" s="5" t="s">
        <v>924</v>
      </c>
      <c r="D65" s="5" t="s">
        <v>504</v>
      </c>
      <c r="E65" s="5" t="s">
        <v>583</v>
      </c>
      <c r="F65" s="5" t="s">
        <v>594</v>
      </c>
      <c r="G65" s="5" t="s">
        <v>1230</v>
      </c>
      <c r="H65" s="5">
        <f>COUNTIFS(Ortszuordnung!$E$5:$E$85,A65,Ortszuordnung!$B$5:$B$85,"REGULAER")</f>
        <v>1</v>
      </c>
      <c r="I65" s="5">
        <f>COUNTIF(Ortszuordnung!$E$5:$E$85,A65)-H65</f>
        <v>1</v>
      </c>
      <c r="J65" s="5" t="str">
        <f t="shared" si="2"/>
        <v>KERNQUEST</v>
      </c>
      <c r="K65" s="5">
        <v>84</v>
      </c>
      <c r="L65" s="5"/>
      <c r="M65" s="5" t="str">
        <f t="shared" si="3"/>
        <v>In regulärer Quest gruppiert; aktuelle Sicht und blinden Test vor Release abschließen.</v>
      </c>
    </row>
    <row r="66" spans="1:13" ht="38.1" customHeight="1">
      <c r="A66" s="5" t="s">
        <v>935</v>
      </c>
      <c r="B66" s="5" t="s">
        <v>248</v>
      </c>
      <c r="C66" s="5" t="s">
        <v>924</v>
      </c>
      <c r="D66" s="5" t="s">
        <v>936</v>
      </c>
      <c r="E66" s="5" t="s">
        <v>583</v>
      </c>
      <c r="F66" s="5" t="s">
        <v>594</v>
      </c>
      <c r="G66" s="5"/>
      <c r="H66" s="5">
        <f>COUNTIFS(Ortszuordnung!$E$5:$E$85,A66,Ortszuordnung!$B$5:$B$85,"REGULAER")</f>
        <v>1</v>
      </c>
      <c r="I66" s="5">
        <f>COUNTIF(Ortszuordnung!$E$5:$E$85,A66)-H66</f>
        <v>0</v>
      </c>
      <c r="J66" s="5" t="str">
        <f t="shared" si="2"/>
        <v>KERNQUEST</v>
      </c>
      <c r="K66" s="5">
        <v>80</v>
      </c>
      <c r="L66" s="5"/>
      <c r="M66" s="5" t="str">
        <f t="shared" si="3"/>
        <v>In regulärer Quest gruppiert; aktuelle Sicht und blinden Test vor Release abschließen.</v>
      </c>
    </row>
    <row r="67" spans="1:13" ht="38.1" customHeight="1">
      <c r="A67" s="5" t="s">
        <v>993</v>
      </c>
      <c r="B67" s="5" t="s">
        <v>248</v>
      </c>
      <c r="C67" s="5" t="s">
        <v>924</v>
      </c>
      <c r="D67" s="5" t="s">
        <v>288</v>
      </c>
      <c r="E67" s="5" t="s">
        <v>583</v>
      </c>
      <c r="F67" s="5" t="s">
        <v>630</v>
      </c>
      <c r="G67" s="5"/>
      <c r="H67" s="5">
        <f>COUNTIFS(Ortszuordnung!$E$5:$E$85,A67,Ortszuordnung!$B$5:$B$85,"REGULAER")</f>
        <v>1</v>
      </c>
      <c r="I67" s="5">
        <f>COUNTIF(Ortszuordnung!$E$5:$E$85,A67)-H67</f>
        <v>0</v>
      </c>
      <c r="J67" s="5" t="str">
        <f t="shared" si="2"/>
        <v>KERNQUEST</v>
      </c>
      <c r="K67" s="5">
        <v>85</v>
      </c>
      <c r="L67" s="5" t="s">
        <v>1291</v>
      </c>
      <c r="M67" s="5" t="str">
        <f t="shared" si="3"/>
        <v>In regulärer Quest gruppiert; aktuelle Sicht und blinden Test vor Release abschließen.</v>
      </c>
    </row>
    <row r="68" spans="1:13" ht="38.1" customHeight="1">
      <c r="A68" s="5" t="s">
        <v>943</v>
      </c>
      <c r="B68" s="5" t="s">
        <v>248</v>
      </c>
      <c r="C68" s="5" t="s">
        <v>945</v>
      </c>
      <c r="D68" s="5" t="s">
        <v>944</v>
      </c>
      <c r="E68" s="5" t="s">
        <v>572</v>
      </c>
      <c r="F68" s="5" t="s">
        <v>946</v>
      </c>
      <c r="G68" s="5"/>
      <c r="H68" s="5">
        <f>COUNTIFS(Ortszuordnung!$E$5:$E$85,A68,Ortszuordnung!$B$5:$B$85,"REGULAER")</f>
        <v>1</v>
      </c>
      <c r="I68" s="5">
        <f>COUNTIF(Ortszuordnung!$E$5:$E$85,A68)-H68</f>
        <v>0</v>
      </c>
      <c r="J68" s="5" t="str">
        <f t="shared" si="2"/>
        <v>KERNQUEST</v>
      </c>
      <c r="K68" s="5">
        <v>88</v>
      </c>
      <c r="L68" s="5"/>
      <c r="M68" s="5" t="str">
        <f t="shared" si="3"/>
        <v>In regulärer Quest gruppiert; aktuelle Sicht und blinden Test vor Release abschließen.</v>
      </c>
    </row>
    <row r="69" spans="1:13" ht="38.1" customHeight="1">
      <c r="A69" s="5" t="s">
        <v>953</v>
      </c>
      <c r="B69" s="5" t="s">
        <v>248</v>
      </c>
      <c r="C69" s="5" t="s">
        <v>945</v>
      </c>
      <c r="D69" s="5" t="s">
        <v>954</v>
      </c>
      <c r="E69" s="5" t="s">
        <v>583</v>
      </c>
      <c r="F69" s="5" t="s">
        <v>594</v>
      </c>
      <c r="G69" s="5"/>
      <c r="H69" s="5">
        <f>COUNTIFS(Ortszuordnung!$E$5:$E$85,A69,Ortszuordnung!$B$5:$B$85,"REGULAER")</f>
        <v>1</v>
      </c>
      <c r="I69" s="5">
        <f>COUNTIF(Ortszuordnung!$E$5:$E$85,A69)-H69</f>
        <v>0</v>
      </c>
      <c r="J69" s="5" t="str">
        <f t="shared" ref="J69:J100" si="4">IF(E69="ROT","AUSSCHLUSS",IF(H69&gt;0,"KERNQUEST",IF(I69&gt;0,"SONDERQUEST",IF(G69&lt;&gt;"","SUPPORT","RESERVE"))))</f>
        <v>KERNQUEST</v>
      </c>
      <c r="K69" s="5">
        <v>83</v>
      </c>
      <c r="L69" s="5"/>
      <c r="M69" s="5" t="str">
        <f t="shared" ref="M69:M94" si="5">IF(J69="AUSSCHLUSS","Nicht als Pflichtort; nur nach neuer Evidenz neu bewerten.",IF(J69="KERNQUEST","In regulärer Quest gruppiert; aktuelle Sicht und blinden Test vor Release abschließen.",IF(J69="SONDERQUEST","Für Medien-, Hidden- oder Bossinhalt vorgesehen; separate Slot- oder Eventregel.",IF(J69="SUPPORT","Nur als Supportpunkt behalten; keine zusätzliche Pflichtquest.","Als Ersatz- oder späterer Questkandidat erhalten."))))</f>
        <v>In regulärer Quest gruppiert; aktuelle Sicht und blinden Test vor Release abschließen.</v>
      </c>
    </row>
    <row r="70" spans="1:13" ht="38.1" customHeight="1">
      <c r="A70" s="5" t="s">
        <v>960</v>
      </c>
      <c r="B70" s="5" t="s">
        <v>248</v>
      </c>
      <c r="C70" s="5" t="s">
        <v>945</v>
      </c>
      <c r="D70" s="5" t="s">
        <v>961</v>
      </c>
      <c r="E70" s="5" t="s">
        <v>583</v>
      </c>
      <c r="F70" s="5" t="s">
        <v>630</v>
      </c>
      <c r="G70" s="5"/>
      <c r="H70" s="5">
        <f>COUNTIFS(Ortszuordnung!$E$5:$E$85,A70,Ortszuordnung!$B$5:$B$85,"REGULAER")</f>
        <v>1</v>
      </c>
      <c r="I70" s="5">
        <f>COUNTIF(Ortszuordnung!$E$5:$E$85,A70)-H70</f>
        <v>0</v>
      </c>
      <c r="J70" s="5" t="str">
        <f t="shared" si="4"/>
        <v>KERNQUEST</v>
      </c>
      <c r="K70" s="5">
        <v>89</v>
      </c>
      <c r="L70" s="5"/>
      <c r="M70" s="5" t="str">
        <f t="shared" si="5"/>
        <v>In regulärer Quest gruppiert; aktuelle Sicht und blinden Test vor Release abschließen.</v>
      </c>
    </row>
    <row r="71" spans="1:13" ht="38.1" customHeight="1">
      <c r="A71" s="5" t="s">
        <v>967</v>
      </c>
      <c r="B71" s="5" t="s">
        <v>248</v>
      </c>
      <c r="C71" s="5" t="s">
        <v>945</v>
      </c>
      <c r="D71" s="5" t="s">
        <v>968</v>
      </c>
      <c r="E71" s="5" t="s">
        <v>583</v>
      </c>
      <c r="F71" s="5" t="s">
        <v>630</v>
      </c>
      <c r="G71" s="5"/>
      <c r="H71" s="5">
        <f>COUNTIFS(Ortszuordnung!$E$5:$E$85,A71,Ortszuordnung!$B$5:$B$85,"REGULAER")</f>
        <v>1</v>
      </c>
      <c r="I71" s="5">
        <f>COUNTIF(Ortszuordnung!$E$5:$E$85,A71)-H71</f>
        <v>0</v>
      </c>
      <c r="J71" s="5" t="str">
        <f t="shared" si="4"/>
        <v>KERNQUEST</v>
      </c>
      <c r="K71" s="5">
        <v>88</v>
      </c>
      <c r="L71" s="5"/>
      <c r="M71" s="5" t="str">
        <f t="shared" si="5"/>
        <v>In regulärer Quest gruppiert; aktuelle Sicht und blinden Test vor Release abschließen.</v>
      </c>
    </row>
    <row r="72" spans="1:13" ht="38.1" customHeight="1">
      <c r="A72" s="5" t="s">
        <v>999</v>
      </c>
      <c r="B72" s="5" t="s">
        <v>248</v>
      </c>
      <c r="C72" s="5" t="s">
        <v>1001</v>
      </c>
      <c r="D72" s="5" t="s">
        <v>1000</v>
      </c>
      <c r="E72" s="5" t="s">
        <v>583</v>
      </c>
      <c r="F72" s="5" t="s">
        <v>594</v>
      </c>
      <c r="G72" s="5"/>
      <c r="H72" s="5">
        <f>COUNTIFS(Ortszuordnung!$E$5:$E$85,A72,Ortszuordnung!$B$5:$B$85,"REGULAER")</f>
        <v>1</v>
      </c>
      <c r="I72" s="5">
        <f>COUNTIF(Ortszuordnung!$E$5:$E$85,A72)-H72</f>
        <v>0</v>
      </c>
      <c r="J72" s="5" t="str">
        <f t="shared" si="4"/>
        <v>KERNQUEST</v>
      </c>
      <c r="K72" s="5">
        <v>81</v>
      </c>
      <c r="L72" s="5"/>
      <c r="M72" s="5" t="str">
        <f t="shared" si="5"/>
        <v>In regulärer Quest gruppiert; aktuelle Sicht und blinden Test vor Release abschließen.</v>
      </c>
    </row>
    <row r="73" spans="1:13" ht="38.1" customHeight="1">
      <c r="A73" s="5" t="s">
        <v>1008</v>
      </c>
      <c r="B73" s="5" t="s">
        <v>248</v>
      </c>
      <c r="C73" s="5" t="s">
        <v>1001</v>
      </c>
      <c r="D73" s="5" t="s">
        <v>1009</v>
      </c>
      <c r="E73" s="5" t="s">
        <v>583</v>
      </c>
      <c r="F73" s="5" t="s">
        <v>630</v>
      </c>
      <c r="G73" s="5"/>
      <c r="H73" s="5">
        <f>COUNTIFS(Ortszuordnung!$E$5:$E$85,A73,Ortszuordnung!$B$5:$B$85,"REGULAER")</f>
        <v>1</v>
      </c>
      <c r="I73" s="5">
        <f>COUNTIF(Ortszuordnung!$E$5:$E$85,A73)-H73</f>
        <v>0</v>
      </c>
      <c r="J73" s="5" t="str">
        <f t="shared" si="4"/>
        <v>KERNQUEST</v>
      </c>
      <c r="K73" s="5">
        <v>90</v>
      </c>
      <c r="L73" s="5"/>
      <c r="M73" s="5" t="str">
        <f t="shared" si="5"/>
        <v>In regulärer Quest gruppiert; aktuelle Sicht und blinden Test vor Release abschließen.</v>
      </c>
    </row>
    <row r="74" spans="1:13" ht="38.1" customHeight="1">
      <c r="A74" s="5" t="s">
        <v>1014</v>
      </c>
      <c r="B74" s="5" t="s">
        <v>248</v>
      </c>
      <c r="C74" s="5" t="s">
        <v>1001</v>
      </c>
      <c r="D74" s="5" t="s">
        <v>1015</v>
      </c>
      <c r="E74" s="5" t="s">
        <v>583</v>
      </c>
      <c r="F74" s="5" t="s">
        <v>1016</v>
      </c>
      <c r="G74" s="5"/>
      <c r="H74" s="5">
        <f>COUNTIFS(Ortszuordnung!$E$5:$E$85,A74,Ortszuordnung!$B$5:$B$85,"REGULAER")</f>
        <v>1</v>
      </c>
      <c r="I74" s="5">
        <f>COUNTIF(Ortszuordnung!$E$5:$E$85,A74)-H74</f>
        <v>0</v>
      </c>
      <c r="J74" s="5" t="str">
        <f t="shared" si="4"/>
        <v>KERNQUEST</v>
      </c>
      <c r="K74" s="5">
        <v>89</v>
      </c>
      <c r="L74" s="5"/>
      <c r="M74" s="5" t="str">
        <f t="shared" si="5"/>
        <v>In regulärer Quest gruppiert; aktuelle Sicht und blinden Test vor Release abschließen.</v>
      </c>
    </row>
    <row r="75" spans="1:13" ht="38.1" customHeight="1">
      <c r="A75" s="5" t="s">
        <v>1022</v>
      </c>
      <c r="B75" s="5" t="s">
        <v>248</v>
      </c>
      <c r="C75" s="5" t="s">
        <v>1001</v>
      </c>
      <c r="D75" s="5" t="s">
        <v>1023</v>
      </c>
      <c r="E75" s="5" t="s">
        <v>583</v>
      </c>
      <c r="F75" s="5" t="s">
        <v>630</v>
      </c>
      <c r="G75" s="5"/>
      <c r="H75" s="5">
        <f>COUNTIFS(Ortszuordnung!$E$5:$E$85,A75,Ortszuordnung!$B$5:$B$85,"REGULAER")</f>
        <v>1</v>
      </c>
      <c r="I75" s="5">
        <f>COUNTIF(Ortszuordnung!$E$5:$E$85,A75)-H75</f>
        <v>0</v>
      </c>
      <c r="J75" s="5" t="str">
        <f t="shared" si="4"/>
        <v>KERNQUEST</v>
      </c>
      <c r="K75" s="5">
        <v>87</v>
      </c>
      <c r="L75" s="5"/>
      <c r="M75" s="5" t="str">
        <f t="shared" si="5"/>
        <v>In regulärer Quest gruppiert; aktuelle Sicht und blinden Test vor Release abschließen.</v>
      </c>
    </row>
    <row r="76" spans="1:13" ht="38.1" customHeight="1">
      <c r="A76" s="5" t="s">
        <v>1292</v>
      </c>
      <c r="B76" s="5" t="s">
        <v>248</v>
      </c>
      <c r="C76" s="5" t="s">
        <v>1054</v>
      </c>
      <c r="D76" s="5" t="s">
        <v>1293</v>
      </c>
      <c r="E76" s="5" t="s">
        <v>572</v>
      </c>
      <c r="F76" s="5" t="s">
        <v>1294</v>
      </c>
      <c r="G76" s="5"/>
      <c r="H76" s="5">
        <f>COUNTIFS(Ortszuordnung!$E$5:$E$85,A76,Ortszuordnung!$B$5:$B$85,"REGULAER")</f>
        <v>0</v>
      </c>
      <c r="I76" s="5">
        <f>COUNTIF(Ortszuordnung!$E$5:$E$85,A76)-H76</f>
        <v>0</v>
      </c>
      <c r="J76" s="5" t="str">
        <f t="shared" si="4"/>
        <v>RESERVE</v>
      </c>
      <c r="K76" s="5">
        <v>86</v>
      </c>
      <c r="L76" s="5"/>
      <c r="M76" s="5" t="str">
        <f t="shared" si="5"/>
        <v>Als Ersatz- oder späterer Questkandidat erhalten.</v>
      </c>
    </row>
    <row r="77" spans="1:13" ht="38.1" customHeight="1">
      <c r="A77" s="5" t="s">
        <v>1295</v>
      </c>
      <c r="B77" s="5" t="s">
        <v>248</v>
      </c>
      <c r="C77" s="5" t="s">
        <v>1054</v>
      </c>
      <c r="D77" s="5" t="s">
        <v>1296</v>
      </c>
      <c r="E77" s="5" t="s">
        <v>583</v>
      </c>
      <c r="F77" s="5" t="s">
        <v>653</v>
      </c>
      <c r="G77" s="5"/>
      <c r="H77" s="5">
        <f>COUNTIFS(Ortszuordnung!$E$5:$E$85,A77,Ortszuordnung!$B$5:$B$85,"REGULAER")</f>
        <v>0</v>
      </c>
      <c r="I77" s="5">
        <f>COUNTIF(Ortszuordnung!$E$5:$E$85,A77)-H77</f>
        <v>0</v>
      </c>
      <c r="J77" s="5" t="str">
        <f t="shared" si="4"/>
        <v>RESERVE</v>
      </c>
      <c r="K77" s="5">
        <v>83</v>
      </c>
      <c r="L77" s="5"/>
      <c r="M77" s="5" t="str">
        <f t="shared" si="5"/>
        <v>Als Ersatz- oder späterer Questkandidat erhalten.</v>
      </c>
    </row>
    <row r="78" spans="1:13" ht="38.1" customHeight="1">
      <c r="A78" s="5" t="s">
        <v>1297</v>
      </c>
      <c r="B78" s="5" t="s">
        <v>248</v>
      </c>
      <c r="C78" s="5" t="s">
        <v>1054</v>
      </c>
      <c r="D78" s="5" t="s">
        <v>1298</v>
      </c>
      <c r="E78" s="5" t="s">
        <v>583</v>
      </c>
      <c r="F78" s="5" t="s">
        <v>630</v>
      </c>
      <c r="G78" s="5"/>
      <c r="H78" s="5">
        <f>COUNTIFS(Ortszuordnung!$E$5:$E$85,A78,Ortszuordnung!$B$5:$B$85,"REGULAER")</f>
        <v>0</v>
      </c>
      <c r="I78" s="5">
        <f>COUNTIF(Ortszuordnung!$E$5:$E$85,A78)-H78</f>
        <v>0</v>
      </c>
      <c r="J78" s="5" t="str">
        <f t="shared" si="4"/>
        <v>RESERVE</v>
      </c>
      <c r="K78" s="5">
        <v>83</v>
      </c>
      <c r="L78" s="5"/>
      <c r="M78" s="5" t="str">
        <f t="shared" si="5"/>
        <v>Als Ersatz- oder späterer Questkandidat erhalten.</v>
      </c>
    </row>
    <row r="79" spans="1:13" ht="38.1" customHeight="1">
      <c r="A79" s="5" t="s">
        <v>1101</v>
      </c>
      <c r="B79" s="5" t="s">
        <v>248</v>
      </c>
      <c r="C79" s="5" t="s">
        <v>1054</v>
      </c>
      <c r="D79" s="5" t="s">
        <v>530</v>
      </c>
      <c r="E79" s="5" t="s">
        <v>572</v>
      </c>
      <c r="F79" s="5" t="s">
        <v>1093</v>
      </c>
      <c r="G79" s="5" t="s">
        <v>1234</v>
      </c>
      <c r="H79" s="5">
        <f>COUNTIFS(Ortszuordnung!$E$5:$E$85,A79,Ortszuordnung!$B$5:$B$85,"REGULAER")</f>
        <v>0</v>
      </c>
      <c r="I79" s="5">
        <f>COUNTIF(Ortszuordnung!$E$5:$E$85,A79)-H79</f>
        <v>1</v>
      </c>
      <c r="J79" s="5" t="str">
        <f t="shared" si="4"/>
        <v>SONDERQUEST</v>
      </c>
      <c r="K79" s="5">
        <v>88</v>
      </c>
      <c r="L79" s="5"/>
      <c r="M79" s="5" t="str">
        <f t="shared" si="5"/>
        <v>Für Medien-, Hidden- oder Bossinhalt vorgesehen; separate Slot- oder Eventregel.</v>
      </c>
    </row>
    <row r="80" spans="1:13" ht="38.1" customHeight="1">
      <c r="A80" s="5" t="s">
        <v>1037</v>
      </c>
      <c r="B80" s="5" t="s">
        <v>248</v>
      </c>
      <c r="C80" s="5" t="s">
        <v>1038</v>
      </c>
      <c r="D80" s="5" t="s">
        <v>545</v>
      </c>
      <c r="E80" s="5" t="s">
        <v>572</v>
      </c>
      <c r="F80" s="5" t="s">
        <v>1039</v>
      </c>
      <c r="G80" s="5" t="s">
        <v>1238</v>
      </c>
      <c r="H80" s="5">
        <f>COUNTIFS(Ortszuordnung!$E$5:$E$85,A80,Ortszuordnung!$B$5:$B$85,"REGULAER")</f>
        <v>1</v>
      </c>
      <c r="I80" s="5">
        <f>COUNTIF(Ortszuordnung!$E$5:$E$85,A80)-H80</f>
        <v>1</v>
      </c>
      <c r="J80" s="5" t="str">
        <f t="shared" si="4"/>
        <v>KERNQUEST</v>
      </c>
      <c r="K80" s="5">
        <v>84</v>
      </c>
      <c r="L80" s="5"/>
      <c r="M80" s="5" t="str">
        <f t="shared" si="5"/>
        <v>In regulärer Quest gruppiert; aktuelle Sicht und blinden Test vor Release abschließen.</v>
      </c>
    </row>
    <row r="81" spans="1:13" ht="38.1" customHeight="1">
      <c r="A81" s="5" t="s">
        <v>1299</v>
      </c>
      <c r="B81" s="5" t="s">
        <v>248</v>
      </c>
      <c r="C81" s="5" t="s">
        <v>1038</v>
      </c>
      <c r="D81" s="5" t="s">
        <v>1300</v>
      </c>
      <c r="E81" s="5" t="s">
        <v>583</v>
      </c>
      <c r="F81" s="5" t="s">
        <v>1301</v>
      </c>
      <c r="G81" s="5"/>
      <c r="H81" s="5">
        <f>COUNTIFS(Ortszuordnung!$E$5:$E$85,A81,Ortszuordnung!$B$5:$B$85,"REGULAER")</f>
        <v>0</v>
      </c>
      <c r="I81" s="5">
        <f>COUNTIF(Ortszuordnung!$E$5:$E$85,A81)-H81</f>
        <v>0</v>
      </c>
      <c r="J81" s="5" t="str">
        <f t="shared" si="4"/>
        <v>RESERVE</v>
      </c>
      <c r="K81" s="5">
        <v>83</v>
      </c>
      <c r="L81" s="5"/>
      <c r="M81" s="5" t="str">
        <f t="shared" si="5"/>
        <v>Als Ersatz- oder späterer Questkandidat erhalten.</v>
      </c>
    </row>
    <row r="82" spans="1:13" ht="38.1" customHeight="1">
      <c r="A82" s="5" t="s">
        <v>1045</v>
      </c>
      <c r="B82" s="5" t="s">
        <v>248</v>
      </c>
      <c r="C82" s="5" t="s">
        <v>1038</v>
      </c>
      <c r="D82" s="5" t="s">
        <v>1046</v>
      </c>
      <c r="E82" s="5" t="s">
        <v>583</v>
      </c>
      <c r="F82" s="5" t="s">
        <v>630</v>
      </c>
      <c r="G82" s="5"/>
      <c r="H82" s="5">
        <f>COUNTIFS(Ortszuordnung!$E$5:$E$85,A82,Ortszuordnung!$B$5:$B$85,"REGULAER")</f>
        <v>1</v>
      </c>
      <c r="I82" s="5">
        <f>COUNTIF(Ortszuordnung!$E$5:$E$85,A82)-H82</f>
        <v>0</v>
      </c>
      <c r="J82" s="5" t="str">
        <f t="shared" si="4"/>
        <v>KERNQUEST</v>
      </c>
      <c r="K82" s="5">
        <v>91</v>
      </c>
      <c r="L82" s="5"/>
      <c r="M82" s="5" t="str">
        <f t="shared" si="5"/>
        <v>In regulärer Quest gruppiert; aktuelle Sicht und blinden Test vor Release abschließen.</v>
      </c>
    </row>
    <row r="83" spans="1:13" ht="38.1" customHeight="1">
      <c r="A83" s="5" t="s">
        <v>1074</v>
      </c>
      <c r="B83" s="5" t="s">
        <v>248</v>
      </c>
      <c r="C83" s="5" t="s">
        <v>945</v>
      </c>
      <c r="D83" s="5" t="s">
        <v>499</v>
      </c>
      <c r="E83" s="5" t="s">
        <v>583</v>
      </c>
      <c r="F83" s="5" t="s">
        <v>1075</v>
      </c>
      <c r="G83" s="5" t="s">
        <v>1240</v>
      </c>
      <c r="H83" s="5">
        <f>COUNTIFS(Ortszuordnung!$E$5:$E$85,A83,Ortszuordnung!$B$5:$B$85,"REGULAER")</f>
        <v>0</v>
      </c>
      <c r="I83" s="5">
        <f>COUNTIF(Ortszuordnung!$E$5:$E$85,A83)-H83</f>
        <v>1</v>
      </c>
      <c r="J83" s="5" t="str">
        <f t="shared" si="4"/>
        <v>SONDERQUEST</v>
      </c>
      <c r="K83" s="5">
        <v>83</v>
      </c>
      <c r="L83" s="5" t="s">
        <v>1082</v>
      </c>
      <c r="M83" s="5" t="str">
        <f t="shared" si="5"/>
        <v>Für Medien-, Hidden- oder Bossinhalt vorgesehen; separate Slot- oder Eventregel.</v>
      </c>
    </row>
    <row r="84" spans="1:13" ht="38.1" customHeight="1">
      <c r="A84" s="5" t="s">
        <v>986</v>
      </c>
      <c r="B84" s="5" t="s">
        <v>248</v>
      </c>
      <c r="C84" s="5" t="s">
        <v>945</v>
      </c>
      <c r="D84" s="5" t="s">
        <v>987</v>
      </c>
      <c r="E84" s="5" t="s">
        <v>583</v>
      </c>
      <c r="F84" s="5" t="s">
        <v>630</v>
      </c>
      <c r="G84" s="5"/>
      <c r="H84" s="5">
        <f>COUNTIFS(Ortszuordnung!$E$5:$E$85,A84,Ortszuordnung!$B$5:$B$85,"REGULAER")</f>
        <v>1</v>
      </c>
      <c r="I84" s="5">
        <f>COUNTIF(Ortszuordnung!$E$5:$E$85,A84)-H84</f>
        <v>0</v>
      </c>
      <c r="J84" s="5" t="str">
        <f t="shared" si="4"/>
        <v>KERNQUEST</v>
      </c>
      <c r="K84" s="5">
        <v>85</v>
      </c>
      <c r="L84" s="5" t="s">
        <v>283</v>
      </c>
      <c r="M84" s="5" t="str">
        <f t="shared" si="5"/>
        <v>In regulärer Quest gruppiert; aktuelle Sicht und blinden Test vor Release abschließen.</v>
      </c>
    </row>
    <row r="85" spans="1:13" ht="38.1" customHeight="1">
      <c r="A85" s="5" t="s">
        <v>973</v>
      </c>
      <c r="B85" s="5" t="s">
        <v>248</v>
      </c>
      <c r="C85" s="5" t="s">
        <v>945</v>
      </c>
      <c r="D85" s="5" t="s">
        <v>748</v>
      </c>
      <c r="E85" s="5" t="s">
        <v>583</v>
      </c>
      <c r="F85" s="5" t="s">
        <v>630</v>
      </c>
      <c r="G85" s="5"/>
      <c r="H85" s="5">
        <f>COUNTIFS(Ortszuordnung!$E$5:$E$85,A85,Ortszuordnung!$B$5:$B$85,"REGULAER")</f>
        <v>1</v>
      </c>
      <c r="I85" s="5">
        <f>COUNTIF(Ortszuordnung!$E$5:$E$85,A85)-H85</f>
        <v>0</v>
      </c>
      <c r="J85" s="5" t="str">
        <f t="shared" si="4"/>
        <v>KERNQUEST</v>
      </c>
      <c r="K85" s="5">
        <v>88</v>
      </c>
      <c r="L85" s="5" t="s">
        <v>1302</v>
      </c>
      <c r="M85" s="5" t="str">
        <f t="shared" si="5"/>
        <v>In regulärer Quest gruppiert; aktuelle Sicht und blinden Test vor Release abschließen.</v>
      </c>
    </row>
    <row r="86" spans="1:13" ht="38.1" customHeight="1">
      <c r="A86" s="5" t="s">
        <v>1084</v>
      </c>
      <c r="B86" s="5" t="s">
        <v>248</v>
      </c>
      <c r="C86" s="5" t="s">
        <v>901</v>
      </c>
      <c r="D86" s="5" t="s">
        <v>509</v>
      </c>
      <c r="E86" s="5" t="s">
        <v>583</v>
      </c>
      <c r="F86" s="5" t="s">
        <v>594</v>
      </c>
      <c r="G86" s="5"/>
      <c r="H86" s="5">
        <f>COUNTIFS(Ortszuordnung!$E$5:$E$85,A86,Ortszuordnung!$B$5:$B$85,"REGULAER")</f>
        <v>0</v>
      </c>
      <c r="I86" s="5">
        <f>COUNTIF(Ortszuordnung!$E$5:$E$85,A86)-H86</f>
        <v>1</v>
      </c>
      <c r="J86" s="5" t="str">
        <f t="shared" si="4"/>
        <v>SONDERQUEST</v>
      </c>
      <c r="K86" s="5">
        <v>83</v>
      </c>
      <c r="L86" s="5" t="s">
        <v>1091</v>
      </c>
      <c r="M86" s="5" t="str">
        <f t="shared" si="5"/>
        <v>Für Medien-, Hidden- oder Bossinhalt vorgesehen; separate Slot- oder Eventregel.</v>
      </c>
    </row>
    <row r="87" spans="1:13" ht="38.1" customHeight="1">
      <c r="A87" s="5" t="s">
        <v>1061</v>
      </c>
      <c r="B87" s="5" t="s">
        <v>248</v>
      </c>
      <c r="C87" s="5" t="s">
        <v>1038</v>
      </c>
      <c r="D87" s="5" t="s">
        <v>314</v>
      </c>
      <c r="E87" s="5" t="s">
        <v>583</v>
      </c>
      <c r="F87" s="5" t="s">
        <v>1016</v>
      </c>
      <c r="G87" s="5"/>
      <c r="H87" s="5">
        <f>COUNTIFS(Ortszuordnung!$E$5:$E$85,A87,Ortszuordnung!$B$5:$B$85,"REGULAER")</f>
        <v>1</v>
      </c>
      <c r="I87" s="5">
        <f>COUNTIF(Ortszuordnung!$E$5:$E$85,A87)-H87</f>
        <v>0</v>
      </c>
      <c r="J87" s="5" t="str">
        <f t="shared" si="4"/>
        <v>KERNQUEST</v>
      </c>
      <c r="K87" s="5"/>
      <c r="L87" s="5" t="s">
        <v>316</v>
      </c>
      <c r="M87" s="5" t="str">
        <f t="shared" si="5"/>
        <v>In regulärer Quest gruppiert; aktuelle Sicht und blinden Test vor Release abschließen.</v>
      </c>
    </row>
    <row r="88" spans="1:13" ht="38.1" customHeight="1">
      <c r="A88" s="5" t="s">
        <v>1303</v>
      </c>
      <c r="B88" s="5" t="s">
        <v>248</v>
      </c>
      <c r="C88" s="5" t="s">
        <v>924</v>
      </c>
      <c r="D88" s="5" t="s">
        <v>1304</v>
      </c>
      <c r="E88" s="5" t="s">
        <v>1267</v>
      </c>
      <c r="F88" s="5" t="s">
        <v>1284</v>
      </c>
      <c r="G88" s="5"/>
      <c r="H88" s="5">
        <f>COUNTIFS(Ortszuordnung!$E$5:$E$85,A88,Ortszuordnung!$B$5:$B$85,"REGULAER")</f>
        <v>0</v>
      </c>
      <c r="I88" s="5">
        <f>COUNTIF(Ortszuordnung!$E$5:$E$85,A88)-H88</f>
        <v>0</v>
      </c>
      <c r="J88" s="5" t="str">
        <f t="shared" si="4"/>
        <v>AUSSCHLUSS</v>
      </c>
      <c r="K88" s="5">
        <v>80</v>
      </c>
      <c r="L88" s="5" t="s">
        <v>1305</v>
      </c>
      <c r="M88" s="5" t="str">
        <f t="shared" si="5"/>
        <v>Nicht als Pflichtort; nur nach neuer Evidenz neu bewerten.</v>
      </c>
    </row>
    <row r="89" spans="1:13" ht="38.1" customHeight="1">
      <c r="A89" s="5" t="s">
        <v>1306</v>
      </c>
      <c r="B89" s="5" t="s">
        <v>248</v>
      </c>
      <c r="C89" s="5" t="s">
        <v>924</v>
      </c>
      <c r="D89" s="5" t="s">
        <v>1307</v>
      </c>
      <c r="E89" s="5" t="s">
        <v>572</v>
      </c>
      <c r="F89" s="5" t="s">
        <v>1093</v>
      </c>
      <c r="G89" s="5"/>
      <c r="H89" s="5">
        <f>COUNTIFS(Ortszuordnung!$E$5:$E$85,A89,Ortszuordnung!$B$5:$B$85,"REGULAER")</f>
        <v>0</v>
      </c>
      <c r="I89" s="5">
        <f>COUNTIF(Ortszuordnung!$E$5:$E$85,A89)-H89</f>
        <v>0</v>
      </c>
      <c r="J89" s="5" t="str">
        <f t="shared" si="4"/>
        <v>RESERVE</v>
      </c>
      <c r="K89" s="5">
        <v>86</v>
      </c>
      <c r="L89" s="5" t="s">
        <v>1308</v>
      </c>
      <c r="M89" s="5" t="str">
        <f t="shared" si="5"/>
        <v>Als Ersatz- oder späterer Questkandidat erhalten.</v>
      </c>
    </row>
    <row r="90" spans="1:13" ht="38.1" customHeight="1">
      <c r="A90" s="5" t="s">
        <v>1028</v>
      </c>
      <c r="B90" s="5" t="s">
        <v>248</v>
      </c>
      <c r="C90" s="5" t="s">
        <v>1001</v>
      </c>
      <c r="D90" s="5" t="s">
        <v>1029</v>
      </c>
      <c r="E90" s="5" t="s">
        <v>572</v>
      </c>
      <c r="F90" s="5" t="s">
        <v>1030</v>
      </c>
      <c r="G90" s="5"/>
      <c r="H90" s="5">
        <f>COUNTIFS(Ortszuordnung!$E$5:$E$85,A90,Ortszuordnung!$B$5:$B$85,"REGULAER")</f>
        <v>1</v>
      </c>
      <c r="I90" s="5">
        <f>COUNTIF(Ortszuordnung!$E$5:$E$85,A90)-H90</f>
        <v>0</v>
      </c>
      <c r="J90" s="5" t="str">
        <f t="shared" si="4"/>
        <v>KERNQUEST</v>
      </c>
      <c r="K90" s="5">
        <v>89</v>
      </c>
      <c r="L90" s="5" t="s">
        <v>302</v>
      </c>
      <c r="M90" s="5" t="str">
        <f t="shared" si="5"/>
        <v>In regulärer Quest gruppiert; aktuelle Sicht und blinden Test vor Release abschließen.</v>
      </c>
    </row>
    <row r="91" spans="1:13" ht="38.1" customHeight="1">
      <c r="A91" s="5" t="s">
        <v>1052</v>
      </c>
      <c r="B91" s="5" t="s">
        <v>248</v>
      </c>
      <c r="C91" s="5" t="s">
        <v>1054</v>
      </c>
      <c r="D91" s="5" t="s">
        <v>1053</v>
      </c>
      <c r="E91" s="5" t="s">
        <v>583</v>
      </c>
      <c r="F91" s="5" t="s">
        <v>653</v>
      </c>
      <c r="G91" s="5"/>
      <c r="H91" s="5">
        <f>COUNTIFS(Ortszuordnung!$E$5:$E$85,A91,Ortszuordnung!$B$5:$B$85,"REGULAER")</f>
        <v>1</v>
      </c>
      <c r="I91" s="5">
        <f>COUNTIF(Ortszuordnung!$E$5:$E$85,A91)-H91</f>
        <v>0</v>
      </c>
      <c r="J91" s="5" t="str">
        <f t="shared" si="4"/>
        <v>KERNQUEST</v>
      </c>
      <c r="K91" s="5">
        <v>82</v>
      </c>
      <c r="L91" s="5" t="s">
        <v>309</v>
      </c>
      <c r="M91" s="5" t="str">
        <f t="shared" si="5"/>
        <v>In regulärer Quest gruppiert; aktuelle Sicht und blinden Test vor Release abschließen.</v>
      </c>
    </row>
    <row r="92" spans="1:13" ht="38.1" customHeight="1">
      <c r="A92" s="5" t="s">
        <v>1108</v>
      </c>
      <c r="B92" s="5" t="s">
        <v>248</v>
      </c>
      <c r="C92" s="5" t="s">
        <v>1054</v>
      </c>
      <c r="D92" s="5" t="s">
        <v>535</v>
      </c>
      <c r="E92" s="5" t="s">
        <v>572</v>
      </c>
      <c r="F92" s="5" t="s">
        <v>1093</v>
      </c>
      <c r="G92" s="5"/>
      <c r="H92" s="5">
        <f>COUNTIFS(Ortszuordnung!$E$5:$E$85,A92,Ortszuordnung!$B$5:$B$85,"REGULAER")</f>
        <v>0</v>
      </c>
      <c r="I92" s="5">
        <f>COUNTIF(Ortszuordnung!$E$5:$E$85,A92)-H92</f>
        <v>1</v>
      </c>
      <c r="J92" s="5" t="str">
        <f t="shared" si="4"/>
        <v>SONDERQUEST</v>
      </c>
      <c r="K92" s="5">
        <v>88</v>
      </c>
      <c r="L92" s="5" t="s">
        <v>1115</v>
      </c>
      <c r="M92" s="5" t="str">
        <f t="shared" si="5"/>
        <v>Für Medien-, Hidden- oder Bossinhalt vorgesehen; separate Slot- oder Eventregel.</v>
      </c>
    </row>
    <row r="93" spans="1:13" ht="38.1" customHeight="1">
      <c r="A93" s="5" t="s">
        <v>978</v>
      </c>
      <c r="B93" s="5" t="s">
        <v>248</v>
      </c>
      <c r="C93" s="5" t="s">
        <v>945</v>
      </c>
      <c r="D93" s="5" t="s">
        <v>979</v>
      </c>
      <c r="E93" s="5" t="s">
        <v>583</v>
      </c>
      <c r="F93" s="5" t="s">
        <v>980</v>
      </c>
      <c r="G93" s="5"/>
      <c r="H93" s="5">
        <f>COUNTIFS(Ortszuordnung!$E$5:$E$85,A93,Ortszuordnung!$B$5:$B$85,"REGULAER")</f>
        <v>1</v>
      </c>
      <c r="I93" s="5">
        <f>COUNTIF(Ortszuordnung!$E$5:$E$85,A93)-H93</f>
        <v>0</v>
      </c>
      <c r="J93" s="5" t="str">
        <f t="shared" si="4"/>
        <v>KERNQUEST</v>
      </c>
      <c r="K93" s="5">
        <v>85</v>
      </c>
      <c r="L93" s="5" t="s">
        <v>1309</v>
      </c>
      <c r="M93" s="5" t="str">
        <f t="shared" si="5"/>
        <v>In regulärer Quest gruppiert; aktuelle Sicht und blinden Test vor Release abschließen.</v>
      </c>
    </row>
    <row r="94" spans="1:13" ht="38.1" customHeight="1">
      <c r="A94" s="6" t="s">
        <v>1310</v>
      </c>
      <c r="B94" s="6" t="s">
        <v>248</v>
      </c>
      <c r="C94" s="6" t="s">
        <v>1001</v>
      </c>
      <c r="D94" s="6" t="s">
        <v>1311</v>
      </c>
      <c r="E94" s="6" t="s">
        <v>1267</v>
      </c>
      <c r="F94" s="6" t="s">
        <v>1312</v>
      </c>
      <c r="G94" s="6"/>
      <c r="H94" s="6">
        <f>COUNTIFS(Ortszuordnung!$E$5:$E$85,A94,Ortszuordnung!$B$5:$B$85,"REGULAER")</f>
        <v>0</v>
      </c>
      <c r="I94" s="6">
        <f>COUNTIF(Ortszuordnung!$E$5:$E$85,A94)-H94</f>
        <v>0</v>
      </c>
      <c r="J94" s="6" t="str">
        <f t="shared" si="4"/>
        <v>AUSSCHLUSS</v>
      </c>
      <c r="K94" s="6">
        <v>84</v>
      </c>
      <c r="L94" s="6" t="s">
        <v>1313</v>
      </c>
      <c r="M94" s="6" t="str">
        <f t="shared" si="5"/>
        <v>Nicht als Pflichtort; nur nach neuer Evidenz neu bewerten.</v>
      </c>
    </row>
  </sheetData>
  <mergeCells count="2">
    <mergeCell ref="A1:M1"/>
    <mergeCell ref="A2:M2"/>
  </mergeCells>
  <conditionalFormatting sqref="J5:J94">
    <cfRule type="containsText" dxfId="26" priority="1" operator="containsText" text="KERNQUEST"/>
    <cfRule type="containsText" dxfId="25" priority="2" operator="containsText" text="SONDERQUEST"/>
    <cfRule type="containsText" dxfId="24" priority="3" operator="containsText" text="AUSSCHLUSS"/>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6"/>
  <sheetViews>
    <sheetView showGridLines="0" workbookViewId="0">
      <selection sqref="A1:F1"/>
    </sheetView>
  </sheetViews>
  <sheetFormatPr baseColWidth="10" defaultColWidth="9" defaultRowHeight="14.25"/>
  <cols>
    <col min="1" max="2" width="25" customWidth="1"/>
    <col min="3" max="4" width="42" customWidth="1"/>
    <col min="5" max="6" width="3" customWidth="1"/>
  </cols>
  <sheetData>
    <row r="1" spans="1:6" ht="30" customHeight="1">
      <c r="A1" s="71" t="s">
        <v>1314</v>
      </c>
      <c r="B1" s="71"/>
      <c r="C1" s="71"/>
      <c r="D1" s="71"/>
      <c r="E1" s="71"/>
      <c r="F1" s="71"/>
    </row>
    <row r="2" spans="1:6" ht="32.1" customHeight="1">
      <c r="A2" s="72" t="s">
        <v>1315</v>
      </c>
      <c r="B2" s="72"/>
      <c r="C2" s="72"/>
      <c r="D2" s="72"/>
      <c r="E2" s="72"/>
      <c r="F2" s="72"/>
    </row>
    <row r="4" spans="1:6">
      <c r="A4" s="1" t="s">
        <v>1316</v>
      </c>
      <c r="B4" s="1" t="s">
        <v>1317</v>
      </c>
      <c r="C4" s="2"/>
      <c r="D4" s="2"/>
      <c r="E4" s="2"/>
      <c r="F4" s="2"/>
    </row>
    <row r="5" spans="1:6">
      <c r="A5" s="2" t="s">
        <v>1318</v>
      </c>
      <c r="B5" s="2">
        <v>75</v>
      </c>
      <c r="C5" s="2"/>
      <c r="D5" s="2"/>
      <c r="E5" s="2"/>
      <c r="F5" s="2"/>
    </row>
    <row r="6" spans="1:6">
      <c r="A6" s="2" t="s">
        <v>1319</v>
      </c>
      <c r="B6" s="2">
        <v>1.25</v>
      </c>
      <c r="C6" s="2"/>
      <c r="D6" s="2"/>
      <c r="E6" s="2"/>
      <c r="F6" s="2"/>
    </row>
    <row r="7" spans="1:6">
      <c r="A7" s="2" t="s">
        <v>1320</v>
      </c>
      <c r="B7" s="3">
        <v>0.2</v>
      </c>
      <c r="C7" s="2"/>
      <c r="D7" s="2"/>
      <c r="E7" s="2"/>
      <c r="F7" s="2"/>
    </row>
    <row r="8" spans="1:6">
      <c r="A8" s="2" t="s">
        <v>1321</v>
      </c>
      <c r="B8" s="3">
        <v>0.25</v>
      </c>
      <c r="C8" s="2"/>
      <c r="D8" s="2"/>
      <c r="E8" s="2"/>
      <c r="F8" s="2"/>
    </row>
    <row r="9" spans="1:6">
      <c r="A9" s="2" t="s">
        <v>1322</v>
      </c>
      <c r="B9" s="3">
        <v>0.25</v>
      </c>
      <c r="C9" s="2"/>
      <c r="D9" s="2"/>
      <c r="E9" s="2"/>
      <c r="F9" s="2"/>
    </row>
    <row r="10" spans="1:6">
      <c r="A10" s="2" t="s">
        <v>1323</v>
      </c>
      <c r="B10" s="3">
        <v>0.15</v>
      </c>
      <c r="C10" s="2"/>
      <c r="D10" s="2"/>
      <c r="E10" s="2"/>
      <c r="F10" s="2"/>
    </row>
    <row r="11" spans="1:6">
      <c r="A11" s="2" t="s">
        <v>1324</v>
      </c>
      <c r="B11" s="3">
        <v>0.15</v>
      </c>
      <c r="C11" s="2"/>
      <c r="D11" s="2"/>
      <c r="E11" s="2"/>
      <c r="F11" s="2"/>
    </row>
    <row r="12" spans="1:6">
      <c r="A12" s="2"/>
      <c r="B12" s="2"/>
      <c r="C12" s="2"/>
      <c r="D12" s="2"/>
      <c r="E12" s="2"/>
      <c r="F12" s="2"/>
    </row>
    <row r="13" spans="1:6">
      <c r="A13" s="1" t="s">
        <v>27</v>
      </c>
      <c r="B13" s="1" t="s">
        <v>1325</v>
      </c>
      <c r="C13" s="1" t="s">
        <v>48</v>
      </c>
      <c r="D13" s="1" t="s">
        <v>1326</v>
      </c>
      <c r="E13" s="1"/>
      <c r="F13" s="1"/>
    </row>
    <row r="14" spans="1:6">
      <c r="A14" s="2" t="s">
        <v>1327</v>
      </c>
      <c r="B14" s="2">
        <v>4.2</v>
      </c>
      <c r="C14" s="2" t="s">
        <v>1328</v>
      </c>
      <c r="D14" s="2" t="s">
        <v>1329</v>
      </c>
      <c r="E14" s="2"/>
      <c r="F14" s="2"/>
    </row>
    <row r="15" spans="1:6">
      <c r="A15" s="2" t="s">
        <v>1330</v>
      </c>
      <c r="B15" s="2">
        <v>3.6</v>
      </c>
      <c r="C15" s="2" t="s">
        <v>1331</v>
      </c>
      <c r="D15" s="2" t="s">
        <v>1332</v>
      </c>
      <c r="E15" s="2"/>
      <c r="F15" s="2"/>
    </row>
    <row r="16" spans="1:6">
      <c r="A16" s="2" t="s">
        <v>1191</v>
      </c>
      <c r="B16" s="2">
        <v>3</v>
      </c>
      <c r="C16" s="2" t="s">
        <v>1333</v>
      </c>
      <c r="D16" s="2" t="s">
        <v>1334</v>
      </c>
      <c r="E16" s="2"/>
      <c r="F16" s="2"/>
    </row>
    <row r="17" spans="1:6">
      <c r="A17" s="2" t="s">
        <v>1335</v>
      </c>
      <c r="B17" s="2">
        <v>0</v>
      </c>
      <c r="C17" s="2" t="s">
        <v>1336</v>
      </c>
      <c r="D17" s="2" t="s">
        <v>1337</v>
      </c>
      <c r="E17" s="2"/>
      <c r="F17" s="2"/>
    </row>
    <row r="18" spans="1:6">
      <c r="A18" s="2" t="s">
        <v>1338</v>
      </c>
      <c r="B18" s="2" t="s">
        <v>1339</v>
      </c>
      <c r="C18" s="2" t="s">
        <v>1340</v>
      </c>
      <c r="D18" s="2"/>
      <c r="E18" s="2"/>
      <c r="F18" s="2"/>
    </row>
    <row r="19" spans="1:6">
      <c r="A19" s="2"/>
      <c r="B19" s="2"/>
      <c r="C19" s="2"/>
      <c r="D19" s="2"/>
      <c r="E19" s="2"/>
      <c r="F19" s="2"/>
    </row>
    <row r="20" spans="1:6">
      <c r="A20" s="1" t="s">
        <v>1341</v>
      </c>
      <c r="B20" s="1" t="s">
        <v>1342</v>
      </c>
      <c r="C20" s="1" t="s">
        <v>37</v>
      </c>
      <c r="D20" s="1"/>
      <c r="E20" s="1"/>
      <c r="F20" s="1"/>
    </row>
    <row r="21" spans="1:6" ht="28.5">
      <c r="A21" s="2" t="s">
        <v>1343</v>
      </c>
      <c r="B21" s="2" t="s">
        <v>1344</v>
      </c>
      <c r="C21" s="2" t="s">
        <v>1345</v>
      </c>
      <c r="D21" s="2"/>
      <c r="E21" s="2"/>
      <c r="F21" s="2"/>
    </row>
    <row r="22" spans="1:6" ht="28.5">
      <c r="A22" s="2" t="s">
        <v>1346</v>
      </c>
      <c r="B22" s="2" t="s">
        <v>1347</v>
      </c>
      <c r="C22" s="2" t="s">
        <v>1348</v>
      </c>
      <c r="D22" s="2"/>
      <c r="E22" s="2"/>
      <c r="F22" s="2"/>
    </row>
    <row r="23" spans="1:6" ht="28.5">
      <c r="A23" s="2" t="s">
        <v>1349</v>
      </c>
      <c r="B23" s="2" t="s">
        <v>1350</v>
      </c>
      <c r="C23" s="2" t="s">
        <v>1351</v>
      </c>
      <c r="D23" s="2"/>
      <c r="E23" s="2"/>
      <c r="F23" s="2"/>
    </row>
    <row r="24" spans="1:6" ht="28.5">
      <c r="A24" s="2" t="s">
        <v>1352</v>
      </c>
      <c r="B24" s="2" t="s">
        <v>1353</v>
      </c>
      <c r="C24" s="2" t="s">
        <v>1354</v>
      </c>
      <c r="D24" s="2"/>
      <c r="E24" s="2"/>
      <c r="F24" s="2"/>
    </row>
    <row r="25" spans="1:6" ht="28.5">
      <c r="A25" s="2" t="s">
        <v>1355</v>
      </c>
      <c r="B25" s="2" t="s">
        <v>1356</v>
      </c>
      <c r="C25" s="2" t="s">
        <v>1357</v>
      </c>
      <c r="D25" s="2"/>
      <c r="E25" s="2"/>
      <c r="F25" s="2"/>
    </row>
    <row r="26" spans="1:6" ht="28.5">
      <c r="A26" s="2" t="s">
        <v>1358</v>
      </c>
      <c r="B26" s="2" t="s">
        <v>1359</v>
      </c>
      <c r="C26" s="2" t="s">
        <v>1360</v>
      </c>
      <c r="D26" s="2"/>
      <c r="E26" s="2"/>
      <c r="F26" s="2"/>
    </row>
  </sheetData>
  <mergeCells count="2">
    <mergeCell ref="A1:F1"/>
    <mergeCell ref="A2:F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16"/>
  <sheetViews>
    <sheetView showGridLines="0" topLeftCell="V1" workbookViewId="0">
      <selection activeCell="AF16" sqref="AF16"/>
    </sheetView>
  </sheetViews>
  <sheetFormatPr baseColWidth="10" defaultColWidth="9" defaultRowHeight="14.25"/>
  <cols>
    <col min="1" max="1" width="6" customWidth="1"/>
    <col min="2" max="2" width="14" customWidth="1"/>
    <col min="3" max="3" width="16" customWidth="1"/>
    <col min="4" max="4" width="10" customWidth="1"/>
    <col min="5" max="5" width="34" customWidth="1"/>
    <col min="6" max="6" width="30" customWidth="1"/>
    <col min="7" max="7" width="31" customWidth="1"/>
    <col min="8" max="8" width="28" customWidth="1"/>
    <col min="9" max="9" width="26" customWidth="1"/>
    <col min="10" max="10" width="47" customWidth="1"/>
    <col min="11" max="11" width="19" customWidth="1"/>
    <col min="12" max="12" width="11" customWidth="1"/>
    <col min="13" max="13" width="13" customWidth="1"/>
    <col min="14" max="14" width="10" customWidth="1"/>
    <col min="15" max="15" width="13" customWidth="1"/>
    <col min="16" max="16" width="12" customWidth="1"/>
    <col min="17" max="17" width="16" customWidth="1"/>
    <col min="18" max="18" width="47" customWidth="1"/>
    <col min="19" max="19" width="52" customWidth="1"/>
    <col min="20" max="20" width="27" customWidth="1"/>
    <col min="21" max="22" width="44" customWidth="1"/>
    <col min="23" max="23" width="28" customWidth="1"/>
    <col min="24" max="24" width="11" customWidth="1"/>
    <col min="25" max="25" width="25" customWidth="1"/>
    <col min="26" max="27" width="58" customWidth="1"/>
    <col min="28" max="28" width="55" customWidth="1"/>
    <col min="29" max="29" width="38" customWidth="1"/>
    <col min="30" max="30" width="24" customWidth="1"/>
    <col min="31" max="31" width="72" customWidth="1"/>
    <col min="32" max="32" width="24" customWidth="1"/>
  </cols>
  <sheetData>
    <row r="1" spans="1:32" ht="27.95" customHeight="1">
      <c r="A1" s="73" t="s">
        <v>1361</v>
      </c>
      <c r="B1" s="73"/>
      <c r="C1" s="73"/>
      <c r="D1" s="73"/>
      <c r="E1" s="73"/>
      <c r="F1" s="73"/>
      <c r="G1" s="73"/>
      <c r="H1" s="73"/>
      <c r="I1" s="73"/>
      <c r="J1" s="73"/>
      <c r="K1" s="73"/>
      <c r="L1" s="73"/>
      <c r="M1" s="73"/>
      <c r="N1" s="73"/>
      <c r="O1" s="73"/>
      <c r="P1" s="73"/>
      <c r="Q1" s="73"/>
      <c r="R1" s="73"/>
      <c r="S1" s="73"/>
      <c r="T1" s="73"/>
      <c r="U1" s="73"/>
      <c r="V1" s="73"/>
      <c r="W1" s="73"/>
      <c r="X1" s="74"/>
      <c r="Y1" s="74"/>
      <c r="Z1" s="74"/>
      <c r="AA1" s="74"/>
      <c r="AB1" s="74"/>
      <c r="AC1" s="74"/>
      <c r="AD1" s="74"/>
      <c r="AE1" s="74"/>
      <c r="AF1" s="74"/>
    </row>
    <row r="2" spans="1:32" ht="38.1" customHeight="1">
      <c r="A2" s="75" t="s">
        <v>1362</v>
      </c>
      <c r="B2" s="75"/>
      <c r="C2" s="75"/>
      <c r="D2" s="75"/>
      <c r="E2" s="75"/>
      <c r="F2" s="75"/>
      <c r="G2" s="75"/>
      <c r="H2" s="75"/>
      <c r="I2" s="75"/>
      <c r="J2" s="75"/>
      <c r="K2" s="75"/>
      <c r="L2" s="75"/>
      <c r="M2" s="75"/>
      <c r="N2" s="75"/>
      <c r="O2" s="75"/>
      <c r="P2" s="75"/>
      <c r="Q2" s="75"/>
      <c r="R2" s="75"/>
      <c r="S2" s="75"/>
      <c r="T2" s="75"/>
      <c r="U2" s="75"/>
      <c r="V2" s="75"/>
      <c r="W2" s="75"/>
      <c r="X2" s="74"/>
      <c r="Y2" s="74"/>
      <c r="Z2" s="74"/>
      <c r="AA2" s="74"/>
      <c r="AB2" s="74"/>
      <c r="AC2" s="74"/>
      <c r="AD2" s="74"/>
      <c r="AE2" s="74"/>
      <c r="AF2" s="74"/>
    </row>
    <row r="3" spans="1:32">
      <c r="A3" s="26"/>
      <c r="B3" s="26"/>
      <c r="C3" s="26"/>
      <c r="D3" s="26"/>
      <c r="E3" s="26"/>
      <c r="F3" s="26"/>
      <c r="G3" s="26"/>
      <c r="H3" s="26"/>
      <c r="I3" s="26"/>
      <c r="J3" s="26"/>
      <c r="K3" s="26"/>
      <c r="L3" s="26"/>
      <c r="M3" s="26"/>
      <c r="N3" s="26"/>
      <c r="O3" s="26"/>
      <c r="P3" s="26"/>
      <c r="Q3" s="26"/>
      <c r="R3" s="26"/>
      <c r="S3" s="26"/>
      <c r="T3" s="26"/>
      <c r="U3" s="26"/>
      <c r="V3" s="26"/>
      <c r="W3" s="26"/>
    </row>
    <row r="4" spans="1:32" ht="42" customHeight="1">
      <c r="A4" s="27" t="s">
        <v>96</v>
      </c>
      <c r="B4" s="27" t="s">
        <v>1363</v>
      </c>
      <c r="C4" s="27" t="s">
        <v>1364</v>
      </c>
      <c r="D4" s="27" t="s">
        <v>98</v>
      </c>
      <c r="E4" s="27" t="s">
        <v>552</v>
      </c>
      <c r="F4" s="27" t="s">
        <v>553</v>
      </c>
      <c r="G4" s="27" t="s">
        <v>555</v>
      </c>
      <c r="H4" s="27" t="s">
        <v>1365</v>
      </c>
      <c r="I4" s="27" t="s">
        <v>1366</v>
      </c>
      <c r="J4" s="27" t="s">
        <v>1367</v>
      </c>
      <c r="K4" s="27" t="s">
        <v>1368</v>
      </c>
      <c r="L4" s="27" t="s">
        <v>1369</v>
      </c>
      <c r="M4" s="27" t="s">
        <v>1370</v>
      </c>
      <c r="N4" s="27" t="s">
        <v>1371</v>
      </c>
      <c r="O4" s="27" t="s">
        <v>1372</v>
      </c>
      <c r="P4" s="27" t="s">
        <v>122</v>
      </c>
      <c r="Q4" s="27" t="s">
        <v>123</v>
      </c>
      <c r="R4" s="27" t="s">
        <v>1373</v>
      </c>
      <c r="S4" s="27" t="s">
        <v>1374</v>
      </c>
      <c r="T4" s="27" t="s">
        <v>1202</v>
      </c>
      <c r="U4" s="27" t="s">
        <v>1375</v>
      </c>
      <c r="V4" s="27" t="s">
        <v>564</v>
      </c>
      <c r="W4" s="27" t="s">
        <v>1376</v>
      </c>
      <c r="X4" s="39" t="s">
        <v>1377</v>
      </c>
      <c r="Y4" s="39" t="s">
        <v>1378</v>
      </c>
      <c r="Z4" s="39" t="s">
        <v>1379</v>
      </c>
      <c r="AA4" s="39" t="s">
        <v>1380</v>
      </c>
      <c r="AB4" s="39" t="s">
        <v>1381</v>
      </c>
      <c r="AC4" s="39" t="s">
        <v>1382</v>
      </c>
      <c r="AD4" s="39" t="s">
        <v>1383</v>
      </c>
      <c r="AE4" s="39" t="s">
        <v>1384</v>
      </c>
      <c r="AF4" s="39" t="s">
        <v>1385</v>
      </c>
    </row>
    <row r="5" spans="1:32" ht="108" customHeight="1">
      <c r="A5" s="30">
        <v>1</v>
      </c>
      <c r="B5" s="28" t="s">
        <v>1386</v>
      </c>
      <c r="C5" s="30" t="s">
        <v>1387</v>
      </c>
      <c r="D5" s="30" t="s">
        <v>127</v>
      </c>
      <c r="E5" s="28" t="s">
        <v>1067</v>
      </c>
      <c r="F5" s="28" t="s">
        <v>483</v>
      </c>
      <c r="G5" s="28" t="s">
        <v>571</v>
      </c>
      <c r="H5" s="28" t="s">
        <v>1249</v>
      </c>
      <c r="I5" s="28" t="s">
        <v>1388</v>
      </c>
      <c r="J5" s="28" t="s">
        <v>1389</v>
      </c>
      <c r="K5" s="30" t="s">
        <v>1390</v>
      </c>
      <c r="L5" s="32">
        <v>5</v>
      </c>
      <c r="M5" s="32">
        <v>5</v>
      </c>
      <c r="N5" s="32">
        <v>5</v>
      </c>
      <c r="O5" s="32">
        <v>3</v>
      </c>
      <c r="P5" s="34">
        <v>4.5</v>
      </c>
      <c r="Q5" s="30" t="s">
        <v>1327</v>
      </c>
      <c r="R5" s="28" t="s">
        <v>1391</v>
      </c>
      <c r="S5" s="28" t="s">
        <v>1392</v>
      </c>
      <c r="T5" s="30" t="s">
        <v>630</v>
      </c>
      <c r="U5" s="28" t="s">
        <v>1071</v>
      </c>
      <c r="V5" s="28" t="s">
        <v>1072</v>
      </c>
      <c r="W5" s="28" t="s">
        <v>1393</v>
      </c>
      <c r="X5" s="40" t="s">
        <v>1394</v>
      </c>
      <c r="Y5" s="40" t="s">
        <v>1395</v>
      </c>
      <c r="Z5" s="40" t="s">
        <v>1396</v>
      </c>
      <c r="AA5" s="40" t="s">
        <v>1397</v>
      </c>
      <c r="AB5" s="40" t="s">
        <v>1398</v>
      </c>
      <c r="AC5" s="40" t="s">
        <v>1399</v>
      </c>
      <c r="AD5" s="48"/>
      <c r="AE5" s="40" t="s">
        <v>1400</v>
      </c>
      <c r="AF5" s="40" t="s">
        <v>6056</v>
      </c>
    </row>
    <row r="6" spans="1:32" ht="108" customHeight="1">
      <c r="A6" s="31">
        <v>2</v>
      </c>
      <c r="B6" s="29" t="s">
        <v>1402</v>
      </c>
      <c r="C6" s="31" t="s">
        <v>1387</v>
      </c>
      <c r="D6" s="31" t="s">
        <v>127</v>
      </c>
      <c r="E6" s="29" t="s">
        <v>637</v>
      </c>
      <c r="F6" s="29" t="s">
        <v>638</v>
      </c>
      <c r="G6" s="29" t="s">
        <v>629</v>
      </c>
      <c r="H6" s="29" t="s">
        <v>1250</v>
      </c>
      <c r="I6" s="29" t="s">
        <v>1403</v>
      </c>
      <c r="J6" s="29" t="s">
        <v>1404</v>
      </c>
      <c r="K6" s="31" t="s">
        <v>1390</v>
      </c>
      <c r="L6" s="33">
        <v>5</v>
      </c>
      <c r="M6" s="33">
        <v>5</v>
      </c>
      <c r="N6" s="33">
        <v>5</v>
      </c>
      <c r="O6" s="33">
        <v>4</v>
      </c>
      <c r="P6" s="35">
        <v>4.8</v>
      </c>
      <c r="Q6" s="31" t="s">
        <v>1327</v>
      </c>
      <c r="R6" s="29" t="s">
        <v>1405</v>
      </c>
      <c r="S6" s="29" t="s">
        <v>1406</v>
      </c>
      <c r="T6" s="31" t="s">
        <v>630</v>
      </c>
      <c r="U6" s="29" t="s">
        <v>642</v>
      </c>
      <c r="V6" s="29" t="s">
        <v>643</v>
      </c>
      <c r="W6" s="29" t="s">
        <v>1393</v>
      </c>
      <c r="X6" s="41" t="s">
        <v>1407</v>
      </c>
      <c r="Y6" s="41" t="s">
        <v>1408</v>
      </c>
      <c r="Z6" s="41" t="s">
        <v>1409</v>
      </c>
      <c r="AA6" s="41" t="s">
        <v>1410</v>
      </c>
      <c r="AB6" s="41" t="s">
        <v>1411</v>
      </c>
      <c r="AC6" s="41" t="s">
        <v>1412</v>
      </c>
      <c r="AD6" s="48"/>
      <c r="AE6" s="41" t="s">
        <v>1413</v>
      </c>
      <c r="AF6" s="40" t="s">
        <v>6056</v>
      </c>
    </row>
    <row r="7" spans="1:32" ht="108" customHeight="1">
      <c r="A7" s="30">
        <v>3</v>
      </c>
      <c r="B7" s="28" t="s">
        <v>1414</v>
      </c>
      <c r="C7" s="30" t="s">
        <v>1387</v>
      </c>
      <c r="D7" s="30" t="s">
        <v>127</v>
      </c>
      <c r="E7" s="28" t="s">
        <v>659</v>
      </c>
      <c r="F7" s="28" t="s">
        <v>660</v>
      </c>
      <c r="G7" s="28" t="s">
        <v>629</v>
      </c>
      <c r="H7" s="28" t="s">
        <v>1271</v>
      </c>
      <c r="I7" s="28" t="s">
        <v>1415</v>
      </c>
      <c r="J7" s="28" t="s">
        <v>1416</v>
      </c>
      <c r="K7" s="30" t="s">
        <v>1390</v>
      </c>
      <c r="L7" s="32">
        <v>5</v>
      </c>
      <c r="M7" s="32">
        <v>5</v>
      </c>
      <c r="N7" s="32">
        <v>5</v>
      </c>
      <c r="O7" s="32">
        <v>4</v>
      </c>
      <c r="P7" s="34">
        <v>4.8</v>
      </c>
      <c r="Q7" s="30" t="s">
        <v>1327</v>
      </c>
      <c r="R7" s="28" t="s">
        <v>1417</v>
      </c>
      <c r="S7" s="28" t="s">
        <v>1418</v>
      </c>
      <c r="T7" s="30" t="s">
        <v>653</v>
      </c>
      <c r="U7" s="28" t="s">
        <v>664</v>
      </c>
      <c r="V7" s="28" t="s">
        <v>665</v>
      </c>
      <c r="W7" s="28" t="s">
        <v>1393</v>
      </c>
      <c r="X7" s="40" t="s">
        <v>1419</v>
      </c>
      <c r="Y7" s="40" t="s">
        <v>1420</v>
      </c>
      <c r="Z7" s="40" t="s">
        <v>1421</v>
      </c>
      <c r="AA7" s="40" t="s">
        <v>1422</v>
      </c>
      <c r="AB7" s="40" t="s">
        <v>1423</v>
      </c>
      <c r="AC7" s="40" t="s">
        <v>1424</v>
      </c>
      <c r="AD7" s="48"/>
      <c r="AE7" s="40" t="s">
        <v>1425</v>
      </c>
      <c r="AF7" s="40" t="s">
        <v>6056</v>
      </c>
    </row>
    <row r="8" spans="1:32" ht="108" customHeight="1">
      <c r="A8" s="31">
        <v>4</v>
      </c>
      <c r="B8" s="29" t="s">
        <v>1426</v>
      </c>
      <c r="C8" s="31" t="s">
        <v>1387</v>
      </c>
      <c r="D8" s="31" t="s">
        <v>127</v>
      </c>
      <c r="E8" s="29" t="s">
        <v>724</v>
      </c>
      <c r="F8" s="29" t="s">
        <v>725</v>
      </c>
      <c r="G8" s="29" t="s">
        <v>682</v>
      </c>
      <c r="H8" s="29" t="s">
        <v>1254</v>
      </c>
      <c r="I8" s="29" t="s">
        <v>1427</v>
      </c>
      <c r="J8" s="29" t="s">
        <v>1428</v>
      </c>
      <c r="K8" s="31" t="s">
        <v>1429</v>
      </c>
      <c r="L8" s="33">
        <v>5</v>
      </c>
      <c r="M8" s="33">
        <v>5</v>
      </c>
      <c r="N8" s="33">
        <v>5</v>
      </c>
      <c r="O8" s="33">
        <v>3</v>
      </c>
      <c r="P8" s="35">
        <v>4.5</v>
      </c>
      <c r="Q8" s="31" t="s">
        <v>1327</v>
      </c>
      <c r="R8" s="29" t="s">
        <v>1430</v>
      </c>
      <c r="S8" s="29" t="s">
        <v>1431</v>
      </c>
      <c r="T8" s="31" t="s">
        <v>630</v>
      </c>
      <c r="U8" s="29" t="s">
        <v>729</v>
      </c>
      <c r="V8" s="29" t="s">
        <v>730</v>
      </c>
      <c r="W8" s="29" t="s">
        <v>1393</v>
      </c>
      <c r="X8" s="41" t="s">
        <v>1394</v>
      </c>
      <c r="Y8" s="41" t="s">
        <v>1432</v>
      </c>
      <c r="Z8" s="41" t="s">
        <v>1433</v>
      </c>
      <c r="AA8" s="41" t="s">
        <v>1434</v>
      </c>
      <c r="AB8" s="41" t="s">
        <v>1435</v>
      </c>
      <c r="AC8" s="41" t="s">
        <v>1436</v>
      </c>
      <c r="AD8" s="48"/>
      <c r="AE8" s="41" t="s">
        <v>1437</v>
      </c>
      <c r="AF8" s="40" t="s">
        <v>6056</v>
      </c>
    </row>
    <row r="9" spans="1:32" ht="108" customHeight="1">
      <c r="A9" s="30">
        <v>5</v>
      </c>
      <c r="B9" s="28" t="s">
        <v>1438</v>
      </c>
      <c r="C9" s="30" t="s">
        <v>1387</v>
      </c>
      <c r="D9" s="30" t="s">
        <v>127</v>
      </c>
      <c r="E9" s="28" t="s">
        <v>717</v>
      </c>
      <c r="F9" s="28" t="s">
        <v>718</v>
      </c>
      <c r="G9" s="28" t="s">
        <v>682</v>
      </c>
      <c r="H9" s="28" t="s">
        <v>1253</v>
      </c>
      <c r="I9" s="28" t="s">
        <v>1439</v>
      </c>
      <c r="J9" s="28" t="s">
        <v>1440</v>
      </c>
      <c r="K9" s="30" t="s">
        <v>1441</v>
      </c>
      <c r="L9" s="32">
        <v>5</v>
      </c>
      <c r="M9" s="32">
        <v>4</v>
      </c>
      <c r="N9" s="32">
        <v>5</v>
      </c>
      <c r="O9" s="32">
        <v>4</v>
      </c>
      <c r="P9" s="34">
        <v>4.5</v>
      </c>
      <c r="Q9" s="30" t="s">
        <v>1327</v>
      </c>
      <c r="R9" s="28" t="s">
        <v>1442</v>
      </c>
      <c r="S9" s="28" t="s">
        <v>1443</v>
      </c>
      <c r="T9" s="30" t="s">
        <v>630</v>
      </c>
      <c r="U9" s="28" t="s">
        <v>722</v>
      </c>
      <c r="V9" s="28" t="s">
        <v>723</v>
      </c>
      <c r="W9" s="28" t="s">
        <v>1393</v>
      </c>
      <c r="X9" s="40" t="s">
        <v>1419</v>
      </c>
      <c r="Y9" s="40" t="s">
        <v>1444</v>
      </c>
      <c r="Z9" s="40" t="s">
        <v>1445</v>
      </c>
      <c r="AA9" s="40" t="s">
        <v>1446</v>
      </c>
      <c r="AB9" s="40" t="s">
        <v>1447</v>
      </c>
      <c r="AC9" s="40" t="s">
        <v>1448</v>
      </c>
      <c r="AD9" s="48"/>
      <c r="AE9" s="40" t="s">
        <v>1449</v>
      </c>
      <c r="AF9" s="40" t="s">
        <v>6056</v>
      </c>
    </row>
    <row r="10" spans="1:32" ht="108" customHeight="1">
      <c r="A10" s="31">
        <v>6</v>
      </c>
      <c r="B10" s="29" t="s">
        <v>1450</v>
      </c>
      <c r="C10" s="31" t="s">
        <v>1387</v>
      </c>
      <c r="D10" s="31" t="s">
        <v>127</v>
      </c>
      <c r="E10" s="29" t="s">
        <v>816</v>
      </c>
      <c r="F10" s="29" t="s">
        <v>817</v>
      </c>
      <c r="G10" s="29" t="s">
        <v>784</v>
      </c>
      <c r="H10" s="29" t="s">
        <v>1270</v>
      </c>
      <c r="I10" s="29" t="s">
        <v>1451</v>
      </c>
      <c r="J10" s="29" t="s">
        <v>1452</v>
      </c>
      <c r="K10" s="31" t="s">
        <v>1390</v>
      </c>
      <c r="L10" s="33">
        <v>5</v>
      </c>
      <c r="M10" s="33">
        <v>5</v>
      </c>
      <c r="N10" s="33">
        <v>4</v>
      </c>
      <c r="O10" s="33">
        <v>2</v>
      </c>
      <c r="P10" s="35">
        <v>4</v>
      </c>
      <c r="Q10" s="31" t="s">
        <v>1330</v>
      </c>
      <c r="R10" s="29" t="s">
        <v>1453</v>
      </c>
      <c r="S10" s="29" t="s">
        <v>1454</v>
      </c>
      <c r="T10" s="31" t="s">
        <v>818</v>
      </c>
      <c r="U10" s="29" t="s">
        <v>1455</v>
      </c>
      <c r="V10" s="29" t="s">
        <v>823</v>
      </c>
      <c r="W10" s="29" t="s">
        <v>1393</v>
      </c>
      <c r="X10" s="41" t="s">
        <v>1407</v>
      </c>
      <c r="Y10" s="41" t="s">
        <v>1456</v>
      </c>
      <c r="Z10" s="41" t="s">
        <v>1457</v>
      </c>
      <c r="AA10" s="41" t="s">
        <v>1458</v>
      </c>
      <c r="AB10" s="41" t="s">
        <v>1459</v>
      </c>
      <c r="AC10" s="41" t="s">
        <v>1460</v>
      </c>
      <c r="AD10" s="48"/>
      <c r="AE10" s="41" t="s">
        <v>1461</v>
      </c>
      <c r="AF10" s="40" t="s">
        <v>6056</v>
      </c>
    </row>
    <row r="11" spans="1:32" ht="108" customHeight="1">
      <c r="A11" s="30">
        <v>7</v>
      </c>
      <c r="B11" s="28" t="s">
        <v>1462</v>
      </c>
      <c r="C11" s="30" t="s">
        <v>1387</v>
      </c>
      <c r="D11" s="30" t="s">
        <v>127</v>
      </c>
      <c r="E11" s="28" t="s">
        <v>837</v>
      </c>
      <c r="F11" s="28" t="s">
        <v>226</v>
      </c>
      <c r="G11" s="28" t="s">
        <v>784</v>
      </c>
      <c r="H11" s="28" t="s">
        <v>1255</v>
      </c>
      <c r="I11" s="28" t="s">
        <v>1463</v>
      </c>
      <c r="J11" s="28" t="s">
        <v>1464</v>
      </c>
      <c r="K11" s="30" t="s">
        <v>1441</v>
      </c>
      <c r="L11" s="32">
        <v>5</v>
      </c>
      <c r="M11" s="32">
        <v>4</v>
      </c>
      <c r="N11" s="32">
        <v>5</v>
      </c>
      <c r="O11" s="32">
        <v>2</v>
      </c>
      <c r="P11" s="34">
        <v>4</v>
      </c>
      <c r="Q11" s="30" t="s">
        <v>1330</v>
      </c>
      <c r="R11" s="28" t="s">
        <v>1465</v>
      </c>
      <c r="S11" s="28" t="s">
        <v>1466</v>
      </c>
      <c r="T11" s="30" t="s">
        <v>838</v>
      </c>
      <c r="U11" s="28" t="s">
        <v>842</v>
      </c>
      <c r="V11" s="28" t="s">
        <v>843</v>
      </c>
      <c r="W11" s="28" t="s">
        <v>1393</v>
      </c>
      <c r="X11" s="40" t="s">
        <v>1419</v>
      </c>
      <c r="Y11" s="40" t="s">
        <v>1467</v>
      </c>
      <c r="Z11" s="40" t="s">
        <v>1468</v>
      </c>
      <c r="AA11" s="40" t="s">
        <v>1469</v>
      </c>
      <c r="AB11" s="40" t="s">
        <v>1470</v>
      </c>
      <c r="AC11" s="40" t="s">
        <v>1471</v>
      </c>
      <c r="AD11" s="48"/>
      <c r="AE11" s="40" t="s">
        <v>1472</v>
      </c>
      <c r="AF11" s="40" t="s">
        <v>6056</v>
      </c>
    </row>
    <row r="12" spans="1:32" ht="108" customHeight="1">
      <c r="A12" s="31">
        <v>8</v>
      </c>
      <c r="B12" s="29" t="s">
        <v>1473</v>
      </c>
      <c r="C12" s="31" t="s">
        <v>1387</v>
      </c>
      <c r="D12" s="31" t="s">
        <v>127</v>
      </c>
      <c r="E12" s="29" t="s">
        <v>782</v>
      </c>
      <c r="F12" s="29" t="s">
        <v>783</v>
      </c>
      <c r="G12" s="29" t="s">
        <v>784</v>
      </c>
      <c r="H12" s="29" t="s">
        <v>1256</v>
      </c>
      <c r="I12" s="29" t="s">
        <v>1474</v>
      </c>
      <c r="J12" s="29" t="s">
        <v>1475</v>
      </c>
      <c r="K12" s="31" t="s">
        <v>1429</v>
      </c>
      <c r="L12" s="33">
        <v>4</v>
      </c>
      <c r="M12" s="33">
        <v>4</v>
      </c>
      <c r="N12" s="33">
        <v>4</v>
      </c>
      <c r="O12" s="33">
        <v>3</v>
      </c>
      <c r="P12" s="35">
        <v>3.8</v>
      </c>
      <c r="Q12" s="31" t="s">
        <v>1330</v>
      </c>
      <c r="R12" s="29" t="s">
        <v>785</v>
      </c>
      <c r="S12" s="29" t="s">
        <v>1476</v>
      </c>
      <c r="T12" s="31" t="s">
        <v>584</v>
      </c>
      <c r="U12" s="29" t="s">
        <v>788</v>
      </c>
      <c r="V12" s="29" t="s">
        <v>789</v>
      </c>
      <c r="W12" s="29" t="s">
        <v>1393</v>
      </c>
      <c r="X12" s="41" t="s">
        <v>1407</v>
      </c>
      <c r="Y12" s="41" t="s">
        <v>1477</v>
      </c>
      <c r="Z12" s="41" t="s">
        <v>1478</v>
      </c>
      <c r="AA12" s="41" t="s">
        <v>1479</v>
      </c>
      <c r="AB12" s="41" t="s">
        <v>1480</v>
      </c>
      <c r="AC12" s="41" t="s">
        <v>1481</v>
      </c>
      <c r="AD12" s="48"/>
      <c r="AE12" s="41" t="s">
        <v>1482</v>
      </c>
      <c r="AF12" s="40" t="s">
        <v>6056</v>
      </c>
    </row>
    <row r="13" spans="1:32" ht="108" customHeight="1">
      <c r="A13" s="30">
        <v>9</v>
      </c>
      <c r="B13" s="28" t="s">
        <v>1483</v>
      </c>
      <c r="C13" s="30" t="s">
        <v>1387</v>
      </c>
      <c r="D13" s="30" t="s">
        <v>248</v>
      </c>
      <c r="E13" s="28" t="s">
        <v>916</v>
      </c>
      <c r="F13" s="28" t="s">
        <v>257</v>
      </c>
      <c r="G13" s="28" t="s">
        <v>901</v>
      </c>
      <c r="H13" s="28" t="s">
        <v>1287</v>
      </c>
      <c r="I13" s="28" t="s">
        <v>1484</v>
      </c>
      <c r="J13" s="28" t="s">
        <v>1485</v>
      </c>
      <c r="K13" s="30" t="s">
        <v>1390</v>
      </c>
      <c r="L13" s="32">
        <v>5</v>
      </c>
      <c r="M13" s="32">
        <v>5</v>
      </c>
      <c r="N13" s="32">
        <v>5</v>
      </c>
      <c r="O13" s="32">
        <v>3</v>
      </c>
      <c r="P13" s="34">
        <v>4.5</v>
      </c>
      <c r="Q13" s="30" t="s">
        <v>1327</v>
      </c>
      <c r="R13" s="28" t="s">
        <v>1486</v>
      </c>
      <c r="S13" s="28" t="s">
        <v>1487</v>
      </c>
      <c r="T13" s="30" t="s">
        <v>673</v>
      </c>
      <c r="U13" s="28" t="s">
        <v>919</v>
      </c>
      <c r="V13" s="28" t="s">
        <v>920</v>
      </c>
      <c r="W13" s="28" t="s">
        <v>1393</v>
      </c>
      <c r="X13" s="40" t="s">
        <v>1488</v>
      </c>
      <c r="Y13" s="40" t="s">
        <v>1489</v>
      </c>
      <c r="Z13" s="40" t="s">
        <v>1490</v>
      </c>
      <c r="AA13" s="40" t="s">
        <v>1491</v>
      </c>
      <c r="AB13" s="40" t="s">
        <v>1492</v>
      </c>
      <c r="AC13" s="40" t="s">
        <v>1493</v>
      </c>
      <c r="AD13" s="48"/>
      <c r="AE13" s="40" t="s">
        <v>1494</v>
      </c>
      <c r="AF13" s="40" t="s">
        <v>6056</v>
      </c>
    </row>
    <row r="14" spans="1:32" ht="108" customHeight="1">
      <c r="A14" s="31">
        <v>10</v>
      </c>
      <c r="B14" s="29" t="s">
        <v>1495</v>
      </c>
      <c r="C14" s="31" t="s">
        <v>1387</v>
      </c>
      <c r="D14" s="31" t="s">
        <v>248</v>
      </c>
      <c r="E14" s="29" t="s">
        <v>973</v>
      </c>
      <c r="F14" s="29" t="s">
        <v>748</v>
      </c>
      <c r="G14" s="29" t="s">
        <v>945</v>
      </c>
      <c r="H14" s="29" t="s">
        <v>1302</v>
      </c>
      <c r="I14" s="29" t="s">
        <v>1496</v>
      </c>
      <c r="J14" s="29" t="s">
        <v>1497</v>
      </c>
      <c r="K14" s="31" t="s">
        <v>1390</v>
      </c>
      <c r="L14" s="33">
        <v>5</v>
      </c>
      <c r="M14" s="33">
        <v>5</v>
      </c>
      <c r="N14" s="33">
        <v>5</v>
      </c>
      <c r="O14" s="33">
        <v>4</v>
      </c>
      <c r="P14" s="35">
        <v>4.8</v>
      </c>
      <c r="Q14" s="31" t="s">
        <v>1327</v>
      </c>
      <c r="R14" s="29" t="s">
        <v>1498</v>
      </c>
      <c r="S14" s="29" t="s">
        <v>1499</v>
      </c>
      <c r="T14" s="31" t="s">
        <v>630</v>
      </c>
      <c r="U14" s="29" t="s">
        <v>976</v>
      </c>
      <c r="V14" s="29" t="s">
        <v>977</v>
      </c>
      <c r="W14" s="29" t="s">
        <v>1393</v>
      </c>
      <c r="X14" s="41" t="s">
        <v>1419</v>
      </c>
      <c r="Y14" s="41" t="s">
        <v>1500</v>
      </c>
      <c r="Z14" s="41" t="s">
        <v>1501</v>
      </c>
      <c r="AA14" s="41" t="s">
        <v>1502</v>
      </c>
      <c r="AB14" s="41" t="s">
        <v>1503</v>
      </c>
      <c r="AC14" s="41" t="s">
        <v>1504</v>
      </c>
      <c r="AD14" s="48"/>
      <c r="AE14" s="41" t="s">
        <v>1505</v>
      </c>
      <c r="AF14" s="40" t="s">
        <v>6056</v>
      </c>
    </row>
    <row r="15" spans="1:32" ht="108" customHeight="1">
      <c r="A15" s="30">
        <v>11</v>
      </c>
      <c r="B15" s="28" t="s">
        <v>1506</v>
      </c>
      <c r="C15" s="30" t="s">
        <v>1387</v>
      </c>
      <c r="D15" s="30" t="s">
        <v>248</v>
      </c>
      <c r="E15" s="28" t="s">
        <v>993</v>
      </c>
      <c r="F15" s="28" t="s">
        <v>288</v>
      </c>
      <c r="G15" s="28" t="s">
        <v>924</v>
      </c>
      <c r="H15" s="28" t="s">
        <v>1291</v>
      </c>
      <c r="I15" s="28" t="s">
        <v>1507</v>
      </c>
      <c r="J15" s="28" t="s">
        <v>1508</v>
      </c>
      <c r="K15" s="30" t="s">
        <v>1390</v>
      </c>
      <c r="L15" s="32">
        <v>5</v>
      </c>
      <c r="M15" s="32">
        <v>5</v>
      </c>
      <c r="N15" s="32">
        <v>4</v>
      </c>
      <c r="O15" s="32">
        <v>4</v>
      </c>
      <c r="P15" s="34">
        <v>4.5</v>
      </c>
      <c r="Q15" s="30" t="s">
        <v>1327</v>
      </c>
      <c r="R15" s="28" t="s">
        <v>994</v>
      </c>
      <c r="S15" s="28" t="s">
        <v>1509</v>
      </c>
      <c r="T15" s="30" t="s">
        <v>630</v>
      </c>
      <c r="U15" s="28" t="s">
        <v>997</v>
      </c>
      <c r="V15" s="28" t="s">
        <v>998</v>
      </c>
      <c r="W15" s="28" t="s">
        <v>1393</v>
      </c>
      <c r="X15" s="40" t="s">
        <v>1394</v>
      </c>
      <c r="Y15" s="40" t="s">
        <v>1510</v>
      </c>
      <c r="Z15" s="40" t="s">
        <v>1511</v>
      </c>
      <c r="AA15" s="40" t="s">
        <v>1512</v>
      </c>
      <c r="AB15" s="40" t="s">
        <v>1513</v>
      </c>
      <c r="AC15" s="40" t="s">
        <v>1514</v>
      </c>
      <c r="AD15" s="48"/>
      <c r="AE15" s="40" t="s">
        <v>1515</v>
      </c>
      <c r="AF15" s="40" t="s">
        <v>6056</v>
      </c>
    </row>
    <row r="16" spans="1:32" ht="108" customHeight="1">
      <c r="A16" s="31">
        <v>12</v>
      </c>
      <c r="B16" s="29" t="s">
        <v>1516</v>
      </c>
      <c r="C16" s="31" t="s">
        <v>1387</v>
      </c>
      <c r="D16" s="31" t="s">
        <v>248</v>
      </c>
      <c r="E16" s="29" t="s">
        <v>907</v>
      </c>
      <c r="F16" s="29" t="s">
        <v>908</v>
      </c>
      <c r="G16" s="29" t="s">
        <v>901</v>
      </c>
      <c r="H16" s="29" t="s">
        <v>1286</v>
      </c>
      <c r="I16" s="29" t="s">
        <v>1517</v>
      </c>
      <c r="J16" s="29" t="s">
        <v>1518</v>
      </c>
      <c r="K16" s="31" t="s">
        <v>1390</v>
      </c>
      <c r="L16" s="33">
        <v>4</v>
      </c>
      <c r="M16" s="33">
        <v>5</v>
      </c>
      <c r="N16" s="33">
        <v>4</v>
      </c>
      <c r="O16" s="33">
        <v>3</v>
      </c>
      <c r="P16" s="35">
        <v>4</v>
      </c>
      <c r="Q16" s="31" t="s">
        <v>1330</v>
      </c>
      <c r="R16" s="29" t="s">
        <v>1519</v>
      </c>
      <c r="S16" s="29" t="s">
        <v>1520</v>
      </c>
      <c r="T16" s="31" t="s">
        <v>909</v>
      </c>
      <c r="U16" s="29" t="s">
        <v>913</v>
      </c>
      <c r="V16" s="29" t="s">
        <v>1521</v>
      </c>
      <c r="W16" s="29" t="s">
        <v>1393</v>
      </c>
      <c r="X16" s="41" t="s">
        <v>1419</v>
      </c>
      <c r="Y16" s="41" t="s">
        <v>1522</v>
      </c>
      <c r="Z16" s="41" t="s">
        <v>1523</v>
      </c>
      <c r="AA16" s="41" t="s">
        <v>1524</v>
      </c>
      <c r="AB16" s="41" t="s">
        <v>1525</v>
      </c>
      <c r="AC16" s="41" t="s">
        <v>1526</v>
      </c>
      <c r="AD16" s="48"/>
      <c r="AE16" s="41" t="s">
        <v>1527</v>
      </c>
      <c r="AF16" s="40" t="s">
        <v>6056</v>
      </c>
    </row>
  </sheetData>
  <mergeCells count="2">
    <mergeCell ref="A1:AF1"/>
    <mergeCell ref="A2:AF2"/>
  </mergeCells>
  <conditionalFormatting sqref="Q5:Q16">
    <cfRule type="containsText" dxfId="23" priority="1" operator="containsText" text="SEHR_GUT"/>
    <cfRule type="containsText" dxfId="22" priority="2" operator="containsText" text="GUT"/>
    <cfRule type="containsText" dxfId="21" priority="3" operator="containsText" text="BEDINGT"/>
  </conditionalFormatting>
  <conditionalFormatting sqref="T5:T16">
    <cfRule type="beginsWith" dxfId="20" priority="4" operator="beginsWith" text="GRUEN"/>
    <cfRule type="beginsWith" dxfId="19" priority="5" operator="beginsWith" text="GELB"/>
  </conditionalFormatting>
  <conditionalFormatting sqref="X5:X16">
    <cfRule type="containsText" dxfId="18" priority="6" operator="containsText" text="SSR"/>
    <cfRule type="containsText" dxfId="17" priority="7" operator="containsText" text="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44"/>
  <sheetViews>
    <sheetView showGridLines="0" topLeftCell="Q24" workbookViewId="0">
      <selection activeCell="AB43" sqref="AB43"/>
    </sheetView>
  </sheetViews>
  <sheetFormatPr baseColWidth="10" defaultColWidth="9" defaultRowHeight="14.25"/>
  <cols>
    <col min="1" max="1" width="14" customWidth="1"/>
    <col min="2" max="2" width="19" customWidth="1"/>
    <col min="3" max="3" width="10" customWidth="1"/>
    <col min="4" max="4" width="29" customWidth="1"/>
    <col min="5" max="5" width="28" customWidth="1"/>
    <col min="6" max="6" width="27" customWidth="1"/>
    <col min="7" max="7" width="55" customWidth="1"/>
    <col min="8" max="8" width="38" customWidth="1"/>
    <col min="9" max="9" width="48" customWidth="1"/>
    <col min="10" max="10" width="44" customWidth="1"/>
    <col min="11" max="11" width="64" customWidth="1"/>
    <col min="12" max="12" width="50" customWidth="1"/>
    <col min="13" max="14" width="7" customWidth="1"/>
    <col min="15" max="15" width="28" customWidth="1"/>
    <col min="16" max="16" width="42" customWidth="1"/>
    <col min="17" max="18" width="52" customWidth="1"/>
    <col min="19" max="19" width="12" customWidth="1"/>
    <col min="20" max="20" width="14" customWidth="1"/>
    <col min="21" max="21" width="33" customWidth="1"/>
    <col min="22" max="22" width="28" customWidth="1"/>
    <col min="23" max="23" width="22" customWidth="1"/>
    <col min="24" max="24" width="24" customWidth="1"/>
    <col min="25" max="25" width="52" customWidth="1"/>
    <col min="26" max="26" width="45" customWidth="1"/>
    <col min="27" max="27" width="82" customWidth="1"/>
    <col min="28" max="28" width="22" customWidth="1"/>
  </cols>
  <sheetData>
    <row r="1" spans="1:28" ht="27.95" customHeight="1">
      <c r="A1" s="66" t="s">
        <v>1528</v>
      </c>
      <c r="B1" s="66"/>
      <c r="C1" s="66"/>
      <c r="D1" s="66"/>
      <c r="E1" s="66"/>
      <c r="F1" s="66"/>
      <c r="G1" s="66"/>
      <c r="H1" s="66"/>
      <c r="I1" s="66"/>
      <c r="J1" s="66"/>
      <c r="K1" s="66"/>
      <c r="L1" s="66"/>
      <c r="M1" s="66"/>
      <c r="N1" s="66"/>
      <c r="O1" s="66"/>
      <c r="P1" s="66"/>
      <c r="Q1" s="66"/>
      <c r="R1" s="66"/>
      <c r="S1" s="66"/>
      <c r="T1" s="66"/>
      <c r="U1" s="66"/>
      <c r="V1" s="66"/>
      <c r="W1" s="66"/>
      <c r="X1" s="66"/>
      <c r="Y1" s="66"/>
      <c r="Z1" s="66"/>
    </row>
    <row r="2" spans="1:28" ht="38.1" customHeight="1">
      <c r="A2" s="67" t="s">
        <v>1529</v>
      </c>
      <c r="B2" s="67"/>
      <c r="C2" s="67"/>
      <c r="D2" s="67"/>
      <c r="E2" s="67"/>
      <c r="F2" s="67"/>
      <c r="G2" s="67"/>
      <c r="H2" s="67"/>
      <c r="I2" s="67"/>
      <c r="J2" s="67"/>
      <c r="K2" s="67"/>
      <c r="L2" s="67"/>
      <c r="M2" s="67"/>
      <c r="N2" s="67"/>
      <c r="O2" s="67"/>
      <c r="P2" s="67"/>
      <c r="Q2" s="67"/>
      <c r="R2" s="67"/>
      <c r="S2" s="67"/>
      <c r="T2" s="67"/>
      <c r="U2" s="67"/>
      <c r="V2" s="67"/>
      <c r="W2" s="67"/>
      <c r="X2" s="67"/>
      <c r="Y2" s="67"/>
      <c r="Z2" s="67"/>
    </row>
    <row r="3" spans="1:28">
      <c r="A3" s="26"/>
      <c r="B3" s="26"/>
      <c r="C3" s="26"/>
      <c r="D3" s="26"/>
      <c r="E3" s="26"/>
      <c r="F3" s="26"/>
      <c r="G3" s="26"/>
      <c r="H3" s="26"/>
      <c r="I3" s="26"/>
      <c r="J3" s="26"/>
      <c r="K3" s="26"/>
      <c r="L3" s="26"/>
      <c r="M3" s="26"/>
      <c r="N3" s="26"/>
      <c r="O3" s="26"/>
      <c r="P3" s="26"/>
      <c r="Q3" s="26"/>
      <c r="R3" s="26"/>
      <c r="S3" s="26"/>
      <c r="T3" s="26"/>
      <c r="U3" s="26"/>
      <c r="V3" s="26"/>
      <c r="W3" s="26"/>
      <c r="X3" s="26"/>
      <c r="Y3" s="26"/>
      <c r="Z3" s="26"/>
    </row>
    <row r="4" spans="1:28" ht="15" customHeight="1">
      <c r="A4" s="39" t="s">
        <v>97</v>
      </c>
      <c r="B4" s="39" t="s">
        <v>461</v>
      </c>
      <c r="C4" s="39" t="s">
        <v>98</v>
      </c>
      <c r="D4" s="39" t="s">
        <v>462</v>
      </c>
      <c r="E4" s="39" t="s">
        <v>1530</v>
      </c>
      <c r="F4" s="39" t="s">
        <v>1531</v>
      </c>
      <c r="G4" s="39" t="s">
        <v>1532</v>
      </c>
      <c r="H4" s="39" t="s">
        <v>1533</v>
      </c>
      <c r="I4" s="39" t="s">
        <v>101</v>
      </c>
      <c r="J4" s="39" t="s">
        <v>1534</v>
      </c>
      <c r="K4" s="39" t="s">
        <v>1535</v>
      </c>
      <c r="L4" s="39" t="s">
        <v>1536</v>
      </c>
      <c r="M4" s="39" t="s">
        <v>103</v>
      </c>
      <c r="N4" s="39" t="s">
        <v>104</v>
      </c>
      <c r="O4" s="39" t="s">
        <v>1537</v>
      </c>
      <c r="P4" s="39" t="s">
        <v>1538</v>
      </c>
      <c r="Q4" s="39" t="s">
        <v>1539</v>
      </c>
      <c r="R4" s="39" t="s">
        <v>1540</v>
      </c>
      <c r="S4" s="39" t="s">
        <v>1541</v>
      </c>
      <c r="T4" s="39" t="s">
        <v>1542</v>
      </c>
      <c r="U4" s="39" t="s">
        <v>1543</v>
      </c>
      <c r="V4" s="39" t="s">
        <v>1544</v>
      </c>
      <c r="W4" s="39" t="s">
        <v>1545</v>
      </c>
      <c r="X4" s="39" t="s">
        <v>1385</v>
      </c>
      <c r="Y4" s="39" t="s">
        <v>1546</v>
      </c>
      <c r="Z4" s="39" t="s">
        <v>1376</v>
      </c>
      <c r="AA4" s="60" t="s">
        <v>1547</v>
      </c>
      <c r="AB4" s="60" t="s">
        <v>1548</v>
      </c>
    </row>
    <row r="5" spans="1:28" ht="79.150000000000006" customHeight="1">
      <c r="A5" s="40" t="s">
        <v>126</v>
      </c>
      <c r="B5" s="40" t="s">
        <v>473</v>
      </c>
      <c r="C5" s="40" t="s">
        <v>127</v>
      </c>
      <c r="D5" s="40" t="s">
        <v>128</v>
      </c>
      <c r="E5" s="40" t="s">
        <v>1549</v>
      </c>
      <c r="F5" s="40" t="s">
        <v>1550</v>
      </c>
      <c r="G5" s="40" t="s">
        <v>1551</v>
      </c>
      <c r="H5" s="40" t="s">
        <v>1552</v>
      </c>
      <c r="I5" s="40" t="s">
        <v>129</v>
      </c>
      <c r="J5" s="40" t="s">
        <v>1553</v>
      </c>
      <c r="K5" s="40" t="s">
        <v>1554</v>
      </c>
      <c r="L5" s="40" t="s">
        <v>1555</v>
      </c>
      <c r="M5" s="42">
        <v>25</v>
      </c>
      <c r="N5" s="42">
        <v>35</v>
      </c>
      <c r="O5" s="42" t="s">
        <v>1556</v>
      </c>
      <c r="P5" s="42" t="s">
        <v>1557</v>
      </c>
      <c r="Q5" s="42" t="s">
        <v>1558</v>
      </c>
      <c r="R5" s="42" t="s">
        <v>135</v>
      </c>
      <c r="S5" s="44">
        <v>80</v>
      </c>
      <c r="T5" s="44">
        <v>45</v>
      </c>
      <c r="U5" s="40" t="s">
        <v>1559</v>
      </c>
      <c r="V5" s="40" t="s">
        <v>1560</v>
      </c>
      <c r="W5" s="40" t="s">
        <v>132</v>
      </c>
      <c r="X5" s="40" t="s">
        <v>1561</v>
      </c>
      <c r="Y5" s="40" t="s">
        <v>1562</v>
      </c>
      <c r="Z5" s="40" t="s">
        <v>1563</v>
      </c>
      <c r="AA5" s="61" t="s">
        <v>1564</v>
      </c>
      <c r="AB5" s="61" t="s">
        <v>6056</v>
      </c>
    </row>
    <row r="6" spans="1:28" ht="79.150000000000006" customHeight="1">
      <c r="A6" s="41" t="s">
        <v>136</v>
      </c>
      <c r="B6" s="41" t="s">
        <v>473</v>
      </c>
      <c r="C6" s="41" t="s">
        <v>127</v>
      </c>
      <c r="D6" s="41" t="s">
        <v>137</v>
      </c>
      <c r="E6" s="41" t="s">
        <v>1565</v>
      </c>
      <c r="F6" s="41" t="s">
        <v>1566</v>
      </c>
      <c r="G6" s="41" t="s">
        <v>1567</v>
      </c>
      <c r="H6" s="41" t="s">
        <v>1568</v>
      </c>
      <c r="I6" s="41" t="s">
        <v>138</v>
      </c>
      <c r="J6" s="41" t="s">
        <v>1569</v>
      </c>
      <c r="K6" s="41" t="s">
        <v>1570</v>
      </c>
      <c r="L6" s="41" t="s">
        <v>1571</v>
      </c>
      <c r="M6" s="43">
        <v>25</v>
      </c>
      <c r="N6" s="43">
        <v>35</v>
      </c>
      <c r="O6" s="43" t="s">
        <v>1556</v>
      </c>
      <c r="P6" s="43" t="s">
        <v>1557</v>
      </c>
      <c r="Q6" s="43" t="s">
        <v>1558</v>
      </c>
      <c r="R6" s="43" t="s">
        <v>143</v>
      </c>
      <c r="S6" s="45">
        <v>80</v>
      </c>
      <c r="T6" s="45">
        <v>45</v>
      </c>
      <c r="U6" s="41" t="s">
        <v>1572</v>
      </c>
      <c r="V6" s="41" t="s">
        <v>1573</v>
      </c>
      <c r="W6" s="41" t="s">
        <v>140</v>
      </c>
      <c r="X6" s="41" t="s">
        <v>1561</v>
      </c>
      <c r="Y6" s="41" t="s">
        <v>1562</v>
      </c>
      <c r="Z6" s="41" t="s">
        <v>1563</v>
      </c>
      <c r="AA6" s="61" t="s">
        <v>1574</v>
      </c>
      <c r="AB6" s="61" t="s">
        <v>6056</v>
      </c>
    </row>
    <row r="7" spans="1:28" ht="79.150000000000006" customHeight="1">
      <c r="A7" s="40" t="s">
        <v>144</v>
      </c>
      <c r="B7" s="40" t="s">
        <v>473</v>
      </c>
      <c r="C7" s="40" t="s">
        <v>127</v>
      </c>
      <c r="D7" s="40" t="s">
        <v>145</v>
      </c>
      <c r="E7" s="40" t="s">
        <v>1575</v>
      </c>
      <c r="F7" s="40" t="s">
        <v>1576</v>
      </c>
      <c r="G7" s="40" t="s">
        <v>1577</v>
      </c>
      <c r="H7" s="40" t="s">
        <v>1578</v>
      </c>
      <c r="I7" s="40" t="s">
        <v>146</v>
      </c>
      <c r="J7" s="40" t="s">
        <v>1579</v>
      </c>
      <c r="K7" s="40" t="s">
        <v>1580</v>
      </c>
      <c r="L7" s="40" t="s">
        <v>1581</v>
      </c>
      <c r="M7" s="42">
        <v>15</v>
      </c>
      <c r="N7" s="42">
        <v>25</v>
      </c>
      <c r="O7" s="42" t="s">
        <v>1556</v>
      </c>
      <c r="P7" s="42" t="s">
        <v>1557</v>
      </c>
      <c r="Q7" s="42" t="s">
        <v>1558</v>
      </c>
      <c r="R7" s="42" t="s">
        <v>150</v>
      </c>
      <c r="S7" s="44">
        <v>55</v>
      </c>
      <c r="T7" s="44">
        <v>30</v>
      </c>
      <c r="U7" s="40" t="s">
        <v>1572</v>
      </c>
      <c r="V7" s="40" t="s">
        <v>1560</v>
      </c>
      <c r="W7" s="40"/>
      <c r="X7" s="40" t="s">
        <v>1401</v>
      </c>
      <c r="Y7" s="40" t="s">
        <v>1562</v>
      </c>
      <c r="Z7" s="40" t="s">
        <v>1563</v>
      </c>
      <c r="AA7" s="61" t="s">
        <v>1582</v>
      </c>
      <c r="AB7" s="61" t="s">
        <v>6056</v>
      </c>
    </row>
    <row r="8" spans="1:28" ht="79.150000000000006" customHeight="1">
      <c r="A8" s="41" t="s">
        <v>151</v>
      </c>
      <c r="B8" s="41" t="s">
        <v>473</v>
      </c>
      <c r="C8" s="41" t="s">
        <v>127</v>
      </c>
      <c r="D8" s="41" t="s">
        <v>152</v>
      </c>
      <c r="E8" s="41" t="s">
        <v>1583</v>
      </c>
      <c r="F8" s="41" t="s">
        <v>1584</v>
      </c>
      <c r="G8" s="41" t="s">
        <v>1585</v>
      </c>
      <c r="H8" s="41" t="s">
        <v>1586</v>
      </c>
      <c r="I8" s="41" t="s">
        <v>153</v>
      </c>
      <c r="J8" s="41" t="s">
        <v>1587</v>
      </c>
      <c r="K8" s="41" t="s">
        <v>1588</v>
      </c>
      <c r="L8" s="41" t="s">
        <v>1589</v>
      </c>
      <c r="M8" s="43">
        <v>15</v>
      </c>
      <c r="N8" s="43">
        <v>25</v>
      </c>
      <c r="O8" s="43" t="s">
        <v>1556</v>
      </c>
      <c r="P8" s="43" t="s">
        <v>1557</v>
      </c>
      <c r="Q8" s="43" t="s">
        <v>1558</v>
      </c>
      <c r="R8" s="43" t="s">
        <v>158</v>
      </c>
      <c r="S8" s="45">
        <v>55</v>
      </c>
      <c r="T8" s="45">
        <v>30</v>
      </c>
      <c r="U8" s="41" t="s">
        <v>1590</v>
      </c>
      <c r="V8" s="41" t="s">
        <v>1573</v>
      </c>
      <c r="W8" s="41"/>
      <c r="X8" s="41" t="s">
        <v>1401</v>
      </c>
      <c r="Y8" s="41" t="s">
        <v>1562</v>
      </c>
      <c r="Z8" s="41" t="s">
        <v>1563</v>
      </c>
      <c r="AA8" s="61" t="s">
        <v>1591</v>
      </c>
      <c r="AB8" s="61" t="s">
        <v>6056</v>
      </c>
    </row>
    <row r="9" spans="1:28" ht="66" customHeight="1">
      <c r="A9" s="40" t="s">
        <v>159</v>
      </c>
      <c r="B9" s="40" t="s">
        <v>473</v>
      </c>
      <c r="C9" s="40" t="s">
        <v>127</v>
      </c>
      <c r="D9" s="40" t="s">
        <v>160</v>
      </c>
      <c r="E9" s="40" t="s">
        <v>1592</v>
      </c>
      <c r="F9" s="40" t="s">
        <v>1593</v>
      </c>
      <c r="G9" s="40" t="s">
        <v>1594</v>
      </c>
      <c r="H9" s="40" t="s">
        <v>1595</v>
      </c>
      <c r="I9" s="40" t="s">
        <v>161</v>
      </c>
      <c r="J9" s="40" t="s">
        <v>672</v>
      </c>
      <c r="K9" s="40" t="s">
        <v>1596</v>
      </c>
      <c r="L9" s="40" t="s">
        <v>677</v>
      </c>
      <c r="M9" s="42">
        <v>5</v>
      </c>
      <c r="N9" s="42">
        <v>15</v>
      </c>
      <c r="O9" s="42" t="s">
        <v>1556</v>
      </c>
      <c r="P9" s="42" t="s">
        <v>1557</v>
      </c>
      <c r="Q9" s="42" t="s">
        <v>1558</v>
      </c>
      <c r="R9" s="42" t="s">
        <v>165</v>
      </c>
      <c r="S9" s="44">
        <v>35</v>
      </c>
      <c r="T9" s="44">
        <v>20</v>
      </c>
      <c r="U9" s="40" t="s">
        <v>1572</v>
      </c>
      <c r="V9" s="40" t="s">
        <v>1560</v>
      </c>
      <c r="W9" s="40"/>
      <c r="X9" s="40" t="s">
        <v>1401</v>
      </c>
      <c r="Y9" s="40" t="s">
        <v>1562</v>
      </c>
      <c r="Z9" s="40" t="s">
        <v>1563</v>
      </c>
      <c r="AA9" s="61" t="s">
        <v>1597</v>
      </c>
      <c r="AB9" s="61" t="s">
        <v>6056</v>
      </c>
    </row>
    <row r="10" spans="1:28" ht="79.150000000000006" customHeight="1">
      <c r="A10" s="41" t="s">
        <v>166</v>
      </c>
      <c r="B10" s="41" t="s">
        <v>473</v>
      </c>
      <c r="C10" s="41" t="s">
        <v>127</v>
      </c>
      <c r="D10" s="41" t="s">
        <v>167</v>
      </c>
      <c r="E10" s="41" t="s">
        <v>1598</v>
      </c>
      <c r="F10" s="41" t="s">
        <v>1599</v>
      </c>
      <c r="G10" s="41" t="s">
        <v>1600</v>
      </c>
      <c r="H10" s="41" t="s">
        <v>1601</v>
      </c>
      <c r="I10" s="41" t="s">
        <v>168</v>
      </c>
      <c r="J10" s="41" t="s">
        <v>1602</v>
      </c>
      <c r="K10" s="41" t="s">
        <v>1603</v>
      </c>
      <c r="L10" s="41" t="s">
        <v>1604</v>
      </c>
      <c r="M10" s="43">
        <v>15</v>
      </c>
      <c r="N10" s="43">
        <v>25</v>
      </c>
      <c r="O10" s="43" t="s">
        <v>1556</v>
      </c>
      <c r="P10" s="43" t="s">
        <v>1557</v>
      </c>
      <c r="Q10" s="43" t="s">
        <v>1558</v>
      </c>
      <c r="R10" s="43" t="s">
        <v>172</v>
      </c>
      <c r="S10" s="45">
        <v>55</v>
      </c>
      <c r="T10" s="45">
        <v>30</v>
      </c>
      <c r="U10" s="41" t="s">
        <v>1572</v>
      </c>
      <c r="V10" s="41" t="s">
        <v>1560</v>
      </c>
      <c r="W10" s="41" t="s">
        <v>170</v>
      </c>
      <c r="X10" s="41" t="s">
        <v>1401</v>
      </c>
      <c r="Y10" s="41" t="s">
        <v>1562</v>
      </c>
      <c r="Z10" s="41" t="s">
        <v>1563</v>
      </c>
      <c r="AA10" s="61" t="s">
        <v>1605</v>
      </c>
      <c r="AB10" s="61" t="s">
        <v>6056</v>
      </c>
    </row>
    <row r="11" spans="1:28" ht="79.150000000000006" customHeight="1">
      <c r="A11" s="40" t="s">
        <v>173</v>
      </c>
      <c r="B11" s="40" t="s">
        <v>473</v>
      </c>
      <c r="C11" s="40" t="s">
        <v>127</v>
      </c>
      <c r="D11" s="40" t="s">
        <v>174</v>
      </c>
      <c r="E11" s="40" t="s">
        <v>1606</v>
      </c>
      <c r="F11" s="40" t="s">
        <v>1607</v>
      </c>
      <c r="G11" s="40" t="s">
        <v>1608</v>
      </c>
      <c r="H11" s="40" t="s">
        <v>1609</v>
      </c>
      <c r="I11" s="40" t="s">
        <v>175</v>
      </c>
      <c r="J11" s="40" t="s">
        <v>1610</v>
      </c>
      <c r="K11" s="40" t="s">
        <v>1611</v>
      </c>
      <c r="L11" s="40" t="s">
        <v>1612</v>
      </c>
      <c r="M11" s="42">
        <v>5</v>
      </c>
      <c r="N11" s="42">
        <v>15</v>
      </c>
      <c r="O11" s="42" t="s">
        <v>1556</v>
      </c>
      <c r="P11" s="42" t="s">
        <v>1557</v>
      </c>
      <c r="Q11" s="42" t="s">
        <v>1558</v>
      </c>
      <c r="R11" s="42" t="s">
        <v>180</v>
      </c>
      <c r="S11" s="44">
        <v>35</v>
      </c>
      <c r="T11" s="44">
        <v>20</v>
      </c>
      <c r="U11" s="40" t="s">
        <v>1613</v>
      </c>
      <c r="V11" s="40" t="s">
        <v>1560</v>
      </c>
      <c r="W11" s="40"/>
      <c r="X11" s="40" t="s">
        <v>1401</v>
      </c>
      <c r="Y11" s="40" t="s">
        <v>1562</v>
      </c>
      <c r="Z11" s="40" t="s">
        <v>1563</v>
      </c>
      <c r="AA11" s="61" t="s">
        <v>1614</v>
      </c>
      <c r="AB11" s="61" t="s">
        <v>6056</v>
      </c>
    </row>
    <row r="12" spans="1:28" ht="66" customHeight="1">
      <c r="A12" s="41" t="s">
        <v>181</v>
      </c>
      <c r="B12" s="41" t="s">
        <v>473</v>
      </c>
      <c r="C12" s="41" t="s">
        <v>127</v>
      </c>
      <c r="D12" s="41" t="s">
        <v>182</v>
      </c>
      <c r="E12" s="41" t="s">
        <v>1615</v>
      </c>
      <c r="F12" s="41" t="s">
        <v>1616</v>
      </c>
      <c r="G12" s="41" t="s">
        <v>1617</v>
      </c>
      <c r="H12" s="41" t="s">
        <v>1618</v>
      </c>
      <c r="I12" s="41" t="s">
        <v>183</v>
      </c>
      <c r="J12" s="41" t="s">
        <v>1619</v>
      </c>
      <c r="K12" s="41" t="s">
        <v>1620</v>
      </c>
      <c r="L12" s="41" t="s">
        <v>1621</v>
      </c>
      <c r="M12" s="43">
        <v>5</v>
      </c>
      <c r="N12" s="43">
        <v>15</v>
      </c>
      <c r="O12" s="43" t="s">
        <v>1556</v>
      </c>
      <c r="P12" s="43" t="s">
        <v>1557</v>
      </c>
      <c r="Q12" s="43" t="s">
        <v>1558</v>
      </c>
      <c r="R12" s="43" t="s">
        <v>187</v>
      </c>
      <c r="S12" s="45">
        <v>35</v>
      </c>
      <c r="T12" s="45">
        <v>20</v>
      </c>
      <c r="U12" s="41" t="s">
        <v>1572</v>
      </c>
      <c r="V12" s="41" t="s">
        <v>1560</v>
      </c>
      <c r="W12" s="41"/>
      <c r="X12" s="41" t="s">
        <v>1401</v>
      </c>
      <c r="Y12" s="41" t="s">
        <v>1562</v>
      </c>
      <c r="Z12" s="41" t="s">
        <v>1563</v>
      </c>
      <c r="AA12" s="61" t="s">
        <v>1622</v>
      </c>
      <c r="AB12" s="61" t="s">
        <v>6056</v>
      </c>
    </row>
    <row r="13" spans="1:28" ht="79.150000000000006" customHeight="1">
      <c r="A13" s="40" t="s">
        <v>188</v>
      </c>
      <c r="B13" s="40" t="s">
        <v>473</v>
      </c>
      <c r="C13" s="40" t="s">
        <v>127</v>
      </c>
      <c r="D13" s="40" t="s">
        <v>189</v>
      </c>
      <c r="E13" s="40" t="s">
        <v>1623</v>
      </c>
      <c r="F13" s="40" t="s">
        <v>1624</v>
      </c>
      <c r="G13" s="40" t="s">
        <v>1625</v>
      </c>
      <c r="H13" s="40" t="s">
        <v>1626</v>
      </c>
      <c r="I13" s="40" t="s">
        <v>190</v>
      </c>
      <c r="J13" s="40" t="s">
        <v>1627</v>
      </c>
      <c r="K13" s="40" t="s">
        <v>1628</v>
      </c>
      <c r="L13" s="40" t="s">
        <v>1629</v>
      </c>
      <c r="M13" s="42">
        <v>25</v>
      </c>
      <c r="N13" s="42">
        <v>35</v>
      </c>
      <c r="O13" s="42" t="s">
        <v>1556</v>
      </c>
      <c r="P13" s="42" t="s">
        <v>1557</v>
      </c>
      <c r="Q13" s="42" t="s">
        <v>1558</v>
      </c>
      <c r="R13" s="42" t="s">
        <v>195</v>
      </c>
      <c r="S13" s="44">
        <v>80</v>
      </c>
      <c r="T13" s="44">
        <v>45</v>
      </c>
      <c r="U13" s="40" t="s">
        <v>1630</v>
      </c>
      <c r="V13" s="40" t="s">
        <v>1573</v>
      </c>
      <c r="W13" s="40"/>
      <c r="X13" s="40" t="s">
        <v>1561</v>
      </c>
      <c r="Y13" s="40" t="s">
        <v>1562</v>
      </c>
      <c r="Z13" s="40" t="s">
        <v>1563</v>
      </c>
      <c r="AA13" s="61" t="s">
        <v>1631</v>
      </c>
      <c r="AB13" s="61" t="s">
        <v>6056</v>
      </c>
    </row>
    <row r="14" spans="1:28" ht="79.150000000000006" customHeight="1">
      <c r="A14" s="41" t="s">
        <v>196</v>
      </c>
      <c r="B14" s="41" t="s">
        <v>473</v>
      </c>
      <c r="C14" s="41" t="s">
        <v>127</v>
      </c>
      <c r="D14" s="41" t="s">
        <v>197</v>
      </c>
      <c r="E14" s="41" t="s">
        <v>1632</v>
      </c>
      <c r="F14" s="41" t="s">
        <v>1633</v>
      </c>
      <c r="G14" s="41" t="s">
        <v>1634</v>
      </c>
      <c r="H14" s="41" t="s">
        <v>1635</v>
      </c>
      <c r="I14" s="41" t="s">
        <v>198</v>
      </c>
      <c r="J14" s="41" t="s">
        <v>1636</v>
      </c>
      <c r="K14" s="41" t="s">
        <v>1637</v>
      </c>
      <c r="L14" s="41" t="s">
        <v>1638</v>
      </c>
      <c r="M14" s="43">
        <v>25</v>
      </c>
      <c r="N14" s="43">
        <v>35</v>
      </c>
      <c r="O14" s="43" t="s">
        <v>1556</v>
      </c>
      <c r="P14" s="43" t="s">
        <v>1557</v>
      </c>
      <c r="Q14" s="43" t="s">
        <v>1558</v>
      </c>
      <c r="R14" s="43" t="s">
        <v>203</v>
      </c>
      <c r="S14" s="45">
        <v>80</v>
      </c>
      <c r="T14" s="45">
        <v>45</v>
      </c>
      <c r="U14" s="41" t="s">
        <v>1572</v>
      </c>
      <c r="V14" s="41" t="s">
        <v>1560</v>
      </c>
      <c r="W14" s="41"/>
      <c r="X14" s="41" t="s">
        <v>1561</v>
      </c>
      <c r="Y14" s="41" t="s">
        <v>1562</v>
      </c>
      <c r="Z14" s="41" t="s">
        <v>1563</v>
      </c>
      <c r="AA14" s="61" t="s">
        <v>1639</v>
      </c>
      <c r="AB14" s="61" t="s">
        <v>6056</v>
      </c>
    </row>
    <row r="15" spans="1:28" ht="66" customHeight="1">
      <c r="A15" s="40" t="s">
        <v>204</v>
      </c>
      <c r="B15" s="40" t="s">
        <v>473</v>
      </c>
      <c r="C15" s="40" t="s">
        <v>127</v>
      </c>
      <c r="D15" s="40" t="s">
        <v>205</v>
      </c>
      <c r="E15" s="40" t="s">
        <v>1640</v>
      </c>
      <c r="F15" s="40" t="s">
        <v>1641</v>
      </c>
      <c r="G15" s="40" t="s">
        <v>1642</v>
      </c>
      <c r="H15" s="40" t="s">
        <v>1643</v>
      </c>
      <c r="I15" s="40" t="s">
        <v>206</v>
      </c>
      <c r="J15" s="40" t="s">
        <v>776</v>
      </c>
      <c r="K15" s="40" t="s">
        <v>1644</v>
      </c>
      <c r="L15" s="40" t="s">
        <v>780</v>
      </c>
      <c r="M15" s="42">
        <v>5</v>
      </c>
      <c r="N15" s="42">
        <v>15</v>
      </c>
      <c r="O15" s="42" t="s">
        <v>1556</v>
      </c>
      <c r="P15" s="42" t="s">
        <v>1557</v>
      </c>
      <c r="Q15" s="42" t="s">
        <v>1558</v>
      </c>
      <c r="R15" s="42" t="s">
        <v>210</v>
      </c>
      <c r="S15" s="44">
        <v>35</v>
      </c>
      <c r="T15" s="44">
        <v>20</v>
      </c>
      <c r="U15" s="40" t="s">
        <v>1572</v>
      </c>
      <c r="V15" s="40" t="s">
        <v>1560</v>
      </c>
      <c r="W15" s="40"/>
      <c r="X15" s="40" t="s">
        <v>1401</v>
      </c>
      <c r="Y15" s="40" t="s">
        <v>1562</v>
      </c>
      <c r="Z15" s="40" t="s">
        <v>1563</v>
      </c>
      <c r="AA15" s="61" t="s">
        <v>1645</v>
      </c>
      <c r="AB15" s="61" t="s">
        <v>6056</v>
      </c>
    </row>
    <row r="16" spans="1:28" ht="79.150000000000006" customHeight="1">
      <c r="A16" s="41" t="s">
        <v>211</v>
      </c>
      <c r="B16" s="41" t="s">
        <v>473</v>
      </c>
      <c r="C16" s="41" t="s">
        <v>127</v>
      </c>
      <c r="D16" s="41" t="s">
        <v>212</v>
      </c>
      <c r="E16" s="41" t="s">
        <v>1646</v>
      </c>
      <c r="F16" s="41" t="s">
        <v>1647</v>
      </c>
      <c r="G16" s="41" t="s">
        <v>1648</v>
      </c>
      <c r="H16" s="41" t="s">
        <v>1649</v>
      </c>
      <c r="I16" s="41" t="s">
        <v>213</v>
      </c>
      <c r="J16" s="41" t="s">
        <v>1650</v>
      </c>
      <c r="K16" s="41" t="s">
        <v>1651</v>
      </c>
      <c r="L16" s="41" t="s">
        <v>1652</v>
      </c>
      <c r="M16" s="43">
        <v>35</v>
      </c>
      <c r="N16" s="43">
        <v>45</v>
      </c>
      <c r="O16" s="43" t="s">
        <v>1556</v>
      </c>
      <c r="P16" s="43" t="s">
        <v>1557</v>
      </c>
      <c r="Q16" s="43" t="s">
        <v>1558</v>
      </c>
      <c r="R16" s="43" t="s">
        <v>216</v>
      </c>
      <c r="S16" s="45">
        <v>110</v>
      </c>
      <c r="T16" s="45">
        <v>60</v>
      </c>
      <c r="U16" s="41" t="s">
        <v>1572</v>
      </c>
      <c r="V16" s="41" t="s">
        <v>1560</v>
      </c>
      <c r="W16" s="41"/>
      <c r="X16" s="41" t="s">
        <v>1561</v>
      </c>
      <c r="Y16" s="41" t="s">
        <v>1562</v>
      </c>
      <c r="Z16" s="41" t="s">
        <v>1563</v>
      </c>
      <c r="AA16" s="61" t="s">
        <v>1653</v>
      </c>
      <c r="AB16" s="61" t="s">
        <v>6056</v>
      </c>
    </row>
    <row r="17" spans="1:28" ht="79.150000000000006" customHeight="1">
      <c r="A17" s="40" t="s">
        <v>217</v>
      </c>
      <c r="B17" s="40" t="s">
        <v>473</v>
      </c>
      <c r="C17" s="40" t="s">
        <v>127</v>
      </c>
      <c r="D17" s="40" t="s">
        <v>218</v>
      </c>
      <c r="E17" s="40" t="s">
        <v>1654</v>
      </c>
      <c r="F17" s="40" t="s">
        <v>1655</v>
      </c>
      <c r="G17" s="40" t="s">
        <v>1656</v>
      </c>
      <c r="H17" s="40" t="s">
        <v>1657</v>
      </c>
      <c r="I17" s="40" t="s">
        <v>219</v>
      </c>
      <c r="J17" s="40" t="s">
        <v>1658</v>
      </c>
      <c r="K17" s="40" t="s">
        <v>1659</v>
      </c>
      <c r="L17" s="40" t="s">
        <v>1660</v>
      </c>
      <c r="M17" s="42">
        <v>15</v>
      </c>
      <c r="N17" s="42">
        <v>25</v>
      </c>
      <c r="O17" s="42" t="s">
        <v>1556</v>
      </c>
      <c r="P17" s="42" t="s">
        <v>1557</v>
      </c>
      <c r="Q17" s="42" t="s">
        <v>1558</v>
      </c>
      <c r="R17" s="42" t="s">
        <v>223</v>
      </c>
      <c r="S17" s="44">
        <v>55</v>
      </c>
      <c r="T17" s="44">
        <v>30</v>
      </c>
      <c r="U17" s="40" t="s">
        <v>1572</v>
      </c>
      <c r="V17" s="40" t="s">
        <v>1560</v>
      </c>
      <c r="W17" s="40"/>
      <c r="X17" s="40" t="s">
        <v>1561</v>
      </c>
      <c r="Y17" s="40" t="s">
        <v>1562</v>
      </c>
      <c r="Z17" s="40" t="s">
        <v>1563</v>
      </c>
      <c r="AA17" s="61" t="s">
        <v>1661</v>
      </c>
      <c r="AB17" s="61" t="s">
        <v>6056</v>
      </c>
    </row>
    <row r="18" spans="1:28" ht="66" customHeight="1">
      <c r="A18" s="41" t="s">
        <v>224</v>
      </c>
      <c r="B18" s="41" t="s">
        <v>473</v>
      </c>
      <c r="C18" s="41" t="s">
        <v>127</v>
      </c>
      <c r="D18" s="41" t="s">
        <v>225</v>
      </c>
      <c r="E18" s="41" t="s">
        <v>1662</v>
      </c>
      <c r="F18" s="41" t="s">
        <v>1663</v>
      </c>
      <c r="G18" s="41" t="s">
        <v>1664</v>
      </c>
      <c r="H18" s="41" t="s">
        <v>1665</v>
      </c>
      <c r="I18" s="41" t="s">
        <v>226</v>
      </c>
      <c r="J18" s="41" t="s">
        <v>837</v>
      </c>
      <c r="K18" s="41" t="s">
        <v>1666</v>
      </c>
      <c r="L18" s="41" t="s">
        <v>842</v>
      </c>
      <c r="M18" s="43">
        <v>5</v>
      </c>
      <c r="N18" s="43">
        <v>15</v>
      </c>
      <c r="O18" s="43" t="s">
        <v>1556</v>
      </c>
      <c r="P18" s="43" t="s">
        <v>1557</v>
      </c>
      <c r="Q18" s="43" t="s">
        <v>1558</v>
      </c>
      <c r="R18" s="43" t="s">
        <v>230</v>
      </c>
      <c r="S18" s="45">
        <v>35</v>
      </c>
      <c r="T18" s="45">
        <v>20</v>
      </c>
      <c r="U18" s="41" t="s">
        <v>1667</v>
      </c>
      <c r="V18" s="41" t="s">
        <v>1560</v>
      </c>
      <c r="W18" s="41"/>
      <c r="X18" s="41" t="s">
        <v>1561</v>
      </c>
      <c r="Y18" s="41" t="s">
        <v>1562</v>
      </c>
      <c r="Z18" s="41" t="s">
        <v>1563</v>
      </c>
      <c r="AA18" s="61" t="s">
        <v>1668</v>
      </c>
      <c r="AB18" s="61" t="s">
        <v>6056</v>
      </c>
    </row>
    <row r="19" spans="1:28" ht="79.150000000000006" customHeight="1">
      <c r="A19" s="40" t="s">
        <v>231</v>
      </c>
      <c r="B19" s="40" t="s">
        <v>473</v>
      </c>
      <c r="C19" s="40" t="s">
        <v>127</v>
      </c>
      <c r="D19" s="40" t="s">
        <v>232</v>
      </c>
      <c r="E19" s="40" t="s">
        <v>1669</v>
      </c>
      <c r="F19" s="40" t="s">
        <v>1670</v>
      </c>
      <c r="G19" s="40" t="s">
        <v>1671</v>
      </c>
      <c r="H19" s="40" t="s">
        <v>1672</v>
      </c>
      <c r="I19" s="40" t="s">
        <v>233</v>
      </c>
      <c r="J19" s="40" t="s">
        <v>1673</v>
      </c>
      <c r="K19" s="40" t="s">
        <v>1674</v>
      </c>
      <c r="L19" s="40" t="s">
        <v>1675</v>
      </c>
      <c r="M19" s="42">
        <v>15</v>
      </c>
      <c r="N19" s="42">
        <v>25</v>
      </c>
      <c r="O19" s="42" t="s">
        <v>1556</v>
      </c>
      <c r="P19" s="42" t="s">
        <v>1557</v>
      </c>
      <c r="Q19" s="42" t="s">
        <v>1558</v>
      </c>
      <c r="R19" s="42" t="s">
        <v>238</v>
      </c>
      <c r="S19" s="44">
        <v>55</v>
      </c>
      <c r="T19" s="44">
        <v>30</v>
      </c>
      <c r="U19" s="40" t="s">
        <v>1572</v>
      </c>
      <c r="V19" s="40" t="s">
        <v>1560</v>
      </c>
      <c r="W19" s="40" t="s">
        <v>236</v>
      </c>
      <c r="X19" s="40" t="s">
        <v>1561</v>
      </c>
      <c r="Y19" s="40" t="s">
        <v>1562</v>
      </c>
      <c r="Z19" s="40" t="s">
        <v>1563</v>
      </c>
      <c r="AA19" s="61" t="s">
        <v>1676</v>
      </c>
      <c r="AB19" s="61" t="s">
        <v>6056</v>
      </c>
    </row>
    <row r="20" spans="1:28" ht="92.45" customHeight="1">
      <c r="A20" s="41" t="s">
        <v>239</v>
      </c>
      <c r="B20" s="41" t="s">
        <v>473</v>
      </c>
      <c r="C20" s="41" t="s">
        <v>127</v>
      </c>
      <c r="D20" s="41" t="s">
        <v>240</v>
      </c>
      <c r="E20" s="41" t="s">
        <v>1677</v>
      </c>
      <c r="F20" s="41" t="s">
        <v>1678</v>
      </c>
      <c r="G20" s="41" t="s">
        <v>1679</v>
      </c>
      <c r="H20" s="41" t="s">
        <v>1680</v>
      </c>
      <c r="I20" s="41" t="s">
        <v>241</v>
      </c>
      <c r="J20" s="41" t="s">
        <v>1681</v>
      </c>
      <c r="K20" s="41" t="s">
        <v>1682</v>
      </c>
      <c r="L20" s="41" t="s">
        <v>1683</v>
      </c>
      <c r="M20" s="43">
        <v>35</v>
      </c>
      <c r="N20" s="43">
        <v>45</v>
      </c>
      <c r="O20" s="43" t="s">
        <v>1556</v>
      </c>
      <c r="P20" s="43" t="s">
        <v>1557</v>
      </c>
      <c r="Q20" s="43" t="s">
        <v>1558</v>
      </c>
      <c r="R20" s="43" t="s">
        <v>246</v>
      </c>
      <c r="S20" s="45">
        <v>110</v>
      </c>
      <c r="T20" s="45">
        <v>60</v>
      </c>
      <c r="U20" s="41" t="s">
        <v>1572</v>
      </c>
      <c r="V20" s="41" t="s">
        <v>1573</v>
      </c>
      <c r="W20" s="41"/>
      <c r="X20" s="41" t="s">
        <v>1401</v>
      </c>
      <c r="Y20" s="41" t="s">
        <v>1562</v>
      </c>
      <c r="Z20" s="41" t="s">
        <v>1563</v>
      </c>
      <c r="AA20" s="61" t="s">
        <v>1684</v>
      </c>
      <c r="AB20" s="61" t="s">
        <v>6056</v>
      </c>
    </row>
    <row r="21" spans="1:28" ht="66" customHeight="1">
      <c r="A21" s="40" t="s">
        <v>247</v>
      </c>
      <c r="B21" s="40" t="s">
        <v>473</v>
      </c>
      <c r="C21" s="40" t="s">
        <v>248</v>
      </c>
      <c r="D21" s="40" t="s">
        <v>249</v>
      </c>
      <c r="E21" s="40" t="s">
        <v>1685</v>
      </c>
      <c r="F21" s="40" t="s">
        <v>1686</v>
      </c>
      <c r="G21" s="40" t="s">
        <v>1687</v>
      </c>
      <c r="H21" s="40" t="s">
        <v>1688</v>
      </c>
      <c r="I21" s="40" t="s">
        <v>250</v>
      </c>
      <c r="J21" s="40" t="s">
        <v>1689</v>
      </c>
      <c r="K21" s="40" t="s">
        <v>1690</v>
      </c>
      <c r="L21" s="40" t="s">
        <v>1691</v>
      </c>
      <c r="M21" s="42">
        <v>15</v>
      </c>
      <c r="N21" s="42">
        <v>25</v>
      </c>
      <c r="O21" s="42" t="s">
        <v>1556</v>
      </c>
      <c r="P21" s="42" t="s">
        <v>1692</v>
      </c>
      <c r="Q21" s="42" t="s">
        <v>1558</v>
      </c>
      <c r="R21" s="42" t="s">
        <v>254</v>
      </c>
      <c r="S21" s="44">
        <v>55</v>
      </c>
      <c r="T21" s="44">
        <v>30</v>
      </c>
      <c r="U21" s="40" t="s">
        <v>1572</v>
      </c>
      <c r="V21" s="40" t="s">
        <v>1560</v>
      </c>
      <c r="W21" s="40"/>
      <c r="X21" s="40" t="s">
        <v>1561</v>
      </c>
      <c r="Y21" s="40" t="s">
        <v>1562</v>
      </c>
      <c r="Z21" s="40" t="s">
        <v>1563</v>
      </c>
      <c r="AA21" s="61" t="s">
        <v>1693</v>
      </c>
      <c r="AB21" s="61" t="s">
        <v>6056</v>
      </c>
    </row>
    <row r="22" spans="1:28" ht="66" customHeight="1">
      <c r="A22" s="41" t="s">
        <v>255</v>
      </c>
      <c r="B22" s="41" t="s">
        <v>473</v>
      </c>
      <c r="C22" s="41" t="s">
        <v>248</v>
      </c>
      <c r="D22" s="41" t="s">
        <v>256</v>
      </c>
      <c r="E22" s="41" t="s">
        <v>1694</v>
      </c>
      <c r="F22" s="41" t="s">
        <v>1695</v>
      </c>
      <c r="G22" s="41" t="s">
        <v>1696</v>
      </c>
      <c r="H22" s="41" t="s">
        <v>1697</v>
      </c>
      <c r="I22" s="41" t="s">
        <v>257</v>
      </c>
      <c r="J22" s="41" t="s">
        <v>916</v>
      </c>
      <c r="K22" s="41" t="s">
        <v>1698</v>
      </c>
      <c r="L22" s="41" t="s">
        <v>919</v>
      </c>
      <c r="M22" s="43">
        <v>5</v>
      </c>
      <c r="N22" s="43">
        <v>15</v>
      </c>
      <c r="O22" s="43" t="s">
        <v>1556</v>
      </c>
      <c r="P22" s="43" t="s">
        <v>1692</v>
      </c>
      <c r="Q22" s="43" t="s">
        <v>1558</v>
      </c>
      <c r="R22" s="43" t="s">
        <v>261</v>
      </c>
      <c r="S22" s="45">
        <v>35</v>
      </c>
      <c r="T22" s="45">
        <v>20</v>
      </c>
      <c r="U22" s="41" t="s">
        <v>1572</v>
      </c>
      <c r="V22" s="41" t="s">
        <v>1560</v>
      </c>
      <c r="W22" s="41"/>
      <c r="X22" s="41" t="s">
        <v>1401</v>
      </c>
      <c r="Y22" s="41" t="s">
        <v>1562</v>
      </c>
      <c r="Z22" s="41" t="s">
        <v>1563</v>
      </c>
      <c r="AA22" s="61" t="s">
        <v>1699</v>
      </c>
      <c r="AB22" s="61" t="s">
        <v>6056</v>
      </c>
    </row>
    <row r="23" spans="1:28" ht="79.150000000000006" customHeight="1">
      <c r="A23" s="40" t="s">
        <v>262</v>
      </c>
      <c r="B23" s="40" t="s">
        <v>473</v>
      </c>
      <c r="C23" s="40" t="s">
        <v>248</v>
      </c>
      <c r="D23" s="40" t="s">
        <v>263</v>
      </c>
      <c r="E23" s="40" t="s">
        <v>1700</v>
      </c>
      <c r="F23" s="40" t="s">
        <v>1701</v>
      </c>
      <c r="G23" s="40" t="s">
        <v>1702</v>
      </c>
      <c r="H23" s="40" t="s">
        <v>1703</v>
      </c>
      <c r="I23" s="40" t="s">
        <v>264</v>
      </c>
      <c r="J23" s="40" t="s">
        <v>1704</v>
      </c>
      <c r="K23" s="40" t="s">
        <v>1705</v>
      </c>
      <c r="L23" s="40" t="s">
        <v>1706</v>
      </c>
      <c r="M23" s="42">
        <v>25</v>
      </c>
      <c r="N23" s="42">
        <v>35</v>
      </c>
      <c r="O23" s="42" t="s">
        <v>1556</v>
      </c>
      <c r="P23" s="42" t="s">
        <v>1692</v>
      </c>
      <c r="Q23" s="42" t="s">
        <v>1558</v>
      </c>
      <c r="R23" s="42" t="s">
        <v>269</v>
      </c>
      <c r="S23" s="44">
        <v>80</v>
      </c>
      <c r="T23" s="44">
        <v>45</v>
      </c>
      <c r="U23" s="40" t="s">
        <v>1572</v>
      </c>
      <c r="V23" s="40" t="s">
        <v>1573</v>
      </c>
      <c r="W23" s="40"/>
      <c r="X23" s="40" t="s">
        <v>1401</v>
      </c>
      <c r="Y23" s="40" t="s">
        <v>1562</v>
      </c>
      <c r="Z23" s="40" t="s">
        <v>1563</v>
      </c>
      <c r="AA23" s="61" t="s">
        <v>1707</v>
      </c>
      <c r="AB23" s="61" t="s">
        <v>6056</v>
      </c>
    </row>
    <row r="24" spans="1:28" ht="92.45" customHeight="1">
      <c r="A24" s="41" t="s">
        <v>270</v>
      </c>
      <c r="B24" s="41" t="s">
        <v>473</v>
      </c>
      <c r="C24" s="41" t="s">
        <v>248</v>
      </c>
      <c r="D24" s="41" t="s">
        <v>271</v>
      </c>
      <c r="E24" s="41" t="s">
        <v>1708</v>
      </c>
      <c r="F24" s="41" t="s">
        <v>1709</v>
      </c>
      <c r="G24" s="41" t="s">
        <v>1710</v>
      </c>
      <c r="H24" s="41" t="s">
        <v>1711</v>
      </c>
      <c r="I24" s="41" t="s">
        <v>272</v>
      </c>
      <c r="J24" s="41" t="s">
        <v>1712</v>
      </c>
      <c r="K24" s="41" t="s">
        <v>1713</v>
      </c>
      <c r="L24" s="41" t="s">
        <v>1714</v>
      </c>
      <c r="M24" s="43">
        <v>35</v>
      </c>
      <c r="N24" s="43">
        <v>45</v>
      </c>
      <c r="O24" s="43" t="s">
        <v>1556</v>
      </c>
      <c r="P24" s="43" t="s">
        <v>1692</v>
      </c>
      <c r="Q24" s="43" t="s">
        <v>1558</v>
      </c>
      <c r="R24" s="43" t="s">
        <v>277</v>
      </c>
      <c r="S24" s="45">
        <v>110</v>
      </c>
      <c r="T24" s="45">
        <v>60</v>
      </c>
      <c r="U24" s="41" t="s">
        <v>1572</v>
      </c>
      <c r="V24" s="41" t="s">
        <v>1560</v>
      </c>
      <c r="W24" s="41"/>
      <c r="X24" s="41" t="s">
        <v>1561</v>
      </c>
      <c r="Y24" s="41" t="s">
        <v>1562</v>
      </c>
      <c r="Z24" s="41" t="s">
        <v>1563</v>
      </c>
      <c r="AA24" s="61" t="s">
        <v>1715</v>
      </c>
      <c r="AB24" s="61" t="s">
        <v>6056</v>
      </c>
    </row>
    <row r="25" spans="1:28" ht="79.150000000000006" customHeight="1">
      <c r="A25" s="40" t="s">
        <v>278</v>
      </c>
      <c r="B25" s="40" t="s">
        <v>473</v>
      </c>
      <c r="C25" s="40" t="s">
        <v>248</v>
      </c>
      <c r="D25" s="40" t="s">
        <v>279</v>
      </c>
      <c r="E25" s="40" t="s">
        <v>1716</v>
      </c>
      <c r="F25" s="40" t="s">
        <v>1717</v>
      </c>
      <c r="G25" s="40" t="s">
        <v>1718</v>
      </c>
      <c r="H25" s="40" t="s">
        <v>1719</v>
      </c>
      <c r="I25" s="40" t="s">
        <v>280</v>
      </c>
      <c r="J25" s="40" t="s">
        <v>1720</v>
      </c>
      <c r="K25" s="40" t="s">
        <v>1721</v>
      </c>
      <c r="L25" s="40" t="s">
        <v>1722</v>
      </c>
      <c r="M25" s="42">
        <v>15</v>
      </c>
      <c r="N25" s="42">
        <v>25</v>
      </c>
      <c r="O25" s="42" t="s">
        <v>1556</v>
      </c>
      <c r="P25" s="42" t="s">
        <v>1692</v>
      </c>
      <c r="Q25" s="42" t="s">
        <v>1558</v>
      </c>
      <c r="R25" s="42" t="s">
        <v>285</v>
      </c>
      <c r="S25" s="44">
        <v>55</v>
      </c>
      <c r="T25" s="44">
        <v>30</v>
      </c>
      <c r="U25" s="40" t="s">
        <v>1572</v>
      </c>
      <c r="V25" s="40" t="s">
        <v>1560</v>
      </c>
      <c r="W25" s="40"/>
      <c r="X25" s="40" t="s">
        <v>1401</v>
      </c>
      <c r="Y25" s="40" t="s">
        <v>1562</v>
      </c>
      <c r="Z25" s="40" t="s">
        <v>1563</v>
      </c>
      <c r="AA25" s="61" t="s">
        <v>1723</v>
      </c>
      <c r="AB25" s="61" t="s">
        <v>6056</v>
      </c>
    </row>
    <row r="26" spans="1:28" ht="66" customHeight="1">
      <c r="A26" s="41" t="s">
        <v>286</v>
      </c>
      <c r="B26" s="41" t="s">
        <v>473</v>
      </c>
      <c r="C26" s="41" t="s">
        <v>248</v>
      </c>
      <c r="D26" s="41" t="s">
        <v>287</v>
      </c>
      <c r="E26" s="41" t="s">
        <v>1724</v>
      </c>
      <c r="F26" s="41" t="s">
        <v>1725</v>
      </c>
      <c r="G26" s="41" t="s">
        <v>1726</v>
      </c>
      <c r="H26" s="41" t="s">
        <v>1727</v>
      </c>
      <c r="I26" s="41" t="s">
        <v>288</v>
      </c>
      <c r="J26" s="41" t="s">
        <v>993</v>
      </c>
      <c r="K26" s="41" t="s">
        <v>1728</v>
      </c>
      <c r="L26" s="41" t="s">
        <v>997</v>
      </c>
      <c r="M26" s="43">
        <v>5</v>
      </c>
      <c r="N26" s="43">
        <v>15</v>
      </c>
      <c r="O26" s="43" t="s">
        <v>1556</v>
      </c>
      <c r="P26" s="43" t="s">
        <v>1692</v>
      </c>
      <c r="Q26" s="43" t="s">
        <v>1558</v>
      </c>
      <c r="R26" s="43" t="s">
        <v>291</v>
      </c>
      <c r="S26" s="45">
        <v>35</v>
      </c>
      <c r="T26" s="45">
        <v>20</v>
      </c>
      <c r="U26" s="41" t="s">
        <v>1572</v>
      </c>
      <c r="V26" s="41" t="s">
        <v>1560</v>
      </c>
      <c r="W26" s="41"/>
      <c r="X26" s="41" t="s">
        <v>1401</v>
      </c>
      <c r="Y26" s="41" t="s">
        <v>1562</v>
      </c>
      <c r="Z26" s="41" t="s">
        <v>1563</v>
      </c>
      <c r="AA26" s="61" t="s">
        <v>1729</v>
      </c>
      <c r="AB26" s="61" t="s">
        <v>6056</v>
      </c>
    </row>
    <row r="27" spans="1:28" ht="79.150000000000006" customHeight="1">
      <c r="A27" s="40" t="s">
        <v>292</v>
      </c>
      <c r="B27" s="40" t="s">
        <v>473</v>
      </c>
      <c r="C27" s="40" t="s">
        <v>248</v>
      </c>
      <c r="D27" s="40" t="s">
        <v>293</v>
      </c>
      <c r="E27" s="40" t="s">
        <v>1730</v>
      </c>
      <c r="F27" s="40" t="s">
        <v>1731</v>
      </c>
      <c r="G27" s="40" t="s">
        <v>1732</v>
      </c>
      <c r="H27" s="40" t="s">
        <v>1733</v>
      </c>
      <c r="I27" s="40" t="s">
        <v>294</v>
      </c>
      <c r="J27" s="40" t="s">
        <v>1734</v>
      </c>
      <c r="K27" s="40" t="s">
        <v>1735</v>
      </c>
      <c r="L27" s="40" t="s">
        <v>1736</v>
      </c>
      <c r="M27" s="42">
        <v>15</v>
      </c>
      <c r="N27" s="42">
        <v>25</v>
      </c>
      <c r="O27" s="42" t="s">
        <v>1556</v>
      </c>
      <c r="P27" s="42" t="s">
        <v>1692</v>
      </c>
      <c r="Q27" s="42" t="s">
        <v>1558</v>
      </c>
      <c r="R27" s="42" t="s">
        <v>297</v>
      </c>
      <c r="S27" s="44">
        <v>55</v>
      </c>
      <c r="T27" s="44">
        <v>30</v>
      </c>
      <c r="U27" s="40" t="s">
        <v>1572</v>
      </c>
      <c r="V27" s="40" t="s">
        <v>1560</v>
      </c>
      <c r="W27" s="40"/>
      <c r="X27" s="40" t="s">
        <v>1401</v>
      </c>
      <c r="Y27" s="40" t="s">
        <v>1562</v>
      </c>
      <c r="Z27" s="40" t="s">
        <v>1563</v>
      </c>
      <c r="AA27" s="61" t="s">
        <v>1737</v>
      </c>
      <c r="AB27" s="61" t="s">
        <v>6056</v>
      </c>
    </row>
    <row r="28" spans="1:28" ht="79.150000000000006" customHeight="1">
      <c r="A28" s="41" t="s">
        <v>298</v>
      </c>
      <c r="B28" s="41" t="s">
        <v>473</v>
      </c>
      <c r="C28" s="41" t="s">
        <v>248</v>
      </c>
      <c r="D28" s="41" t="s">
        <v>299</v>
      </c>
      <c r="E28" s="41" t="s">
        <v>1738</v>
      </c>
      <c r="F28" s="41" t="s">
        <v>1739</v>
      </c>
      <c r="G28" s="41" t="s">
        <v>1740</v>
      </c>
      <c r="H28" s="41" t="s">
        <v>1741</v>
      </c>
      <c r="I28" s="41" t="s">
        <v>300</v>
      </c>
      <c r="J28" s="41" t="s">
        <v>1742</v>
      </c>
      <c r="K28" s="41" t="s">
        <v>1743</v>
      </c>
      <c r="L28" s="41" t="s">
        <v>1744</v>
      </c>
      <c r="M28" s="43">
        <v>25</v>
      </c>
      <c r="N28" s="43">
        <v>35</v>
      </c>
      <c r="O28" s="43" t="s">
        <v>1556</v>
      </c>
      <c r="P28" s="43" t="s">
        <v>1692</v>
      </c>
      <c r="Q28" s="43" t="s">
        <v>1558</v>
      </c>
      <c r="R28" s="43" t="s">
        <v>304</v>
      </c>
      <c r="S28" s="45">
        <v>80</v>
      </c>
      <c r="T28" s="45">
        <v>45</v>
      </c>
      <c r="U28" s="41" t="s">
        <v>1572</v>
      </c>
      <c r="V28" s="41" t="s">
        <v>1560</v>
      </c>
      <c r="W28" s="41"/>
      <c r="X28" s="41" t="s">
        <v>1561</v>
      </c>
      <c r="Y28" s="41" t="s">
        <v>1562</v>
      </c>
      <c r="Z28" s="41" t="s">
        <v>1563</v>
      </c>
      <c r="AA28" s="61" t="s">
        <v>1745</v>
      </c>
      <c r="AB28" s="61" t="s">
        <v>6056</v>
      </c>
    </row>
    <row r="29" spans="1:28" ht="79.150000000000006" customHeight="1">
      <c r="A29" s="40" t="s">
        <v>305</v>
      </c>
      <c r="B29" s="40" t="s">
        <v>473</v>
      </c>
      <c r="C29" s="40" t="s">
        <v>248</v>
      </c>
      <c r="D29" s="40" t="s">
        <v>306</v>
      </c>
      <c r="E29" s="40" t="s">
        <v>1746</v>
      </c>
      <c r="F29" s="40" t="s">
        <v>1747</v>
      </c>
      <c r="G29" s="40" t="s">
        <v>1748</v>
      </c>
      <c r="H29" s="40" t="s">
        <v>1749</v>
      </c>
      <c r="I29" s="40" t="s">
        <v>307</v>
      </c>
      <c r="J29" s="40" t="s">
        <v>1750</v>
      </c>
      <c r="K29" s="40" t="s">
        <v>1751</v>
      </c>
      <c r="L29" s="40" t="s">
        <v>1752</v>
      </c>
      <c r="M29" s="42">
        <v>25</v>
      </c>
      <c r="N29" s="42">
        <v>35</v>
      </c>
      <c r="O29" s="42" t="s">
        <v>1556</v>
      </c>
      <c r="P29" s="42" t="s">
        <v>1692</v>
      </c>
      <c r="Q29" s="42" t="s">
        <v>1558</v>
      </c>
      <c r="R29" s="42" t="s">
        <v>311</v>
      </c>
      <c r="S29" s="44">
        <v>80</v>
      </c>
      <c r="T29" s="44">
        <v>45</v>
      </c>
      <c r="U29" s="40" t="s">
        <v>1572</v>
      </c>
      <c r="V29" s="40" t="s">
        <v>1560</v>
      </c>
      <c r="W29" s="40"/>
      <c r="X29" s="40" t="s">
        <v>1561</v>
      </c>
      <c r="Y29" s="40" t="s">
        <v>1562</v>
      </c>
      <c r="Z29" s="40" t="s">
        <v>1563</v>
      </c>
      <c r="AA29" s="61" t="s">
        <v>1753</v>
      </c>
      <c r="AB29" s="61" t="s">
        <v>6056</v>
      </c>
    </row>
    <row r="30" spans="1:28" ht="79.150000000000006" customHeight="1">
      <c r="A30" s="41" t="s">
        <v>312</v>
      </c>
      <c r="B30" s="41" t="s">
        <v>473</v>
      </c>
      <c r="C30" s="41" t="s">
        <v>248</v>
      </c>
      <c r="D30" s="41" t="s">
        <v>313</v>
      </c>
      <c r="E30" s="41" t="s">
        <v>1754</v>
      </c>
      <c r="F30" s="41" t="s">
        <v>1755</v>
      </c>
      <c r="G30" s="41" t="s">
        <v>1756</v>
      </c>
      <c r="H30" s="41" t="s">
        <v>1757</v>
      </c>
      <c r="I30" s="41" t="s">
        <v>314</v>
      </c>
      <c r="J30" s="41" t="s">
        <v>1061</v>
      </c>
      <c r="K30" s="41" t="s">
        <v>1758</v>
      </c>
      <c r="L30" s="41" t="s">
        <v>1064</v>
      </c>
      <c r="M30" s="43">
        <v>5</v>
      </c>
      <c r="N30" s="43">
        <v>15</v>
      </c>
      <c r="O30" s="43" t="s">
        <v>1556</v>
      </c>
      <c r="P30" s="43" t="s">
        <v>1692</v>
      </c>
      <c r="Q30" s="43" t="s">
        <v>1558</v>
      </c>
      <c r="R30" s="43" t="s">
        <v>318</v>
      </c>
      <c r="S30" s="45">
        <v>35</v>
      </c>
      <c r="T30" s="45">
        <v>20</v>
      </c>
      <c r="U30" s="41" t="s">
        <v>1759</v>
      </c>
      <c r="V30" s="41" t="s">
        <v>1573</v>
      </c>
      <c r="W30" s="41"/>
      <c r="X30" s="41" t="s">
        <v>1401</v>
      </c>
      <c r="Y30" s="41" t="s">
        <v>1562</v>
      </c>
      <c r="Z30" s="41" t="s">
        <v>1563</v>
      </c>
      <c r="AA30" s="61" t="s">
        <v>1760</v>
      </c>
      <c r="AB30" s="61" t="s">
        <v>6056</v>
      </c>
    </row>
    <row r="31" spans="1:28" ht="66" customHeight="1">
      <c r="A31" s="40" t="s">
        <v>474</v>
      </c>
      <c r="B31" s="40" t="s">
        <v>475</v>
      </c>
      <c r="C31" s="40" t="s">
        <v>127</v>
      </c>
      <c r="D31" s="40" t="s">
        <v>476</v>
      </c>
      <c r="E31" s="40" t="s">
        <v>1761</v>
      </c>
      <c r="F31" s="40" t="s">
        <v>1762</v>
      </c>
      <c r="G31" s="40" t="s">
        <v>1763</v>
      </c>
      <c r="H31" s="40" t="s">
        <v>1764</v>
      </c>
      <c r="I31" s="40" t="s">
        <v>477</v>
      </c>
      <c r="J31" s="40" t="s">
        <v>569</v>
      </c>
      <c r="K31" s="40" t="s">
        <v>1765</v>
      </c>
      <c r="L31" s="40" t="s">
        <v>577</v>
      </c>
      <c r="M31" s="42">
        <v>5</v>
      </c>
      <c r="N31" s="42">
        <v>15</v>
      </c>
      <c r="O31" s="42" t="s">
        <v>1766</v>
      </c>
      <c r="P31" s="42" t="s">
        <v>1767</v>
      </c>
      <c r="Q31" s="42" t="s">
        <v>1768</v>
      </c>
      <c r="R31" s="42" t="s">
        <v>1769</v>
      </c>
      <c r="S31" s="44">
        <v>50</v>
      </c>
      <c r="T31" s="44">
        <v>25</v>
      </c>
      <c r="U31" s="40" t="s">
        <v>1572</v>
      </c>
      <c r="V31" s="40" t="s">
        <v>1770</v>
      </c>
      <c r="W31" s="40"/>
      <c r="X31" s="40" t="s">
        <v>1561</v>
      </c>
      <c r="Y31" s="40" t="s">
        <v>1771</v>
      </c>
      <c r="Z31" s="40" t="s">
        <v>1563</v>
      </c>
      <c r="AA31" s="61" t="s">
        <v>1772</v>
      </c>
      <c r="AB31" s="61" t="s">
        <v>6056</v>
      </c>
    </row>
    <row r="32" spans="1:28" ht="66" customHeight="1">
      <c r="A32" s="41" t="s">
        <v>481</v>
      </c>
      <c r="B32" s="41" t="s">
        <v>475</v>
      </c>
      <c r="C32" s="41" t="s">
        <v>127</v>
      </c>
      <c r="D32" s="41" t="s">
        <v>482</v>
      </c>
      <c r="E32" s="41" t="s">
        <v>1761</v>
      </c>
      <c r="F32" s="41" t="s">
        <v>1762</v>
      </c>
      <c r="G32" s="41" t="s">
        <v>1773</v>
      </c>
      <c r="H32" s="41" t="s">
        <v>1764</v>
      </c>
      <c r="I32" s="41" t="s">
        <v>483</v>
      </c>
      <c r="J32" s="41" t="s">
        <v>1067</v>
      </c>
      <c r="K32" s="41" t="s">
        <v>1774</v>
      </c>
      <c r="L32" s="41" t="s">
        <v>1071</v>
      </c>
      <c r="M32" s="43">
        <v>5</v>
      </c>
      <c r="N32" s="43">
        <v>15</v>
      </c>
      <c r="O32" s="43" t="s">
        <v>1766</v>
      </c>
      <c r="P32" s="43" t="s">
        <v>1767</v>
      </c>
      <c r="Q32" s="43" t="s">
        <v>1768</v>
      </c>
      <c r="R32" s="43" t="s">
        <v>1775</v>
      </c>
      <c r="S32" s="45">
        <v>50</v>
      </c>
      <c r="T32" s="45">
        <v>25</v>
      </c>
      <c r="U32" s="41" t="s">
        <v>1572</v>
      </c>
      <c r="V32" s="41" t="s">
        <v>1770</v>
      </c>
      <c r="W32" s="41"/>
      <c r="X32" s="41" t="s">
        <v>1401</v>
      </c>
      <c r="Y32" s="41" t="s">
        <v>1771</v>
      </c>
      <c r="Z32" s="41" t="s">
        <v>1563</v>
      </c>
      <c r="AA32" s="61" t="s">
        <v>1776</v>
      </c>
      <c r="AB32" s="61" t="s">
        <v>6056</v>
      </c>
    </row>
    <row r="33" spans="1:28" ht="79.150000000000006" customHeight="1">
      <c r="A33" s="40" t="s">
        <v>486</v>
      </c>
      <c r="B33" s="40" t="s">
        <v>475</v>
      </c>
      <c r="C33" s="40" t="s">
        <v>127</v>
      </c>
      <c r="D33" s="40" t="s">
        <v>487</v>
      </c>
      <c r="E33" s="40" t="s">
        <v>1761</v>
      </c>
      <c r="F33" s="40" t="s">
        <v>1762</v>
      </c>
      <c r="G33" s="40" t="s">
        <v>1777</v>
      </c>
      <c r="H33" s="40" t="s">
        <v>1764</v>
      </c>
      <c r="I33" s="40" t="s">
        <v>168</v>
      </c>
      <c r="J33" s="40" t="s">
        <v>1602</v>
      </c>
      <c r="K33" s="40" t="s">
        <v>1603</v>
      </c>
      <c r="L33" s="40" t="s">
        <v>1604</v>
      </c>
      <c r="M33" s="42">
        <v>15</v>
      </c>
      <c r="N33" s="42">
        <v>25</v>
      </c>
      <c r="O33" s="42" t="s">
        <v>1766</v>
      </c>
      <c r="P33" s="42" t="s">
        <v>1767</v>
      </c>
      <c r="Q33" s="42" t="s">
        <v>1768</v>
      </c>
      <c r="R33" s="42" t="s">
        <v>1778</v>
      </c>
      <c r="S33" s="44">
        <v>50</v>
      </c>
      <c r="T33" s="44">
        <v>25</v>
      </c>
      <c r="U33" s="40" t="s">
        <v>1572</v>
      </c>
      <c r="V33" s="40" t="s">
        <v>1770</v>
      </c>
      <c r="W33" s="40"/>
      <c r="X33" s="40" t="s">
        <v>1401</v>
      </c>
      <c r="Y33" s="40" t="s">
        <v>1771</v>
      </c>
      <c r="Z33" s="40" t="s">
        <v>1563</v>
      </c>
      <c r="AA33" s="61" t="s">
        <v>1779</v>
      </c>
      <c r="AB33" s="61" t="s">
        <v>6056</v>
      </c>
    </row>
    <row r="34" spans="1:28" ht="79.150000000000006" customHeight="1">
      <c r="A34" s="41" t="s">
        <v>490</v>
      </c>
      <c r="B34" s="41" t="s">
        <v>491</v>
      </c>
      <c r="C34" s="41" t="s">
        <v>492</v>
      </c>
      <c r="D34" s="41" t="s">
        <v>493</v>
      </c>
      <c r="E34" s="41" t="s">
        <v>1761</v>
      </c>
      <c r="F34" s="41" t="s">
        <v>1762</v>
      </c>
      <c r="G34" s="41" t="s">
        <v>1780</v>
      </c>
      <c r="H34" s="41" t="s">
        <v>1764</v>
      </c>
      <c r="I34" s="41" t="s">
        <v>494</v>
      </c>
      <c r="J34" s="41" t="s">
        <v>831</v>
      </c>
      <c r="K34" s="41" t="s">
        <v>1781</v>
      </c>
      <c r="L34" s="41" t="s">
        <v>834</v>
      </c>
      <c r="M34" s="43">
        <v>0</v>
      </c>
      <c r="N34" s="43">
        <v>0</v>
      </c>
      <c r="O34" s="43" t="s">
        <v>1782</v>
      </c>
      <c r="P34" s="43" t="s">
        <v>1767</v>
      </c>
      <c r="Q34" s="43" t="s">
        <v>1768</v>
      </c>
      <c r="R34" s="43" t="s">
        <v>1783</v>
      </c>
      <c r="S34" s="45">
        <v>120</v>
      </c>
      <c r="T34" s="45">
        <v>50</v>
      </c>
      <c r="U34" s="41" t="s">
        <v>1572</v>
      </c>
      <c r="V34" s="41" t="s">
        <v>1784</v>
      </c>
      <c r="W34" s="41"/>
      <c r="X34" s="41" t="s">
        <v>1401</v>
      </c>
      <c r="Y34" s="41" t="s">
        <v>1771</v>
      </c>
      <c r="Z34" s="41" t="s">
        <v>1563</v>
      </c>
      <c r="AA34" s="61" t="s">
        <v>1785</v>
      </c>
      <c r="AB34" s="61" t="s">
        <v>6056</v>
      </c>
    </row>
    <row r="35" spans="1:28" ht="66" customHeight="1">
      <c r="A35" s="40" t="s">
        <v>497</v>
      </c>
      <c r="B35" s="40" t="s">
        <v>475</v>
      </c>
      <c r="C35" s="40" t="s">
        <v>248</v>
      </c>
      <c r="D35" s="40" t="s">
        <v>498</v>
      </c>
      <c r="E35" s="40" t="s">
        <v>1786</v>
      </c>
      <c r="F35" s="40" t="s">
        <v>1787</v>
      </c>
      <c r="G35" s="40" t="s">
        <v>1788</v>
      </c>
      <c r="H35" s="40" t="s">
        <v>1764</v>
      </c>
      <c r="I35" s="40" t="s">
        <v>499</v>
      </c>
      <c r="J35" s="40" t="s">
        <v>1074</v>
      </c>
      <c r="K35" s="40" t="s">
        <v>1789</v>
      </c>
      <c r="L35" s="40" t="s">
        <v>1079</v>
      </c>
      <c r="M35" s="42">
        <v>15</v>
      </c>
      <c r="N35" s="42">
        <v>25</v>
      </c>
      <c r="O35" s="42" t="s">
        <v>1766</v>
      </c>
      <c r="P35" s="42" t="s">
        <v>1767</v>
      </c>
      <c r="Q35" s="42" t="s">
        <v>1768</v>
      </c>
      <c r="R35" s="42" t="s">
        <v>1790</v>
      </c>
      <c r="S35" s="44">
        <v>50</v>
      </c>
      <c r="T35" s="44">
        <v>25</v>
      </c>
      <c r="U35" s="40" t="s">
        <v>1572</v>
      </c>
      <c r="V35" s="40" t="s">
        <v>1784</v>
      </c>
      <c r="W35" s="40"/>
      <c r="X35" s="40" t="s">
        <v>1401</v>
      </c>
      <c r="Y35" s="40" t="s">
        <v>1771</v>
      </c>
      <c r="Z35" s="40" t="s">
        <v>1563</v>
      </c>
      <c r="AA35" s="61" t="s">
        <v>1791</v>
      </c>
      <c r="AB35" s="61" t="s">
        <v>6056</v>
      </c>
    </row>
    <row r="36" spans="1:28" ht="66" customHeight="1">
      <c r="A36" s="41" t="s">
        <v>502</v>
      </c>
      <c r="B36" s="41" t="s">
        <v>475</v>
      </c>
      <c r="C36" s="41" t="s">
        <v>248</v>
      </c>
      <c r="D36" s="41" t="s">
        <v>503</v>
      </c>
      <c r="E36" s="41" t="s">
        <v>1700</v>
      </c>
      <c r="F36" s="41" t="s">
        <v>1701</v>
      </c>
      <c r="G36" s="41" t="s">
        <v>1792</v>
      </c>
      <c r="H36" s="41" t="s">
        <v>1764</v>
      </c>
      <c r="I36" s="41" t="s">
        <v>504</v>
      </c>
      <c r="J36" s="41" t="s">
        <v>929</v>
      </c>
      <c r="K36" s="41" t="s">
        <v>1793</v>
      </c>
      <c r="L36" s="41" t="s">
        <v>932</v>
      </c>
      <c r="M36" s="43">
        <v>5</v>
      </c>
      <c r="N36" s="43">
        <v>15</v>
      </c>
      <c r="O36" s="43" t="s">
        <v>1766</v>
      </c>
      <c r="P36" s="43" t="s">
        <v>1767</v>
      </c>
      <c r="Q36" s="43" t="s">
        <v>1768</v>
      </c>
      <c r="R36" s="43" t="s">
        <v>1794</v>
      </c>
      <c r="S36" s="45">
        <v>50</v>
      </c>
      <c r="T36" s="45">
        <v>25</v>
      </c>
      <c r="U36" s="41" t="s">
        <v>1572</v>
      </c>
      <c r="V36" s="41" t="s">
        <v>1784</v>
      </c>
      <c r="W36" s="41"/>
      <c r="X36" s="41" t="s">
        <v>1401</v>
      </c>
      <c r="Y36" s="41" t="s">
        <v>1771</v>
      </c>
      <c r="Z36" s="41" t="s">
        <v>1563</v>
      </c>
      <c r="AA36" s="61" t="s">
        <v>1795</v>
      </c>
      <c r="AB36" s="61" t="s">
        <v>6056</v>
      </c>
    </row>
    <row r="37" spans="1:28" ht="66" customHeight="1">
      <c r="A37" s="40" t="s">
        <v>507</v>
      </c>
      <c r="B37" s="40" t="s">
        <v>475</v>
      </c>
      <c r="C37" s="40" t="s">
        <v>248</v>
      </c>
      <c r="D37" s="40" t="s">
        <v>508</v>
      </c>
      <c r="E37" s="40" t="s">
        <v>1796</v>
      </c>
      <c r="F37" s="40" t="s">
        <v>1797</v>
      </c>
      <c r="G37" s="40" t="s">
        <v>1798</v>
      </c>
      <c r="H37" s="40" t="s">
        <v>1764</v>
      </c>
      <c r="I37" s="40" t="s">
        <v>509</v>
      </c>
      <c r="J37" s="40" t="s">
        <v>1084</v>
      </c>
      <c r="K37" s="40" t="s">
        <v>1799</v>
      </c>
      <c r="L37" s="40" t="s">
        <v>1088</v>
      </c>
      <c r="M37" s="42">
        <v>15</v>
      </c>
      <c r="N37" s="42">
        <v>25</v>
      </c>
      <c r="O37" s="42" t="s">
        <v>1766</v>
      </c>
      <c r="P37" s="42" t="s">
        <v>1767</v>
      </c>
      <c r="Q37" s="42" t="s">
        <v>1768</v>
      </c>
      <c r="R37" s="42" t="s">
        <v>1800</v>
      </c>
      <c r="S37" s="44">
        <v>50</v>
      </c>
      <c r="T37" s="44">
        <v>25</v>
      </c>
      <c r="U37" s="40" t="s">
        <v>1572</v>
      </c>
      <c r="V37" s="40" t="s">
        <v>1784</v>
      </c>
      <c r="W37" s="40"/>
      <c r="X37" s="40" t="s">
        <v>1401</v>
      </c>
      <c r="Y37" s="40" t="s">
        <v>1771</v>
      </c>
      <c r="Z37" s="40" t="s">
        <v>1563</v>
      </c>
      <c r="AA37" s="61" t="s">
        <v>1801</v>
      </c>
      <c r="AB37" s="61" t="s">
        <v>6056</v>
      </c>
    </row>
    <row r="38" spans="1:28" ht="66" customHeight="1">
      <c r="A38" s="41" t="s">
        <v>512</v>
      </c>
      <c r="B38" s="41" t="s">
        <v>513</v>
      </c>
      <c r="C38" s="41" t="s">
        <v>127</v>
      </c>
      <c r="D38" s="41" t="s">
        <v>514</v>
      </c>
      <c r="E38" s="41" t="s">
        <v>1802</v>
      </c>
      <c r="F38" s="41" t="s">
        <v>1803</v>
      </c>
      <c r="G38" s="41" t="s">
        <v>1804</v>
      </c>
      <c r="H38" s="41" t="s">
        <v>1764</v>
      </c>
      <c r="I38" s="41" t="s">
        <v>515</v>
      </c>
      <c r="J38" s="41" t="s">
        <v>825</v>
      </c>
      <c r="K38" s="41" t="s">
        <v>1805</v>
      </c>
      <c r="L38" s="41" t="s">
        <v>828</v>
      </c>
      <c r="M38" s="43">
        <v>5</v>
      </c>
      <c r="N38" s="43">
        <v>10</v>
      </c>
      <c r="O38" s="43" t="s">
        <v>1806</v>
      </c>
      <c r="P38" s="43" t="s">
        <v>1807</v>
      </c>
      <c r="Q38" s="43" t="s">
        <v>1808</v>
      </c>
      <c r="R38" s="43" t="s">
        <v>1809</v>
      </c>
      <c r="S38" s="45">
        <v>30</v>
      </c>
      <c r="T38" s="45">
        <v>20</v>
      </c>
      <c r="U38" s="41" t="s">
        <v>1572</v>
      </c>
      <c r="V38" s="41" t="s">
        <v>1784</v>
      </c>
      <c r="W38" s="41"/>
      <c r="X38" s="41" t="s">
        <v>1401</v>
      </c>
      <c r="Y38" s="41" t="s">
        <v>1771</v>
      </c>
      <c r="Z38" s="41" t="s">
        <v>1563</v>
      </c>
      <c r="AA38" s="61" t="s">
        <v>1810</v>
      </c>
      <c r="AB38" s="61" t="s">
        <v>6056</v>
      </c>
    </row>
    <row r="39" spans="1:28" ht="66" customHeight="1">
      <c r="A39" s="40" t="s">
        <v>518</v>
      </c>
      <c r="B39" s="40" t="s">
        <v>513</v>
      </c>
      <c r="C39" s="40" t="s">
        <v>127</v>
      </c>
      <c r="D39" s="40" t="s">
        <v>519</v>
      </c>
      <c r="E39" s="40" t="s">
        <v>1811</v>
      </c>
      <c r="F39" s="40" t="s">
        <v>1812</v>
      </c>
      <c r="G39" s="40" t="s">
        <v>1813</v>
      </c>
      <c r="H39" s="40" t="s">
        <v>1764</v>
      </c>
      <c r="I39" s="40" t="s">
        <v>520</v>
      </c>
      <c r="J39" s="40" t="s">
        <v>740</v>
      </c>
      <c r="K39" s="40" t="s">
        <v>1814</v>
      </c>
      <c r="L39" s="40" t="s">
        <v>744</v>
      </c>
      <c r="M39" s="42">
        <v>5</v>
      </c>
      <c r="N39" s="42">
        <v>10</v>
      </c>
      <c r="O39" s="42" t="s">
        <v>1806</v>
      </c>
      <c r="P39" s="42" t="s">
        <v>1807</v>
      </c>
      <c r="Q39" s="42" t="s">
        <v>1808</v>
      </c>
      <c r="R39" s="42" t="s">
        <v>1815</v>
      </c>
      <c r="S39" s="44">
        <v>30</v>
      </c>
      <c r="T39" s="44">
        <v>20</v>
      </c>
      <c r="U39" s="40" t="s">
        <v>1572</v>
      </c>
      <c r="V39" s="40" t="s">
        <v>1784</v>
      </c>
      <c r="W39" s="40"/>
      <c r="X39" s="40" t="s">
        <v>1561</v>
      </c>
      <c r="Y39" s="40" t="s">
        <v>1771</v>
      </c>
      <c r="Z39" s="40" t="s">
        <v>1563</v>
      </c>
      <c r="AA39" s="61" t="s">
        <v>1816</v>
      </c>
      <c r="AB39" s="61" t="s">
        <v>6056</v>
      </c>
    </row>
    <row r="40" spans="1:28" ht="66" customHeight="1">
      <c r="A40" s="41" t="s">
        <v>523</v>
      </c>
      <c r="B40" s="41" t="s">
        <v>513</v>
      </c>
      <c r="C40" s="41" t="s">
        <v>127</v>
      </c>
      <c r="D40" s="41" t="s">
        <v>524</v>
      </c>
      <c r="E40" s="41" t="s">
        <v>1817</v>
      </c>
      <c r="F40" s="41" t="s">
        <v>1100</v>
      </c>
      <c r="G40" s="41" t="s">
        <v>1818</v>
      </c>
      <c r="H40" s="41" t="s">
        <v>1764</v>
      </c>
      <c r="I40" s="41" t="s">
        <v>525</v>
      </c>
      <c r="J40" s="41" t="s">
        <v>1092</v>
      </c>
      <c r="K40" s="41" t="s">
        <v>1819</v>
      </c>
      <c r="L40" s="41" t="s">
        <v>1097</v>
      </c>
      <c r="M40" s="43">
        <v>5</v>
      </c>
      <c r="N40" s="43">
        <v>10</v>
      </c>
      <c r="O40" s="43" t="s">
        <v>1806</v>
      </c>
      <c r="P40" s="43" t="s">
        <v>1807</v>
      </c>
      <c r="Q40" s="43" t="s">
        <v>1808</v>
      </c>
      <c r="R40" s="43" t="s">
        <v>1820</v>
      </c>
      <c r="S40" s="45">
        <v>30</v>
      </c>
      <c r="T40" s="45">
        <v>20</v>
      </c>
      <c r="U40" s="41" t="s">
        <v>1572</v>
      </c>
      <c r="V40" s="41" t="s">
        <v>1784</v>
      </c>
      <c r="W40" s="41"/>
      <c r="X40" s="41" t="s">
        <v>1561</v>
      </c>
      <c r="Y40" s="41" t="s">
        <v>1771</v>
      </c>
      <c r="Z40" s="41" t="s">
        <v>1563</v>
      </c>
      <c r="AA40" s="61" t="s">
        <v>1821</v>
      </c>
      <c r="AB40" s="61" t="s">
        <v>6056</v>
      </c>
    </row>
    <row r="41" spans="1:28" ht="66" customHeight="1">
      <c r="A41" s="40" t="s">
        <v>528</v>
      </c>
      <c r="B41" s="40" t="s">
        <v>513</v>
      </c>
      <c r="C41" s="40" t="s">
        <v>248</v>
      </c>
      <c r="D41" s="40" t="s">
        <v>529</v>
      </c>
      <c r="E41" s="40" t="s">
        <v>1822</v>
      </c>
      <c r="F41" s="40" t="s">
        <v>1823</v>
      </c>
      <c r="G41" s="40" t="s">
        <v>1824</v>
      </c>
      <c r="H41" s="40" t="s">
        <v>1764</v>
      </c>
      <c r="I41" s="40" t="s">
        <v>530</v>
      </c>
      <c r="J41" s="40" t="s">
        <v>1101</v>
      </c>
      <c r="K41" s="40" t="s">
        <v>1825</v>
      </c>
      <c r="L41" s="40" t="s">
        <v>1104</v>
      </c>
      <c r="M41" s="42">
        <v>5</v>
      </c>
      <c r="N41" s="42">
        <v>10</v>
      </c>
      <c r="O41" s="42" t="s">
        <v>1806</v>
      </c>
      <c r="P41" s="42" t="s">
        <v>1807</v>
      </c>
      <c r="Q41" s="42" t="s">
        <v>1808</v>
      </c>
      <c r="R41" s="42" t="s">
        <v>1826</v>
      </c>
      <c r="S41" s="44">
        <v>30</v>
      </c>
      <c r="T41" s="44">
        <v>20</v>
      </c>
      <c r="U41" s="40" t="s">
        <v>1572</v>
      </c>
      <c r="V41" s="40" t="s">
        <v>1784</v>
      </c>
      <c r="W41" s="40"/>
      <c r="X41" s="40" t="s">
        <v>1561</v>
      </c>
      <c r="Y41" s="40" t="s">
        <v>1771</v>
      </c>
      <c r="Z41" s="40" t="s">
        <v>1563</v>
      </c>
      <c r="AA41" s="61" t="s">
        <v>1827</v>
      </c>
      <c r="AB41" s="61" t="s">
        <v>6056</v>
      </c>
    </row>
    <row r="42" spans="1:28" ht="66" customHeight="1">
      <c r="A42" s="41" t="s">
        <v>533</v>
      </c>
      <c r="B42" s="41" t="s">
        <v>513</v>
      </c>
      <c r="C42" s="41" t="s">
        <v>248</v>
      </c>
      <c r="D42" s="41" t="s">
        <v>534</v>
      </c>
      <c r="E42" s="41" t="s">
        <v>1828</v>
      </c>
      <c r="F42" s="41" t="s">
        <v>1829</v>
      </c>
      <c r="G42" s="41" t="s">
        <v>1830</v>
      </c>
      <c r="H42" s="41" t="s">
        <v>1764</v>
      </c>
      <c r="I42" s="41" t="s">
        <v>535</v>
      </c>
      <c r="J42" s="41" t="s">
        <v>1108</v>
      </c>
      <c r="K42" s="41" t="s">
        <v>1831</v>
      </c>
      <c r="L42" s="41" t="s">
        <v>1112</v>
      </c>
      <c r="M42" s="43">
        <v>5</v>
      </c>
      <c r="N42" s="43">
        <v>10</v>
      </c>
      <c r="O42" s="43" t="s">
        <v>1806</v>
      </c>
      <c r="P42" s="43" t="s">
        <v>1807</v>
      </c>
      <c r="Q42" s="43" t="s">
        <v>1808</v>
      </c>
      <c r="R42" s="43" t="s">
        <v>1832</v>
      </c>
      <c r="S42" s="45">
        <v>30</v>
      </c>
      <c r="T42" s="45">
        <v>20</v>
      </c>
      <c r="U42" s="41" t="s">
        <v>1572</v>
      </c>
      <c r="V42" s="41" t="s">
        <v>1784</v>
      </c>
      <c r="W42" s="41"/>
      <c r="X42" s="41" t="s">
        <v>1561</v>
      </c>
      <c r="Y42" s="41" t="s">
        <v>1771</v>
      </c>
      <c r="Z42" s="41" t="s">
        <v>1563</v>
      </c>
      <c r="AA42" s="61" t="s">
        <v>1833</v>
      </c>
      <c r="AB42" s="61" t="s">
        <v>6056</v>
      </c>
    </row>
    <row r="43" spans="1:28" ht="66" customHeight="1">
      <c r="A43" s="40" t="s">
        <v>537</v>
      </c>
      <c r="B43" s="40" t="s">
        <v>538</v>
      </c>
      <c r="C43" s="40" t="s">
        <v>127</v>
      </c>
      <c r="D43" s="40" t="s">
        <v>539</v>
      </c>
      <c r="E43" s="40" t="s">
        <v>1834</v>
      </c>
      <c r="F43" s="40" t="s">
        <v>539</v>
      </c>
      <c r="G43" s="40" t="s">
        <v>1835</v>
      </c>
      <c r="H43" s="40" t="s">
        <v>1764</v>
      </c>
      <c r="I43" s="40" t="s">
        <v>540</v>
      </c>
      <c r="J43" s="40" t="s">
        <v>1116</v>
      </c>
      <c r="K43" s="40" t="s">
        <v>1836</v>
      </c>
      <c r="L43" s="40" t="s">
        <v>1121</v>
      </c>
      <c r="M43" s="42">
        <v>0</v>
      </c>
      <c r="N43" s="42">
        <v>0</v>
      </c>
      <c r="O43" s="42" t="s">
        <v>1837</v>
      </c>
      <c r="P43" s="42" t="s">
        <v>1838</v>
      </c>
      <c r="Q43" s="42" t="s">
        <v>1839</v>
      </c>
      <c r="R43" s="42" t="s">
        <v>1840</v>
      </c>
      <c r="S43" s="44">
        <v>0</v>
      </c>
      <c r="T43" s="44">
        <v>0</v>
      </c>
      <c r="U43" s="40" t="s">
        <v>1572</v>
      </c>
      <c r="V43" s="40" t="s">
        <v>1784</v>
      </c>
      <c r="W43" s="40"/>
      <c r="X43" s="40" t="s">
        <v>1401</v>
      </c>
      <c r="Y43" s="40" t="s">
        <v>1771</v>
      </c>
      <c r="Z43" s="40" t="s">
        <v>1563</v>
      </c>
      <c r="AA43" s="61" t="s">
        <v>1841</v>
      </c>
      <c r="AB43" s="61" t="s">
        <v>6056</v>
      </c>
    </row>
    <row r="44" spans="1:28" ht="79.150000000000006" customHeight="1">
      <c r="A44" s="41" t="s">
        <v>543</v>
      </c>
      <c r="B44" s="41" t="s">
        <v>538</v>
      </c>
      <c r="C44" s="41" t="s">
        <v>248</v>
      </c>
      <c r="D44" s="41" t="s">
        <v>544</v>
      </c>
      <c r="E44" s="41" t="s">
        <v>1842</v>
      </c>
      <c r="F44" s="41" t="s">
        <v>544</v>
      </c>
      <c r="G44" s="41" t="s">
        <v>1843</v>
      </c>
      <c r="H44" s="41" t="s">
        <v>1764</v>
      </c>
      <c r="I44" s="41" t="s">
        <v>545</v>
      </c>
      <c r="J44" s="41" t="s">
        <v>1037</v>
      </c>
      <c r="K44" s="41" t="s">
        <v>1844</v>
      </c>
      <c r="L44" s="41" t="s">
        <v>1042</v>
      </c>
      <c r="M44" s="43">
        <v>0</v>
      </c>
      <c r="N44" s="43">
        <v>0</v>
      </c>
      <c r="O44" s="43" t="s">
        <v>1837</v>
      </c>
      <c r="P44" s="43" t="s">
        <v>1838</v>
      </c>
      <c r="Q44" s="43" t="s">
        <v>1839</v>
      </c>
      <c r="R44" s="43" t="s">
        <v>1845</v>
      </c>
      <c r="S44" s="45">
        <v>0</v>
      </c>
      <c r="T44" s="45">
        <v>0</v>
      </c>
      <c r="U44" s="41" t="s">
        <v>1572</v>
      </c>
      <c r="V44" s="41" t="s">
        <v>1784</v>
      </c>
      <c r="W44" s="41"/>
      <c r="X44" s="41" t="s">
        <v>1561</v>
      </c>
      <c r="Y44" s="41" t="s">
        <v>1771</v>
      </c>
      <c r="Z44" s="41" t="s">
        <v>1563</v>
      </c>
      <c r="AA44" s="61" t="s">
        <v>1846</v>
      </c>
      <c r="AB44" s="61" t="s">
        <v>6056</v>
      </c>
    </row>
  </sheetData>
  <mergeCells count="2">
    <mergeCell ref="A1:Z1"/>
    <mergeCell ref="A2:Z2"/>
  </mergeCells>
  <conditionalFormatting sqref="X5:X44">
    <cfRule type="containsText" dxfId="16" priority="1" operator="containsText" text="FIELD_CHECK"/>
    <cfRule type="containsText" dxfId="15" priority="2" operator="containsText" text="EDITORIAL"/>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400"/>
  <sheetViews>
    <sheetView showGridLines="0" topLeftCell="H1" workbookViewId="0">
      <selection sqref="A1:S1"/>
    </sheetView>
  </sheetViews>
  <sheetFormatPr baseColWidth="10" defaultColWidth="9" defaultRowHeight="14.25"/>
  <cols>
    <col min="1" max="1" width="14" customWidth="1"/>
    <col min="2" max="2" width="19" customWidth="1"/>
    <col min="3" max="3" width="7" customWidth="1"/>
    <col min="4" max="4" width="20" customWidth="1"/>
    <col min="5" max="5" width="27" customWidth="1"/>
    <col min="6" max="6" width="18" customWidth="1"/>
    <col min="7" max="7" width="25" customWidth="1"/>
    <col min="8" max="8" width="19" customWidth="1"/>
    <col min="9" max="9" width="40" customWidth="1"/>
    <col min="10" max="10" width="27" customWidth="1"/>
    <col min="11" max="11" width="58" customWidth="1"/>
    <col min="12" max="12" width="48" customWidth="1"/>
    <col min="13" max="13" width="30" customWidth="1"/>
    <col min="14" max="14" width="48" customWidth="1"/>
    <col min="15" max="15" width="11" customWidth="1"/>
    <col min="16" max="16" width="30" customWidth="1"/>
    <col min="17" max="17" width="25" customWidth="1"/>
    <col min="18" max="18" width="28" customWidth="1"/>
    <col min="19" max="19" width="52" customWidth="1"/>
  </cols>
  <sheetData>
    <row r="1" spans="1:19" ht="27.95" customHeight="1">
      <c r="A1" s="66" t="s">
        <v>1847</v>
      </c>
      <c r="B1" s="66"/>
      <c r="C1" s="66"/>
      <c r="D1" s="66"/>
      <c r="E1" s="66"/>
      <c r="F1" s="66"/>
      <c r="G1" s="66"/>
      <c r="H1" s="66"/>
      <c r="I1" s="66"/>
      <c r="J1" s="66"/>
      <c r="K1" s="66"/>
      <c r="L1" s="66"/>
      <c r="M1" s="66"/>
      <c r="N1" s="66"/>
      <c r="O1" s="66"/>
      <c r="P1" s="66"/>
      <c r="Q1" s="66"/>
      <c r="R1" s="66"/>
      <c r="S1" s="66"/>
    </row>
    <row r="2" spans="1:19" ht="38.1" customHeight="1">
      <c r="A2" s="67" t="s">
        <v>1848</v>
      </c>
      <c r="B2" s="67"/>
      <c r="C2" s="67"/>
      <c r="D2" s="67"/>
      <c r="E2" s="67"/>
      <c r="F2" s="67"/>
      <c r="G2" s="67"/>
      <c r="H2" s="67"/>
      <c r="I2" s="67"/>
      <c r="J2" s="67"/>
      <c r="K2" s="67"/>
      <c r="L2" s="67"/>
      <c r="M2" s="67"/>
      <c r="N2" s="67"/>
      <c r="O2" s="67"/>
      <c r="P2" s="67"/>
      <c r="Q2" s="67"/>
      <c r="R2" s="67"/>
      <c r="S2" s="67"/>
    </row>
    <row r="3" spans="1:19">
      <c r="A3" s="26"/>
      <c r="B3" s="26"/>
      <c r="C3" s="26"/>
      <c r="D3" s="26"/>
      <c r="E3" s="26"/>
      <c r="F3" s="26"/>
      <c r="G3" s="26"/>
      <c r="H3" s="26"/>
      <c r="I3" s="26"/>
      <c r="J3" s="26"/>
      <c r="K3" s="26"/>
      <c r="L3" s="26"/>
      <c r="M3" s="26"/>
      <c r="N3" s="26"/>
      <c r="O3" s="26"/>
      <c r="P3" s="26"/>
      <c r="Q3" s="26"/>
      <c r="R3" s="26"/>
      <c r="S3" s="26"/>
    </row>
    <row r="4" spans="1:19" ht="42" customHeight="1">
      <c r="A4" s="39" t="s">
        <v>97</v>
      </c>
      <c r="B4" s="39" t="s">
        <v>1849</v>
      </c>
      <c r="C4" s="39" t="s">
        <v>1850</v>
      </c>
      <c r="D4" s="39" t="s">
        <v>1851</v>
      </c>
      <c r="E4" s="39" t="s">
        <v>1852</v>
      </c>
      <c r="F4" s="39" t="s">
        <v>1853</v>
      </c>
      <c r="G4" s="39" t="s">
        <v>1854</v>
      </c>
      <c r="H4" s="39" t="s">
        <v>1855</v>
      </c>
      <c r="I4" s="39" t="s">
        <v>1856</v>
      </c>
      <c r="J4" s="39" t="s">
        <v>1857</v>
      </c>
      <c r="K4" s="39" t="s">
        <v>1858</v>
      </c>
      <c r="L4" s="39" t="s">
        <v>1859</v>
      </c>
      <c r="M4" s="39" t="s">
        <v>1860</v>
      </c>
      <c r="N4" s="39" t="s">
        <v>1861</v>
      </c>
      <c r="O4" s="39" t="s">
        <v>1862</v>
      </c>
      <c r="P4" s="39" t="s">
        <v>1863</v>
      </c>
      <c r="Q4" s="39" t="s">
        <v>1864</v>
      </c>
      <c r="R4" s="39" t="s">
        <v>1865</v>
      </c>
      <c r="S4" s="39" t="s">
        <v>1866</v>
      </c>
    </row>
    <row r="5" spans="1:19" ht="74.099999999999994" customHeight="1">
      <c r="A5" s="40" t="s">
        <v>126</v>
      </c>
      <c r="B5" s="40" t="s">
        <v>1867</v>
      </c>
      <c r="C5" s="46">
        <v>1</v>
      </c>
      <c r="D5" s="40" t="s">
        <v>1868</v>
      </c>
      <c r="E5" s="40" t="s">
        <v>1869</v>
      </c>
      <c r="F5" s="40" t="s">
        <v>1870</v>
      </c>
      <c r="G5" s="40"/>
      <c r="H5" s="40" t="s">
        <v>1871</v>
      </c>
      <c r="I5" s="40" t="s">
        <v>569</v>
      </c>
      <c r="J5" s="40" t="s">
        <v>1549</v>
      </c>
      <c r="K5" s="40" t="s">
        <v>1872</v>
      </c>
      <c r="L5" s="40" t="s">
        <v>1873</v>
      </c>
      <c r="M5" s="40" t="s">
        <v>1874</v>
      </c>
      <c r="N5" s="40" t="s">
        <v>1875</v>
      </c>
      <c r="O5" s="40" t="s">
        <v>1876</v>
      </c>
      <c r="P5" s="40"/>
      <c r="Q5" s="40" t="s">
        <v>1877</v>
      </c>
      <c r="R5" s="40" t="s">
        <v>1878</v>
      </c>
      <c r="S5" s="40" t="s">
        <v>1879</v>
      </c>
    </row>
    <row r="6" spans="1:19" ht="74.099999999999994" customHeight="1">
      <c r="A6" s="41" t="s">
        <v>126</v>
      </c>
      <c r="B6" s="41" t="s">
        <v>1880</v>
      </c>
      <c r="C6" s="47">
        <v>2</v>
      </c>
      <c r="D6" s="41" t="s">
        <v>1881</v>
      </c>
      <c r="E6" s="41" t="s">
        <v>1882</v>
      </c>
      <c r="F6" s="41" t="s">
        <v>1883</v>
      </c>
      <c r="G6" s="41" t="s">
        <v>1884</v>
      </c>
      <c r="H6" s="41" t="s">
        <v>1871</v>
      </c>
      <c r="I6" s="41" t="s">
        <v>569</v>
      </c>
      <c r="J6" s="41" t="s">
        <v>1885</v>
      </c>
      <c r="K6" s="41" t="s">
        <v>1886</v>
      </c>
      <c r="L6" s="41" t="s">
        <v>1887</v>
      </c>
      <c r="M6" s="41" t="s">
        <v>1888</v>
      </c>
      <c r="N6" s="41" t="s">
        <v>1889</v>
      </c>
      <c r="O6" s="41" t="s">
        <v>1876</v>
      </c>
      <c r="P6" s="41"/>
      <c r="Q6" s="41" t="s">
        <v>1881</v>
      </c>
      <c r="R6" s="41" t="s">
        <v>1890</v>
      </c>
      <c r="S6" s="41" t="s">
        <v>1891</v>
      </c>
    </row>
    <row r="7" spans="1:19" ht="74.099999999999994" customHeight="1">
      <c r="A7" s="40" t="s">
        <v>126</v>
      </c>
      <c r="B7" s="40" t="s">
        <v>1892</v>
      </c>
      <c r="C7" s="46">
        <v>3</v>
      </c>
      <c r="D7" s="40" t="s">
        <v>1893</v>
      </c>
      <c r="E7" s="40" t="s">
        <v>1894</v>
      </c>
      <c r="F7" s="40" t="s">
        <v>1870</v>
      </c>
      <c r="G7" s="40"/>
      <c r="H7" s="40" t="s">
        <v>1871</v>
      </c>
      <c r="I7" s="40" t="s">
        <v>569</v>
      </c>
      <c r="J7" s="40" t="s">
        <v>126</v>
      </c>
      <c r="K7" s="40" t="s">
        <v>1895</v>
      </c>
      <c r="L7" s="40" t="s">
        <v>1896</v>
      </c>
      <c r="M7" s="40" t="s">
        <v>1897</v>
      </c>
      <c r="N7" s="40" t="s">
        <v>1898</v>
      </c>
      <c r="O7" s="40" t="s">
        <v>1876</v>
      </c>
      <c r="P7" s="40"/>
      <c r="Q7" s="40" t="s">
        <v>1899</v>
      </c>
      <c r="R7" s="40" t="s">
        <v>1900</v>
      </c>
      <c r="S7" s="40" t="s">
        <v>1901</v>
      </c>
    </row>
    <row r="8" spans="1:19" ht="74.099999999999994" customHeight="1">
      <c r="A8" s="41" t="s">
        <v>126</v>
      </c>
      <c r="B8" s="41" t="s">
        <v>1902</v>
      </c>
      <c r="C8" s="47">
        <v>4</v>
      </c>
      <c r="D8" s="41" t="s">
        <v>1883</v>
      </c>
      <c r="E8" s="41" t="s">
        <v>1903</v>
      </c>
      <c r="F8" s="41" t="s">
        <v>1883</v>
      </c>
      <c r="G8" s="41" t="s">
        <v>1904</v>
      </c>
      <c r="H8" s="41" t="s">
        <v>1871</v>
      </c>
      <c r="I8" s="41" t="s">
        <v>569</v>
      </c>
      <c r="J8" s="41" t="s">
        <v>1905</v>
      </c>
      <c r="K8" s="41" t="s">
        <v>1906</v>
      </c>
      <c r="L8" s="41" t="s">
        <v>1907</v>
      </c>
      <c r="M8" s="41" t="s">
        <v>1908</v>
      </c>
      <c r="N8" s="41" t="s">
        <v>1909</v>
      </c>
      <c r="O8" s="41" t="s">
        <v>1876</v>
      </c>
      <c r="P8" s="41" t="s">
        <v>1910</v>
      </c>
      <c r="Q8" s="41" t="s">
        <v>1911</v>
      </c>
      <c r="R8" s="41" t="s">
        <v>1912</v>
      </c>
      <c r="S8" s="41" t="s">
        <v>1913</v>
      </c>
    </row>
    <row r="9" spans="1:19" ht="74.099999999999994" customHeight="1">
      <c r="A9" s="40" t="s">
        <v>126</v>
      </c>
      <c r="B9" s="40" t="s">
        <v>1914</v>
      </c>
      <c r="C9" s="46">
        <v>5</v>
      </c>
      <c r="D9" s="40" t="s">
        <v>1883</v>
      </c>
      <c r="E9" s="40" t="s">
        <v>1915</v>
      </c>
      <c r="F9" s="40" t="s">
        <v>1883</v>
      </c>
      <c r="G9" s="40" t="s">
        <v>1915</v>
      </c>
      <c r="H9" s="40" t="s">
        <v>1871</v>
      </c>
      <c r="I9" s="40" t="s">
        <v>580</v>
      </c>
      <c r="J9" s="40" t="s">
        <v>580</v>
      </c>
      <c r="K9" s="40" t="s">
        <v>1916</v>
      </c>
      <c r="L9" s="40" t="s">
        <v>1917</v>
      </c>
      <c r="M9" s="40" t="s">
        <v>1918</v>
      </c>
      <c r="N9" s="40" t="s">
        <v>1919</v>
      </c>
      <c r="O9" s="40" t="s">
        <v>1876</v>
      </c>
      <c r="P9" s="40" t="s">
        <v>1920</v>
      </c>
      <c r="Q9" s="40" t="s">
        <v>1921</v>
      </c>
      <c r="R9" s="40" t="s">
        <v>1922</v>
      </c>
      <c r="S9" s="40" t="s">
        <v>1923</v>
      </c>
    </row>
    <row r="10" spans="1:19" ht="74.099999999999994" customHeight="1">
      <c r="A10" s="41" t="s">
        <v>126</v>
      </c>
      <c r="B10" s="41" t="s">
        <v>1924</v>
      </c>
      <c r="C10" s="47">
        <v>6</v>
      </c>
      <c r="D10" s="41" t="s">
        <v>1883</v>
      </c>
      <c r="E10" s="41" t="s">
        <v>1903</v>
      </c>
      <c r="F10" s="41" t="s">
        <v>1883</v>
      </c>
      <c r="G10" s="41" t="s">
        <v>1904</v>
      </c>
      <c r="H10" s="41" t="s">
        <v>1871</v>
      </c>
      <c r="I10" s="41" t="s">
        <v>580</v>
      </c>
      <c r="J10" s="41" t="s">
        <v>1925</v>
      </c>
      <c r="K10" s="41" t="s">
        <v>1926</v>
      </c>
      <c r="L10" s="41" t="s">
        <v>1927</v>
      </c>
      <c r="M10" s="41" t="s">
        <v>1908</v>
      </c>
      <c r="N10" s="41" t="s">
        <v>1909</v>
      </c>
      <c r="O10" s="41" t="s">
        <v>1876</v>
      </c>
      <c r="P10" s="41" t="s">
        <v>1910</v>
      </c>
      <c r="Q10" s="41" t="s">
        <v>1911</v>
      </c>
      <c r="R10" s="41" t="s">
        <v>1912</v>
      </c>
      <c r="S10" s="41" t="s">
        <v>1928</v>
      </c>
    </row>
    <row r="11" spans="1:19" ht="74.099999999999994" customHeight="1">
      <c r="A11" s="40" t="s">
        <v>126</v>
      </c>
      <c r="B11" s="40" t="s">
        <v>1929</v>
      </c>
      <c r="C11" s="46">
        <v>7</v>
      </c>
      <c r="D11" s="40" t="s">
        <v>1883</v>
      </c>
      <c r="E11" s="40" t="s">
        <v>1915</v>
      </c>
      <c r="F11" s="40" t="s">
        <v>1883</v>
      </c>
      <c r="G11" s="40" t="s">
        <v>1915</v>
      </c>
      <c r="H11" s="40" t="s">
        <v>1871</v>
      </c>
      <c r="I11" s="40" t="s">
        <v>591</v>
      </c>
      <c r="J11" s="40" t="s">
        <v>591</v>
      </c>
      <c r="K11" s="40" t="s">
        <v>1930</v>
      </c>
      <c r="L11" s="40" t="s">
        <v>1917</v>
      </c>
      <c r="M11" s="40" t="s">
        <v>1918</v>
      </c>
      <c r="N11" s="40" t="s">
        <v>1919</v>
      </c>
      <c r="O11" s="40" t="s">
        <v>1876</v>
      </c>
      <c r="P11" s="40" t="s">
        <v>1920</v>
      </c>
      <c r="Q11" s="40" t="s">
        <v>1921</v>
      </c>
      <c r="R11" s="40" t="s">
        <v>1922</v>
      </c>
      <c r="S11" s="40" t="s">
        <v>1923</v>
      </c>
    </row>
    <row r="12" spans="1:19" ht="74.099999999999994" customHeight="1">
      <c r="A12" s="41" t="s">
        <v>126</v>
      </c>
      <c r="B12" s="41" t="s">
        <v>1931</v>
      </c>
      <c r="C12" s="47">
        <v>8</v>
      </c>
      <c r="D12" s="41" t="s">
        <v>1883</v>
      </c>
      <c r="E12" s="41" t="s">
        <v>1903</v>
      </c>
      <c r="F12" s="41" t="s">
        <v>1883</v>
      </c>
      <c r="G12" s="41" t="s">
        <v>1904</v>
      </c>
      <c r="H12" s="41" t="s">
        <v>1871</v>
      </c>
      <c r="I12" s="41" t="s">
        <v>591</v>
      </c>
      <c r="J12" s="41" t="s">
        <v>1932</v>
      </c>
      <c r="K12" s="41" t="s">
        <v>1933</v>
      </c>
      <c r="L12" s="41" t="s">
        <v>1934</v>
      </c>
      <c r="M12" s="41" t="s">
        <v>1908</v>
      </c>
      <c r="N12" s="41" t="s">
        <v>1909</v>
      </c>
      <c r="O12" s="41" t="s">
        <v>1876</v>
      </c>
      <c r="P12" s="41" t="s">
        <v>1910</v>
      </c>
      <c r="Q12" s="41" t="s">
        <v>1911</v>
      </c>
      <c r="R12" s="41" t="s">
        <v>1912</v>
      </c>
      <c r="S12" s="41" t="s">
        <v>1935</v>
      </c>
    </row>
    <row r="13" spans="1:19" ht="74.099999999999994" customHeight="1">
      <c r="A13" s="40" t="s">
        <v>126</v>
      </c>
      <c r="B13" s="40" t="s">
        <v>1936</v>
      </c>
      <c r="C13" s="46">
        <v>9</v>
      </c>
      <c r="D13" s="40" t="s">
        <v>1883</v>
      </c>
      <c r="E13" s="40" t="s">
        <v>1937</v>
      </c>
      <c r="F13" s="40" t="s">
        <v>1883</v>
      </c>
      <c r="G13" s="40" t="s">
        <v>1904</v>
      </c>
      <c r="H13" s="40" t="s">
        <v>1871</v>
      </c>
      <c r="I13" s="40" t="s">
        <v>591</v>
      </c>
      <c r="J13" s="40" t="s">
        <v>1938</v>
      </c>
      <c r="K13" s="40" t="s">
        <v>1939</v>
      </c>
      <c r="L13" s="40" t="s">
        <v>1940</v>
      </c>
      <c r="M13" s="40" t="s">
        <v>1941</v>
      </c>
      <c r="N13" s="40" t="s">
        <v>1942</v>
      </c>
      <c r="O13" s="40" t="s">
        <v>1876</v>
      </c>
      <c r="P13" s="40" t="s">
        <v>1943</v>
      </c>
      <c r="Q13" s="40" t="s">
        <v>1944</v>
      </c>
      <c r="R13" s="40" t="s">
        <v>1945</v>
      </c>
      <c r="S13" s="40" t="s">
        <v>1946</v>
      </c>
    </row>
    <row r="14" spans="1:19" ht="74.099999999999994" customHeight="1">
      <c r="A14" s="41" t="s">
        <v>126</v>
      </c>
      <c r="B14" s="41" t="s">
        <v>1947</v>
      </c>
      <c r="C14" s="47">
        <v>10</v>
      </c>
      <c r="D14" s="41" t="s">
        <v>1948</v>
      </c>
      <c r="E14" s="41" t="s">
        <v>1949</v>
      </c>
      <c r="F14" s="41" t="s">
        <v>1883</v>
      </c>
      <c r="G14" s="41" t="s">
        <v>1904</v>
      </c>
      <c r="H14" s="41" t="s">
        <v>1950</v>
      </c>
      <c r="I14" s="41" t="s">
        <v>591</v>
      </c>
      <c r="J14" s="41" t="s">
        <v>132</v>
      </c>
      <c r="K14" s="41" t="s">
        <v>1951</v>
      </c>
      <c r="L14" s="41" t="s">
        <v>1952</v>
      </c>
      <c r="M14" s="41" t="s">
        <v>1953</v>
      </c>
      <c r="N14" s="41" t="s">
        <v>1954</v>
      </c>
      <c r="O14" s="41" t="s">
        <v>1167</v>
      </c>
      <c r="P14" s="41" t="s">
        <v>1955</v>
      </c>
      <c r="Q14" s="41" t="s">
        <v>1949</v>
      </c>
      <c r="R14" s="41" t="s">
        <v>1956</v>
      </c>
      <c r="S14" s="41" t="s">
        <v>1957</v>
      </c>
    </row>
    <row r="15" spans="1:19" ht="74.099999999999994" customHeight="1">
      <c r="A15" s="40" t="s">
        <v>126</v>
      </c>
      <c r="B15" s="40" t="s">
        <v>1958</v>
      </c>
      <c r="C15" s="46">
        <v>11</v>
      </c>
      <c r="D15" s="40" t="s">
        <v>1883</v>
      </c>
      <c r="E15" s="40" t="s">
        <v>1959</v>
      </c>
      <c r="F15" s="40" t="s">
        <v>1883</v>
      </c>
      <c r="G15" s="40" t="s">
        <v>1960</v>
      </c>
      <c r="H15" s="40" t="s">
        <v>1871</v>
      </c>
      <c r="I15" s="40" t="s">
        <v>591</v>
      </c>
      <c r="J15" s="40" t="s">
        <v>1961</v>
      </c>
      <c r="K15" s="40" t="s">
        <v>1962</v>
      </c>
      <c r="L15" s="40" t="s">
        <v>1963</v>
      </c>
      <c r="M15" s="40" t="s">
        <v>1964</v>
      </c>
      <c r="N15" s="40" t="s">
        <v>1965</v>
      </c>
      <c r="O15" s="40" t="s">
        <v>1876</v>
      </c>
      <c r="P15" s="40" t="s">
        <v>1955</v>
      </c>
      <c r="Q15" s="40" t="s">
        <v>1966</v>
      </c>
      <c r="R15" s="40" t="s">
        <v>1967</v>
      </c>
      <c r="S15" s="40" t="s">
        <v>1968</v>
      </c>
    </row>
    <row r="16" spans="1:19" ht="74.099999999999994" customHeight="1">
      <c r="A16" s="41" t="s">
        <v>126</v>
      </c>
      <c r="B16" s="41" t="s">
        <v>1969</v>
      </c>
      <c r="C16" s="47">
        <v>12</v>
      </c>
      <c r="D16" s="41" t="s">
        <v>1883</v>
      </c>
      <c r="E16" s="41" t="s">
        <v>1970</v>
      </c>
      <c r="F16" s="41" t="s">
        <v>1883</v>
      </c>
      <c r="G16" s="41" t="s">
        <v>1884</v>
      </c>
      <c r="H16" s="41" t="s">
        <v>1871</v>
      </c>
      <c r="I16" s="41" t="s">
        <v>591</v>
      </c>
      <c r="J16" s="41" t="s">
        <v>1971</v>
      </c>
      <c r="K16" s="41" t="s">
        <v>1972</v>
      </c>
      <c r="L16" s="41" t="s">
        <v>1973</v>
      </c>
      <c r="M16" s="41" t="s">
        <v>1974</v>
      </c>
      <c r="N16" s="41" t="s">
        <v>1975</v>
      </c>
      <c r="O16" s="41" t="s">
        <v>1876</v>
      </c>
      <c r="P16" s="41" t="s">
        <v>1955</v>
      </c>
      <c r="Q16" s="41" t="s">
        <v>1976</v>
      </c>
      <c r="R16" s="41" t="s">
        <v>1977</v>
      </c>
      <c r="S16" s="41" t="s">
        <v>1978</v>
      </c>
    </row>
    <row r="17" spans="1:19" ht="74.099999999999994" customHeight="1">
      <c r="A17" s="40" t="s">
        <v>126</v>
      </c>
      <c r="B17" s="40" t="s">
        <v>1979</v>
      </c>
      <c r="C17" s="46">
        <v>13</v>
      </c>
      <c r="D17" s="40" t="s">
        <v>1948</v>
      </c>
      <c r="E17" s="40" t="s">
        <v>1980</v>
      </c>
      <c r="F17" s="40" t="s">
        <v>1883</v>
      </c>
      <c r="G17" s="40" t="s">
        <v>1981</v>
      </c>
      <c r="H17" s="40" t="s">
        <v>1871</v>
      </c>
      <c r="I17" s="40" t="s">
        <v>591</v>
      </c>
      <c r="J17" s="40" t="s">
        <v>1982</v>
      </c>
      <c r="K17" s="40" t="s">
        <v>1983</v>
      </c>
      <c r="L17" s="40" t="s">
        <v>1984</v>
      </c>
      <c r="M17" s="40" t="s">
        <v>1985</v>
      </c>
      <c r="N17" s="40" t="s">
        <v>1986</v>
      </c>
      <c r="O17" s="40" t="s">
        <v>1167</v>
      </c>
      <c r="P17" s="40" t="s">
        <v>1987</v>
      </c>
      <c r="Q17" s="40" t="s">
        <v>1988</v>
      </c>
      <c r="R17" s="40" t="s">
        <v>1989</v>
      </c>
      <c r="S17" s="40" t="s">
        <v>1990</v>
      </c>
    </row>
    <row r="18" spans="1:19" ht="74.099999999999994" customHeight="1">
      <c r="A18" s="41" t="s">
        <v>126</v>
      </c>
      <c r="B18" s="41" t="s">
        <v>1991</v>
      </c>
      <c r="C18" s="47">
        <v>14</v>
      </c>
      <c r="D18" s="41" t="s">
        <v>1992</v>
      </c>
      <c r="E18" s="41" t="s">
        <v>1882</v>
      </c>
      <c r="F18" s="41" t="s">
        <v>1883</v>
      </c>
      <c r="G18" s="41" t="s">
        <v>1884</v>
      </c>
      <c r="H18" s="41" t="s">
        <v>1871</v>
      </c>
      <c r="I18" s="41" t="s">
        <v>591</v>
      </c>
      <c r="J18" s="41" t="s">
        <v>1971</v>
      </c>
      <c r="K18" s="41" t="s">
        <v>1993</v>
      </c>
      <c r="L18" s="41" t="s">
        <v>1994</v>
      </c>
      <c r="M18" s="41" t="s">
        <v>1995</v>
      </c>
      <c r="N18" s="41" t="s">
        <v>1996</v>
      </c>
      <c r="O18" s="41" t="s">
        <v>1876</v>
      </c>
      <c r="P18" s="41" t="s">
        <v>1997</v>
      </c>
      <c r="Q18" s="41" t="s">
        <v>1881</v>
      </c>
      <c r="R18" s="41" t="s">
        <v>1998</v>
      </c>
      <c r="S18" s="41" t="s">
        <v>1999</v>
      </c>
    </row>
    <row r="19" spans="1:19" ht="74.099999999999994" customHeight="1">
      <c r="A19" s="40" t="s">
        <v>126</v>
      </c>
      <c r="B19" s="40" t="s">
        <v>2000</v>
      </c>
      <c r="C19" s="46">
        <v>15</v>
      </c>
      <c r="D19" s="40" t="s">
        <v>2001</v>
      </c>
      <c r="E19" s="40" t="s">
        <v>2002</v>
      </c>
      <c r="F19" s="40" t="s">
        <v>2003</v>
      </c>
      <c r="G19" s="40"/>
      <c r="H19" s="40" t="s">
        <v>1871</v>
      </c>
      <c r="I19" s="40"/>
      <c r="J19" s="40" t="s">
        <v>126</v>
      </c>
      <c r="K19" s="40" t="s">
        <v>2004</v>
      </c>
      <c r="L19" s="40" t="s">
        <v>2005</v>
      </c>
      <c r="M19" s="40" t="s">
        <v>2006</v>
      </c>
      <c r="N19" s="40" t="s">
        <v>2007</v>
      </c>
      <c r="O19" s="40" t="s">
        <v>1876</v>
      </c>
      <c r="P19" s="40" t="s">
        <v>2008</v>
      </c>
      <c r="Q19" s="40" t="s">
        <v>2001</v>
      </c>
      <c r="R19" s="40" t="s">
        <v>2009</v>
      </c>
      <c r="S19" s="40" t="s">
        <v>2010</v>
      </c>
    </row>
    <row r="20" spans="1:19" ht="74.099999999999994" customHeight="1">
      <c r="A20" s="41" t="s">
        <v>136</v>
      </c>
      <c r="B20" s="41" t="s">
        <v>2011</v>
      </c>
      <c r="C20" s="47">
        <v>1</v>
      </c>
      <c r="D20" s="41" t="s">
        <v>1868</v>
      </c>
      <c r="E20" s="41" t="s">
        <v>1869</v>
      </c>
      <c r="F20" s="41" t="s">
        <v>1870</v>
      </c>
      <c r="G20" s="41"/>
      <c r="H20" s="41" t="s">
        <v>1871</v>
      </c>
      <c r="I20" s="41" t="s">
        <v>601</v>
      </c>
      <c r="J20" s="41" t="s">
        <v>1565</v>
      </c>
      <c r="K20" s="41" t="s">
        <v>2012</v>
      </c>
      <c r="L20" s="41" t="s">
        <v>1873</v>
      </c>
      <c r="M20" s="41" t="s">
        <v>1874</v>
      </c>
      <c r="N20" s="41" t="s">
        <v>1875</v>
      </c>
      <c r="O20" s="41" t="s">
        <v>1876</v>
      </c>
      <c r="P20" s="41"/>
      <c r="Q20" s="41" t="s">
        <v>1877</v>
      </c>
      <c r="R20" s="41" t="s">
        <v>1878</v>
      </c>
      <c r="S20" s="41" t="s">
        <v>1879</v>
      </c>
    </row>
    <row r="21" spans="1:19" ht="74.099999999999994" customHeight="1">
      <c r="A21" s="40" t="s">
        <v>136</v>
      </c>
      <c r="B21" s="40" t="s">
        <v>2013</v>
      </c>
      <c r="C21" s="46">
        <v>2</v>
      </c>
      <c r="D21" s="40" t="s">
        <v>1881</v>
      </c>
      <c r="E21" s="40" t="s">
        <v>1882</v>
      </c>
      <c r="F21" s="40" t="s">
        <v>1883</v>
      </c>
      <c r="G21" s="40" t="s">
        <v>1884</v>
      </c>
      <c r="H21" s="40" t="s">
        <v>1871</v>
      </c>
      <c r="I21" s="40" t="s">
        <v>601</v>
      </c>
      <c r="J21" s="40" t="s">
        <v>2014</v>
      </c>
      <c r="K21" s="40" t="s">
        <v>1886</v>
      </c>
      <c r="L21" s="40" t="s">
        <v>2015</v>
      </c>
      <c r="M21" s="40" t="s">
        <v>1888</v>
      </c>
      <c r="N21" s="40" t="s">
        <v>1889</v>
      </c>
      <c r="O21" s="40" t="s">
        <v>1876</v>
      </c>
      <c r="P21" s="40"/>
      <c r="Q21" s="40" t="s">
        <v>1881</v>
      </c>
      <c r="R21" s="40" t="s">
        <v>1890</v>
      </c>
      <c r="S21" s="40" t="s">
        <v>1891</v>
      </c>
    </row>
    <row r="22" spans="1:19" ht="74.099999999999994" customHeight="1">
      <c r="A22" s="41" t="s">
        <v>136</v>
      </c>
      <c r="B22" s="41" t="s">
        <v>2016</v>
      </c>
      <c r="C22" s="47">
        <v>3</v>
      </c>
      <c r="D22" s="41" t="s">
        <v>1893</v>
      </c>
      <c r="E22" s="41" t="s">
        <v>1894</v>
      </c>
      <c r="F22" s="41" t="s">
        <v>1870</v>
      </c>
      <c r="G22" s="41"/>
      <c r="H22" s="41" t="s">
        <v>1871</v>
      </c>
      <c r="I22" s="41" t="s">
        <v>601</v>
      </c>
      <c r="J22" s="41" t="s">
        <v>136</v>
      </c>
      <c r="K22" s="41" t="s">
        <v>2017</v>
      </c>
      <c r="L22" s="41" t="s">
        <v>1896</v>
      </c>
      <c r="M22" s="41" t="s">
        <v>1897</v>
      </c>
      <c r="N22" s="41" t="s">
        <v>1898</v>
      </c>
      <c r="O22" s="41" t="s">
        <v>1876</v>
      </c>
      <c r="P22" s="41"/>
      <c r="Q22" s="41" t="s">
        <v>1899</v>
      </c>
      <c r="R22" s="41" t="s">
        <v>1900</v>
      </c>
      <c r="S22" s="41" t="s">
        <v>2018</v>
      </c>
    </row>
    <row r="23" spans="1:19" ht="74.099999999999994" customHeight="1">
      <c r="A23" s="40" t="s">
        <v>136</v>
      </c>
      <c r="B23" s="40" t="s">
        <v>2019</v>
      </c>
      <c r="C23" s="46">
        <v>4</v>
      </c>
      <c r="D23" s="40" t="s">
        <v>1883</v>
      </c>
      <c r="E23" s="40" t="s">
        <v>1903</v>
      </c>
      <c r="F23" s="40" t="s">
        <v>1883</v>
      </c>
      <c r="G23" s="40" t="s">
        <v>1904</v>
      </c>
      <c r="H23" s="40" t="s">
        <v>1871</v>
      </c>
      <c r="I23" s="40" t="s">
        <v>601</v>
      </c>
      <c r="J23" s="40" t="s">
        <v>2020</v>
      </c>
      <c r="K23" s="40" t="s">
        <v>2021</v>
      </c>
      <c r="L23" s="40" t="s">
        <v>2022</v>
      </c>
      <c r="M23" s="40" t="s">
        <v>1908</v>
      </c>
      <c r="N23" s="40" t="s">
        <v>1909</v>
      </c>
      <c r="O23" s="40" t="s">
        <v>1876</v>
      </c>
      <c r="P23" s="40" t="s">
        <v>1910</v>
      </c>
      <c r="Q23" s="40" t="s">
        <v>1911</v>
      </c>
      <c r="R23" s="40" t="s">
        <v>1912</v>
      </c>
      <c r="S23" s="40" t="s">
        <v>2023</v>
      </c>
    </row>
    <row r="24" spans="1:19" ht="74.099999999999994" customHeight="1">
      <c r="A24" s="41" t="s">
        <v>136</v>
      </c>
      <c r="B24" s="41" t="s">
        <v>2024</v>
      </c>
      <c r="C24" s="47">
        <v>5</v>
      </c>
      <c r="D24" s="41" t="s">
        <v>1883</v>
      </c>
      <c r="E24" s="41" t="s">
        <v>1915</v>
      </c>
      <c r="F24" s="41" t="s">
        <v>1883</v>
      </c>
      <c r="G24" s="41" t="s">
        <v>1915</v>
      </c>
      <c r="H24" s="41" t="s">
        <v>1871</v>
      </c>
      <c r="I24" s="41" t="s">
        <v>610</v>
      </c>
      <c r="J24" s="41" t="s">
        <v>610</v>
      </c>
      <c r="K24" s="41" t="s">
        <v>2025</v>
      </c>
      <c r="L24" s="41" t="s">
        <v>1917</v>
      </c>
      <c r="M24" s="41" t="s">
        <v>1918</v>
      </c>
      <c r="N24" s="41" t="s">
        <v>1919</v>
      </c>
      <c r="O24" s="41" t="s">
        <v>1876</v>
      </c>
      <c r="P24" s="41" t="s">
        <v>1920</v>
      </c>
      <c r="Q24" s="41" t="s">
        <v>1921</v>
      </c>
      <c r="R24" s="41" t="s">
        <v>1922</v>
      </c>
      <c r="S24" s="41" t="s">
        <v>1923</v>
      </c>
    </row>
    <row r="25" spans="1:19" ht="74.099999999999994" customHeight="1">
      <c r="A25" s="40" t="s">
        <v>136</v>
      </c>
      <c r="B25" s="40" t="s">
        <v>2026</v>
      </c>
      <c r="C25" s="46">
        <v>6</v>
      </c>
      <c r="D25" s="40" t="s">
        <v>1883</v>
      </c>
      <c r="E25" s="40" t="s">
        <v>1903</v>
      </c>
      <c r="F25" s="40" t="s">
        <v>1883</v>
      </c>
      <c r="G25" s="40" t="s">
        <v>1904</v>
      </c>
      <c r="H25" s="40" t="s">
        <v>1871</v>
      </c>
      <c r="I25" s="40" t="s">
        <v>610</v>
      </c>
      <c r="J25" s="40" t="s">
        <v>2027</v>
      </c>
      <c r="K25" s="40" t="s">
        <v>2028</v>
      </c>
      <c r="L25" s="40" t="s">
        <v>2029</v>
      </c>
      <c r="M25" s="40" t="s">
        <v>1908</v>
      </c>
      <c r="N25" s="40" t="s">
        <v>1909</v>
      </c>
      <c r="O25" s="40" t="s">
        <v>1876</v>
      </c>
      <c r="P25" s="40" t="s">
        <v>1910</v>
      </c>
      <c r="Q25" s="40" t="s">
        <v>1911</v>
      </c>
      <c r="R25" s="40" t="s">
        <v>1912</v>
      </c>
      <c r="S25" s="40" t="s">
        <v>2030</v>
      </c>
    </row>
    <row r="26" spans="1:19" ht="74.099999999999994" customHeight="1">
      <c r="A26" s="41" t="s">
        <v>136</v>
      </c>
      <c r="B26" s="41" t="s">
        <v>2031</v>
      </c>
      <c r="C26" s="47">
        <v>7</v>
      </c>
      <c r="D26" s="41" t="s">
        <v>1883</v>
      </c>
      <c r="E26" s="41" t="s">
        <v>1915</v>
      </c>
      <c r="F26" s="41" t="s">
        <v>1883</v>
      </c>
      <c r="G26" s="41" t="s">
        <v>1915</v>
      </c>
      <c r="H26" s="41" t="s">
        <v>1871</v>
      </c>
      <c r="I26" s="41" t="s">
        <v>619</v>
      </c>
      <c r="J26" s="41" t="s">
        <v>619</v>
      </c>
      <c r="K26" s="41" t="s">
        <v>2032</v>
      </c>
      <c r="L26" s="41" t="s">
        <v>1917</v>
      </c>
      <c r="M26" s="41" t="s">
        <v>1918</v>
      </c>
      <c r="N26" s="41" t="s">
        <v>1919</v>
      </c>
      <c r="O26" s="41" t="s">
        <v>1876</v>
      </c>
      <c r="P26" s="41" t="s">
        <v>1920</v>
      </c>
      <c r="Q26" s="41" t="s">
        <v>1921</v>
      </c>
      <c r="R26" s="41" t="s">
        <v>1922</v>
      </c>
      <c r="S26" s="41" t="s">
        <v>1923</v>
      </c>
    </row>
    <row r="27" spans="1:19" ht="74.099999999999994" customHeight="1">
      <c r="A27" s="40" t="s">
        <v>136</v>
      </c>
      <c r="B27" s="40" t="s">
        <v>2033</v>
      </c>
      <c r="C27" s="46">
        <v>8</v>
      </c>
      <c r="D27" s="40" t="s">
        <v>1883</v>
      </c>
      <c r="E27" s="40" t="s">
        <v>1903</v>
      </c>
      <c r="F27" s="40" t="s">
        <v>1883</v>
      </c>
      <c r="G27" s="40" t="s">
        <v>1904</v>
      </c>
      <c r="H27" s="40" t="s">
        <v>1871</v>
      </c>
      <c r="I27" s="40" t="s">
        <v>619</v>
      </c>
      <c r="J27" s="40" t="s">
        <v>2034</v>
      </c>
      <c r="K27" s="40" t="s">
        <v>2035</v>
      </c>
      <c r="L27" s="40" t="s">
        <v>2036</v>
      </c>
      <c r="M27" s="40" t="s">
        <v>1908</v>
      </c>
      <c r="N27" s="40" t="s">
        <v>1909</v>
      </c>
      <c r="O27" s="40" t="s">
        <v>1876</v>
      </c>
      <c r="P27" s="40" t="s">
        <v>1910</v>
      </c>
      <c r="Q27" s="40" t="s">
        <v>1911</v>
      </c>
      <c r="R27" s="40" t="s">
        <v>1912</v>
      </c>
      <c r="S27" s="40" t="s">
        <v>2037</v>
      </c>
    </row>
    <row r="28" spans="1:19" ht="74.099999999999994" customHeight="1">
      <c r="A28" s="41" t="s">
        <v>136</v>
      </c>
      <c r="B28" s="41" t="s">
        <v>2038</v>
      </c>
      <c r="C28" s="47">
        <v>9</v>
      </c>
      <c r="D28" s="41" t="s">
        <v>1883</v>
      </c>
      <c r="E28" s="41" t="s">
        <v>1937</v>
      </c>
      <c r="F28" s="41" t="s">
        <v>1883</v>
      </c>
      <c r="G28" s="41" t="s">
        <v>1904</v>
      </c>
      <c r="H28" s="41" t="s">
        <v>1871</v>
      </c>
      <c r="I28" s="41" t="s">
        <v>619</v>
      </c>
      <c r="J28" s="41" t="s">
        <v>2039</v>
      </c>
      <c r="K28" s="41" t="s">
        <v>2040</v>
      </c>
      <c r="L28" s="41" t="s">
        <v>1940</v>
      </c>
      <c r="M28" s="41" t="s">
        <v>1941</v>
      </c>
      <c r="N28" s="41" t="s">
        <v>2041</v>
      </c>
      <c r="O28" s="41" t="s">
        <v>1876</v>
      </c>
      <c r="P28" s="41" t="s">
        <v>1943</v>
      </c>
      <c r="Q28" s="41" t="s">
        <v>1944</v>
      </c>
      <c r="R28" s="41" t="s">
        <v>1945</v>
      </c>
      <c r="S28" s="41" t="s">
        <v>2042</v>
      </c>
    </row>
    <row r="29" spans="1:19" ht="74.099999999999994" customHeight="1">
      <c r="A29" s="40" t="s">
        <v>136</v>
      </c>
      <c r="B29" s="40" t="s">
        <v>2043</v>
      </c>
      <c r="C29" s="46">
        <v>10</v>
      </c>
      <c r="D29" s="40" t="s">
        <v>1948</v>
      </c>
      <c r="E29" s="40" t="s">
        <v>1949</v>
      </c>
      <c r="F29" s="40" t="s">
        <v>1883</v>
      </c>
      <c r="G29" s="40" t="s">
        <v>1904</v>
      </c>
      <c r="H29" s="40" t="s">
        <v>1950</v>
      </c>
      <c r="I29" s="40" t="s">
        <v>619</v>
      </c>
      <c r="J29" s="40" t="s">
        <v>140</v>
      </c>
      <c r="K29" s="40" t="s">
        <v>2044</v>
      </c>
      <c r="L29" s="40" t="s">
        <v>1952</v>
      </c>
      <c r="M29" s="40" t="s">
        <v>1953</v>
      </c>
      <c r="N29" s="40" t="s">
        <v>1954</v>
      </c>
      <c r="O29" s="40" t="s">
        <v>1167</v>
      </c>
      <c r="P29" s="40" t="s">
        <v>1955</v>
      </c>
      <c r="Q29" s="40" t="s">
        <v>1949</v>
      </c>
      <c r="R29" s="40" t="s">
        <v>1956</v>
      </c>
      <c r="S29" s="40" t="s">
        <v>1957</v>
      </c>
    </row>
    <row r="30" spans="1:19" ht="74.099999999999994" customHeight="1">
      <c r="A30" s="41" t="s">
        <v>136</v>
      </c>
      <c r="B30" s="41" t="s">
        <v>2045</v>
      </c>
      <c r="C30" s="47">
        <v>11</v>
      </c>
      <c r="D30" s="41" t="s">
        <v>1883</v>
      </c>
      <c r="E30" s="41" t="s">
        <v>1980</v>
      </c>
      <c r="F30" s="41" t="s">
        <v>1883</v>
      </c>
      <c r="G30" s="41" t="s">
        <v>1981</v>
      </c>
      <c r="H30" s="41" t="s">
        <v>1871</v>
      </c>
      <c r="I30" s="41" t="s">
        <v>619</v>
      </c>
      <c r="J30" s="41" t="s">
        <v>2046</v>
      </c>
      <c r="K30" s="41" t="s">
        <v>2047</v>
      </c>
      <c r="L30" s="41" t="s">
        <v>1984</v>
      </c>
      <c r="M30" s="41" t="s">
        <v>1985</v>
      </c>
      <c r="N30" s="41" t="s">
        <v>2048</v>
      </c>
      <c r="O30" s="41" t="s">
        <v>1876</v>
      </c>
      <c r="P30" s="41" t="s">
        <v>1955</v>
      </c>
      <c r="Q30" s="41" t="s">
        <v>1988</v>
      </c>
      <c r="R30" s="41" t="s">
        <v>1989</v>
      </c>
      <c r="S30" s="41" t="s">
        <v>1990</v>
      </c>
    </row>
    <row r="31" spans="1:19" ht="74.099999999999994" customHeight="1">
      <c r="A31" s="40" t="s">
        <v>136</v>
      </c>
      <c r="B31" s="40" t="s">
        <v>2049</v>
      </c>
      <c r="C31" s="46">
        <v>12</v>
      </c>
      <c r="D31" s="40" t="s">
        <v>1992</v>
      </c>
      <c r="E31" s="40" t="s">
        <v>1882</v>
      </c>
      <c r="F31" s="40" t="s">
        <v>1883</v>
      </c>
      <c r="G31" s="40" t="s">
        <v>1884</v>
      </c>
      <c r="H31" s="40" t="s">
        <v>1871</v>
      </c>
      <c r="I31" s="40" t="s">
        <v>619</v>
      </c>
      <c r="J31" s="40" t="s">
        <v>2050</v>
      </c>
      <c r="K31" s="40" t="s">
        <v>1993</v>
      </c>
      <c r="L31" s="40" t="s">
        <v>2051</v>
      </c>
      <c r="M31" s="40" t="s">
        <v>1995</v>
      </c>
      <c r="N31" s="40" t="s">
        <v>1996</v>
      </c>
      <c r="O31" s="40" t="s">
        <v>1876</v>
      </c>
      <c r="P31" s="40" t="s">
        <v>1997</v>
      </c>
      <c r="Q31" s="40" t="s">
        <v>1881</v>
      </c>
      <c r="R31" s="40" t="s">
        <v>1998</v>
      </c>
      <c r="S31" s="40" t="s">
        <v>1999</v>
      </c>
    </row>
    <row r="32" spans="1:19" ht="74.099999999999994" customHeight="1">
      <c r="A32" s="41" t="s">
        <v>136</v>
      </c>
      <c r="B32" s="41" t="s">
        <v>2052</v>
      </c>
      <c r="C32" s="47">
        <v>13</v>
      </c>
      <c r="D32" s="41" t="s">
        <v>2001</v>
      </c>
      <c r="E32" s="41" t="s">
        <v>2002</v>
      </c>
      <c r="F32" s="41" t="s">
        <v>2003</v>
      </c>
      <c r="G32" s="41"/>
      <c r="H32" s="41" t="s">
        <v>1871</v>
      </c>
      <c r="I32" s="41"/>
      <c r="J32" s="41" t="s">
        <v>136</v>
      </c>
      <c r="K32" s="41" t="s">
        <v>2004</v>
      </c>
      <c r="L32" s="41" t="s">
        <v>2005</v>
      </c>
      <c r="M32" s="41" t="s">
        <v>2006</v>
      </c>
      <c r="N32" s="41" t="s">
        <v>2007</v>
      </c>
      <c r="O32" s="41" t="s">
        <v>1876</v>
      </c>
      <c r="P32" s="41" t="s">
        <v>2008</v>
      </c>
      <c r="Q32" s="41" t="s">
        <v>2001</v>
      </c>
      <c r="R32" s="41" t="s">
        <v>2009</v>
      </c>
      <c r="S32" s="41" t="s">
        <v>2010</v>
      </c>
    </row>
    <row r="33" spans="1:19" ht="74.099999999999994" customHeight="1">
      <c r="A33" s="40" t="s">
        <v>144</v>
      </c>
      <c r="B33" s="40" t="s">
        <v>2053</v>
      </c>
      <c r="C33" s="46">
        <v>1</v>
      </c>
      <c r="D33" s="40" t="s">
        <v>1868</v>
      </c>
      <c r="E33" s="40" t="s">
        <v>1869</v>
      </c>
      <c r="F33" s="40" t="s">
        <v>1870</v>
      </c>
      <c r="G33" s="40"/>
      <c r="H33" s="40" t="s">
        <v>1871</v>
      </c>
      <c r="I33" s="40" t="s">
        <v>627</v>
      </c>
      <c r="J33" s="40" t="s">
        <v>1575</v>
      </c>
      <c r="K33" s="40" t="s">
        <v>2054</v>
      </c>
      <c r="L33" s="40" t="s">
        <v>1873</v>
      </c>
      <c r="M33" s="40" t="s">
        <v>1874</v>
      </c>
      <c r="N33" s="40" t="s">
        <v>1875</v>
      </c>
      <c r="O33" s="40" t="s">
        <v>1876</v>
      </c>
      <c r="P33" s="40"/>
      <c r="Q33" s="40" t="s">
        <v>1877</v>
      </c>
      <c r="R33" s="40" t="s">
        <v>1878</v>
      </c>
      <c r="S33" s="40" t="s">
        <v>1879</v>
      </c>
    </row>
    <row r="34" spans="1:19" ht="74.099999999999994" customHeight="1">
      <c r="A34" s="41" t="s">
        <v>144</v>
      </c>
      <c r="B34" s="41" t="s">
        <v>2055</v>
      </c>
      <c r="C34" s="47">
        <v>2</v>
      </c>
      <c r="D34" s="41" t="s">
        <v>1881</v>
      </c>
      <c r="E34" s="41" t="s">
        <v>1882</v>
      </c>
      <c r="F34" s="41" t="s">
        <v>1883</v>
      </c>
      <c r="G34" s="41" t="s">
        <v>1884</v>
      </c>
      <c r="H34" s="41" t="s">
        <v>1871</v>
      </c>
      <c r="I34" s="41" t="s">
        <v>627</v>
      </c>
      <c r="J34" s="41" t="s">
        <v>2056</v>
      </c>
      <c r="K34" s="41" t="s">
        <v>1886</v>
      </c>
      <c r="L34" s="41" t="s">
        <v>2057</v>
      </c>
      <c r="M34" s="41" t="s">
        <v>1888</v>
      </c>
      <c r="N34" s="41" t="s">
        <v>1889</v>
      </c>
      <c r="O34" s="41" t="s">
        <v>1876</v>
      </c>
      <c r="P34" s="41"/>
      <c r="Q34" s="41" t="s">
        <v>1881</v>
      </c>
      <c r="R34" s="41" t="s">
        <v>1890</v>
      </c>
      <c r="S34" s="41" t="s">
        <v>1891</v>
      </c>
    </row>
    <row r="35" spans="1:19" ht="74.099999999999994" customHeight="1">
      <c r="A35" s="40" t="s">
        <v>144</v>
      </c>
      <c r="B35" s="40" t="s">
        <v>2058</v>
      </c>
      <c r="C35" s="46">
        <v>3</v>
      </c>
      <c r="D35" s="40" t="s">
        <v>1893</v>
      </c>
      <c r="E35" s="40" t="s">
        <v>1894</v>
      </c>
      <c r="F35" s="40" t="s">
        <v>1870</v>
      </c>
      <c r="G35" s="40"/>
      <c r="H35" s="40" t="s">
        <v>1871</v>
      </c>
      <c r="I35" s="40" t="s">
        <v>627</v>
      </c>
      <c r="J35" s="40" t="s">
        <v>144</v>
      </c>
      <c r="K35" s="40" t="s">
        <v>2017</v>
      </c>
      <c r="L35" s="40" t="s">
        <v>1896</v>
      </c>
      <c r="M35" s="40" t="s">
        <v>1897</v>
      </c>
      <c r="N35" s="40" t="s">
        <v>1898</v>
      </c>
      <c r="O35" s="40" t="s">
        <v>1876</v>
      </c>
      <c r="P35" s="40"/>
      <c r="Q35" s="40" t="s">
        <v>1899</v>
      </c>
      <c r="R35" s="40" t="s">
        <v>1900</v>
      </c>
      <c r="S35" s="40" t="s">
        <v>2018</v>
      </c>
    </row>
    <row r="36" spans="1:19" ht="74.099999999999994" customHeight="1">
      <c r="A36" s="41" t="s">
        <v>144</v>
      </c>
      <c r="B36" s="41" t="s">
        <v>2059</v>
      </c>
      <c r="C36" s="47">
        <v>4</v>
      </c>
      <c r="D36" s="41" t="s">
        <v>1883</v>
      </c>
      <c r="E36" s="41" t="s">
        <v>1903</v>
      </c>
      <c r="F36" s="41" t="s">
        <v>1883</v>
      </c>
      <c r="G36" s="41" t="s">
        <v>1904</v>
      </c>
      <c r="H36" s="41" t="s">
        <v>1871</v>
      </c>
      <c r="I36" s="41" t="s">
        <v>627</v>
      </c>
      <c r="J36" s="41" t="s">
        <v>2060</v>
      </c>
      <c r="K36" s="41" t="s">
        <v>2061</v>
      </c>
      <c r="L36" s="41" t="s">
        <v>2062</v>
      </c>
      <c r="M36" s="41" t="s">
        <v>1908</v>
      </c>
      <c r="N36" s="41" t="s">
        <v>1909</v>
      </c>
      <c r="O36" s="41" t="s">
        <v>1876</v>
      </c>
      <c r="P36" s="41" t="s">
        <v>1910</v>
      </c>
      <c r="Q36" s="41" t="s">
        <v>1911</v>
      </c>
      <c r="R36" s="41" t="s">
        <v>1912</v>
      </c>
      <c r="S36" s="41" t="s">
        <v>2063</v>
      </c>
    </row>
    <row r="37" spans="1:19" ht="74.099999999999994" customHeight="1">
      <c r="A37" s="40" t="s">
        <v>144</v>
      </c>
      <c r="B37" s="40" t="s">
        <v>2064</v>
      </c>
      <c r="C37" s="46">
        <v>5</v>
      </c>
      <c r="D37" s="40" t="s">
        <v>1883</v>
      </c>
      <c r="E37" s="40" t="s">
        <v>1915</v>
      </c>
      <c r="F37" s="40" t="s">
        <v>1883</v>
      </c>
      <c r="G37" s="40" t="s">
        <v>1915</v>
      </c>
      <c r="H37" s="40" t="s">
        <v>1871</v>
      </c>
      <c r="I37" s="40" t="s">
        <v>637</v>
      </c>
      <c r="J37" s="40" t="s">
        <v>637</v>
      </c>
      <c r="K37" s="40" t="s">
        <v>2065</v>
      </c>
      <c r="L37" s="40" t="s">
        <v>1917</v>
      </c>
      <c r="M37" s="40" t="s">
        <v>1918</v>
      </c>
      <c r="N37" s="40" t="s">
        <v>1919</v>
      </c>
      <c r="O37" s="40" t="s">
        <v>1876</v>
      </c>
      <c r="P37" s="40" t="s">
        <v>1920</v>
      </c>
      <c r="Q37" s="40" t="s">
        <v>1921</v>
      </c>
      <c r="R37" s="40" t="s">
        <v>1922</v>
      </c>
      <c r="S37" s="40" t="s">
        <v>1923</v>
      </c>
    </row>
    <row r="38" spans="1:19" ht="74.099999999999994" customHeight="1">
      <c r="A38" s="41" t="s">
        <v>144</v>
      </c>
      <c r="B38" s="41" t="s">
        <v>2066</v>
      </c>
      <c r="C38" s="47">
        <v>6</v>
      </c>
      <c r="D38" s="41" t="s">
        <v>1883</v>
      </c>
      <c r="E38" s="41" t="s">
        <v>1903</v>
      </c>
      <c r="F38" s="41" t="s">
        <v>1883</v>
      </c>
      <c r="G38" s="41" t="s">
        <v>1904</v>
      </c>
      <c r="H38" s="41" t="s">
        <v>1871</v>
      </c>
      <c r="I38" s="41" t="s">
        <v>637</v>
      </c>
      <c r="J38" s="41" t="s">
        <v>2067</v>
      </c>
      <c r="K38" s="41" t="s">
        <v>2068</v>
      </c>
      <c r="L38" s="41" t="s">
        <v>2069</v>
      </c>
      <c r="M38" s="41" t="s">
        <v>1908</v>
      </c>
      <c r="N38" s="41" t="s">
        <v>1909</v>
      </c>
      <c r="O38" s="41" t="s">
        <v>1876</v>
      </c>
      <c r="P38" s="41" t="s">
        <v>1910</v>
      </c>
      <c r="Q38" s="41" t="s">
        <v>1911</v>
      </c>
      <c r="R38" s="41" t="s">
        <v>1912</v>
      </c>
      <c r="S38" s="41" t="s">
        <v>2070</v>
      </c>
    </row>
    <row r="39" spans="1:19" ht="74.099999999999994" customHeight="1">
      <c r="A39" s="40" t="s">
        <v>144</v>
      </c>
      <c r="B39" s="40" t="s">
        <v>2071</v>
      </c>
      <c r="C39" s="46">
        <v>7</v>
      </c>
      <c r="D39" s="40" t="s">
        <v>1883</v>
      </c>
      <c r="E39" s="40" t="s">
        <v>2072</v>
      </c>
      <c r="F39" s="40" t="s">
        <v>1883</v>
      </c>
      <c r="G39" s="40" t="s">
        <v>1915</v>
      </c>
      <c r="H39" s="40" t="s">
        <v>2073</v>
      </c>
      <c r="I39" s="40" t="s">
        <v>637</v>
      </c>
      <c r="J39" s="40" t="s">
        <v>2074</v>
      </c>
      <c r="K39" s="40" t="s">
        <v>2075</v>
      </c>
      <c r="L39" s="40" t="s">
        <v>2076</v>
      </c>
      <c r="M39" s="40" t="s">
        <v>2077</v>
      </c>
      <c r="N39" s="40" t="s">
        <v>2078</v>
      </c>
      <c r="O39" s="40" t="s">
        <v>1876</v>
      </c>
      <c r="P39" s="40" t="s">
        <v>2079</v>
      </c>
      <c r="Q39" s="40" t="s">
        <v>2080</v>
      </c>
      <c r="R39" s="40" t="s">
        <v>2081</v>
      </c>
      <c r="S39" s="40" t="s">
        <v>2082</v>
      </c>
    </row>
    <row r="40" spans="1:19" ht="74.099999999999994" customHeight="1">
      <c r="A40" s="41" t="s">
        <v>144</v>
      </c>
      <c r="B40" s="41" t="s">
        <v>2083</v>
      </c>
      <c r="C40" s="47">
        <v>8</v>
      </c>
      <c r="D40" s="41" t="s">
        <v>1883</v>
      </c>
      <c r="E40" s="41" t="s">
        <v>1915</v>
      </c>
      <c r="F40" s="41" t="s">
        <v>1883</v>
      </c>
      <c r="G40" s="41" t="s">
        <v>1915</v>
      </c>
      <c r="H40" s="41" t="s">
        <v>1871</v>
      </c>
      <c r="I40" s="41" t="s">
        <v>644</v>
      </c>
      <c r="J40" s="41" t="s">
        <v>644</v>
      </c>
      <c r="K40" s="41" t="s">
        <v>2084</v>
      </c>
      <c r="L40" s="41" t="s">
        <v>1917</v>
      </c>
      <c r="M40" s="41" t="s">
        <v>1918</v>
      </c>
      <c r="N40" s="41" t="s">
        <v>1919</v>
      </c>
      <c r="O40" s="41" t="s">
        <v>1876</v>
      </c>
      <c r="P40" s="41" t="s">
        <v>1920</v>
      </c>
      <c r="Q40" s="41" t="s">
        <v>1921</v>
      </c>
      <c r="R40" s="41" t="s">
        <v>1922</v>
      </c>
      <c r="S40" s="41" t="s">
        <v>1923</v>
      </c>
    </row>
    <row r="41" spans="1:19" ht="74.099999999999994" customHeight="1">
      <c r="A41" s="40" t="s">
        <v>144</v>
      </c>
      <c r="B41" s="40" t="s">
        <v>2085</v>
      </c>
      <c r="C41" s="46">
        <v>9</v>
      </c>
      <c r="D41" s="40" t="s">
        <v>1883</v>
      </c>
      <c r="E41" s="40" t="s">
        <v>1903</v>
      </c>
      <c r="F41" s="40" t="s">
        <v>1883</v>
      </c>
      <c r="G41" s="40" t="s">
        <v>1904</v>
      </c>
      <c r="H41" s="40" t="s">
        <v>1871</v>
      </c>
      <c r="I41" s="40" t="s">
        <v>644</v>
      </c>
      <c r="J41" s="40" t="s">
        <v>2086</v>
      </c>
      <c r="K41" s="40" t="s">
        <v>2087</v>
      </c>
      <c r="L41" s="40" t="s">
        <v>2088</v>
      </c>
      <c r="M41" s="40" t="s">
        <v>1908</v>
      </c>
      <c r="N41" s="40" t="s">
        <v>1909</v>
      </c>
      <c r="O41" s="40" t="s">
        <v>1876</v>
      </c>
      <c r="P41" s="40" t="s">
        <v>1910</v>
      </c>
      <c r="Q41" s="40" t="s">
        <v>1911</v>
      </c>
      <c r="R41" s="40" t="s">
        <v>1912</v>
      </c>
      <c r="S41" s="40" t="s">
        <v>2089</v>
      </c>
    </row>
    <row r="42" spans="1:19" ht="74.099999999999994" customHeight="1">
      <c r="A42" s="41" t="s">
        <v>144</v>
      </c>
      <c r="B42" s="41" t="s">
        <v>2090</v>
      </c>
      <c r="C42" s="47">
        <v>10</v>
      </c>
      <c r="D42" s="41" t="s">
        <v>1883</v>
      </c>
      <c r="E42" s="41" t="s">
        <v>1937</v>
      </c>
      <c r="F42" s="41" t="s">
        <v>1883</v>
      </c>
      <c r="G42" s="41" t="s">
        <v>1904</v>
      </c>
      <c r="H42" s="41" t="s">
        <v>1871</v>
      </c>
      <c r="I42" s="41" t="s">
        <v>644</v>
      </c>
      <c r="J42" s="41" t="s">
        <v>2091</v>
      </c>
      <c r="K42" s="41" t="s">
        <v>2092</v>
      </c>
      <c r="L42" s="41" t="s">
        <v>1940</v>
      </c>
      <c r="M42" s="41" t="s">
        <v>1941</v>
      </c>
      <c r="N42" s="41" t="s">
        <v>2093</v>
      </c>
      <c r="O42" s="41" t="s">
        <v>1876</v>
      </c>
      <c r="P42" s="41" t="s">
        <v>1943</v>
      </c>
      <c r="Q42" s="41" t="s">
        <v>1944</v>
      </c>
      <c r="R42" s="41" t="s">
        <v>1945</v>
      </c>
      <c r="S42" s="41" t="s">
        <v>2094</v>
      </c>
    </row>
    <row r="43" spans="1:19" ht="74.099999999999994" customHeight="1">
      <c r="A43" s="40" t="s">
        <v>144</v>
      </c>
      <c r="B43" s="40" t="s">
        <v>2095</v>
      </c>
      <c r="C43" s="46">
        <v>11</v>
      </c>
      <c r="D43" s="40" t="s">
        <v>1992</v>
      </c>
      <c r="E43" s="40" t="s">
        <v>1882</v>
      </c>
      <c r="F43" s="40" t="s">
        <v>1883</v>
      </c>
      <c r="G43" s="40" t="s">
        <v>1884</v>
      </c>
      <c r="H43" s="40" t="s">
        <v>1871</v>
      </c>
      <c r="I43" s="40" t="s">
        <v>644</v>
      </c>
      <c r="J43" s="40" t="s">
        <v>2096</v>
      </c>
      <c r="K43" s="40" t="s">
        <v>1993</v>
      </c>
      <c r="L43" s="40" t="s">
        <v>2097</v>
      </c>
      <c r="M43" s="40" t="s">
        <v>1995</v>
      </c>
      <c r="N43" s="40" t="s">
        <v>1996</v>
      </c>
      <c r="O43" s="40" t="s">
        <v>1876</v>
      </c>
      <c r="P43" s="40" t="s">
        <v>1997</v>
      </c>
      <c r="Q43" s="40" t="s">
        <v>1881</v>
      </c>
      <c r="R43" s="40" t="s">
        <v>1998</v>
      </c>
      <c r="S43" s="40" t="s">
        <v>1999</v>
      </c>
    </row>
    <row r="44" spans="1:19" ht="74.099999999999994" customHeight="1">
      <c r="A44" s="41" t="s">
        <v>144</v>
      </c>
      <c r="B44" s="41" t="s">
        <v>2098</v>
      </c>
      <c r="C44" s="47">
        <v>12</v>
      </c>
      <c r="D44" s="41" t="s">
        <v>2001</v>
      </c>
      <c r="E44" s="41" t="s">
        <v>2002</v>
      </c>
      <c r="F44" s="41" t="s">
        <v>2003</v>
      </c>
      <c r="G44" s="41"/>
      <c r="H44" s="41" t="s">
        <v>1871</v>
      </c>
      <c r="I44" s="41"/>
      <c r="J44" s="41" t="s">
        <v>144</v>
      </c>
      <c r="K44" s="41" t="s">
        <v>2004</v>
      </c>
      <c r="L44" s="41" t="s">
        <v>2005</v>
      </c>
      <c r="M44" s="41" t="s">
        <v>2006</v>
      </c>
      <c r="N44" s="41" t="s">
        <v>2007</v>
      </c>
      <c r="O44" s="41" t="s">
        <v>1876</v>
      </c>
      <c r="P44" s="41" t="s">
        <v>2008</v>
      </c>
      <c r="Q44" s="41" t="s">
        <v>2001</v>
      </c>
      <c r="R44" s="41" t="s">
        <v>2009</v>
      </c>
      <c r="S44" s="41" t="s">
        <v>2010</v>
      </c>
    </row>
    <row r="45" spans="1:19" ht="74.099999999999994" customHeight="1">
      <c r="A45" s="40" t="s">
        <v>151</v>
      </c>
      <c r="B45" s="40" t="s">
        <v>2099</v>
      </c>
      <c r="C45" s="46">
        <v>1</v>
      </c>
      <c r="D45" s="40" t="s">
        <v>1868</v>
      </c>
      <c r="E45" s="40" t="s">
        <v>1869</v>
      </c>
      <c r="F45" s="40" t="s">
        <v>1870</v>
      </c>
      <c r="G45" s="40"/>
      <c r="H45" s="40" t="s">
        <v>1871</v>
      </c>
      <c r="I45" s="40" t="s">
        <v>651</v>
      </c>
      <c r="J45" s="40" t="s">
        <v>1583</v>
      </c>
      <c r="K45" s="40" t="s">
        <v>2100</v>
      </c>
      <c r="L45" s="40" t="s">
        <v>1873</v>
      </c>
      <c r="M45" s="40" t="s">
        <v>1874</v>
      </c>
      <c r="N45" s="40" t="s">
        <v>1875</v>
      </c>
      <c r="O45" s="40" t="s">
        <v>1876</v>
      </c>
      <c r="P45" s="40"/>
      <c r="Q45" s="40" t="s">
        <v>1877</v>
      </c>
      <c r="R45" s="40" t="s">
        <v>1878</v>
      </c>
      <c r="S45" s="40" t="s">
        <v>1879</v>
      </c>
    </row>
    <row r="46" spans="1:19" ht="74.099999999999994" customHeight="1">
      <c r="A46" s="41" t="s">
        <v>151</v>
      </c>
      <c r="B46" s="41" t="s">
        <v>2101</v>
      </c>
      <c r="C46" s="47">
        <v>2</v>
      </c>
      <c r="D46" s="41" t="s">
        <v>1881</v>
      </c>
      <c r="E46" s="41" t="s">
        <v>1882</v>
      </c>
      <c r="F46" s="41" t="s">
        <v>1883</v>
      </c>
      <c r="G46" s="41" t="s">
        <v>1884</v>
      </c>
      <c r="H46" s="41" t="s">
        <v>1871</v>
      </c>
      <c r="I46" s="41" t="s">
        <v>651</v>
      </c>
      <c r="J46" s="41" t="s">
        <v>2102</v>
      </c>
      <c r="K46" s="41" t="s">
        <v>1886</v>
      </c>
      <c r="L46" s="41" t="s">
        <v>2103</v>
      </c>
      <c r="M46" s="41" t="s">
        <v>1888</v>
      </c>
      <c r="N46" s="41" t="s">
        <v>1889</v>
      </c>
      <c r="O46" s="41" t="s">
        <v>1876</v>
      </c>
      <c r="P46" s="41"/>
      <c r="Q46" s="41" t="s">
        <v>1881</v>
      </c>
      <c r="R46" s="41" t="s">
        <v>1890</v>
      </c>
      <c r="S46" s="41" t="s">
        <v>1891</v>
      </c>
    </row>
    <row r="47" spans="1:19" ht="74.099999999999994" customHeight="1">
      <c r="A47" s="40" t="s">
        <v>151</v>
      </c>
      <c r="B47" s="40" t="s">
        <v>2104</v>
      </c>
      <c r="C47" s="46">
        <v>3</v>
      </c>
      <c r="D47" s="40" t="s">
        <v>1893</v>
      </c>
      <c r="E47" s="40" t="s">
        <v>1894</v>
      </c>
      <c r="F47" s="40" t="s">
        <v>1870</v>
      </c>
      <c r="G47" s="40"/>
      <c r="H47" s="40" t="s">
        <v>1871</v>
      </c>
      <c r="I47" s="40" t="s">
        <v>651</v>
      </c>
      <c r="J47" s="40" t="s">
        <v>151</v>
      </c>
      <c r="K47" s="40" t="s">
        <v>2017</v>
      </c>
      <c r="L47" s="40" t="s">
        <v>1896</v>
      </c>
      <c r="M47" s="40" t="s">
        <v>1897</v>
      </c>
      <c r="N47" s="40" t="s">
        <v>1898</v>
      </c>
      <c r="O47" s="40" t="s">
        <v>1876</v>
      </c>
      <c r="P47" s="40"/>
      <c r="Q47" s="40" t="s">
        <v>1899</v>
      </c>
      <c r="R47" s="40" t="s">
        <v>1900</v>
      </c>
      <c r="S47" s="40" t="s">
        <v>2018</v>
      </c>
    </row>
    <row r="48" spans="1:19" ht="74.099999999999994" customHeight="1">
      <c r="A48" s="41" t="s">
        <v>151</v>
      </c>
      <c r="B48" s="41" t="s">
        <v>2105</v>
      </c>
      <c r="C48" s="47">
        <v>4</v>
      </c>
      <c r="D48" s="41" t="s">
        <v>1883</v>
      </c>
      <c r="E48" s="41" t="s">
        <v>1903</v>
      </c>
      <c r="F48" s="41" t="s">
        <v>1883</v>
      </c>
      <c r="G48" s="41" t="s">
        <v>1904</v>
      </c>
      <c r="H48" s="41" t="s">
        <v>1871</v>
      </c>
      <c r="I48" s="41" t="s">
        <v>651</v>
      </c>
      <c r="J48" s="41" t="s">
        <v>2106</v>
      </c>
      <c r="K48" s="41" t="s">
        <v>2107</v>
      </c>
      <c r="L48" s="41" t="s">
        <v>2108</v>
      </c>
      <c r="M48" s="41" t="s">
        <v>1908</v>
      </c>
      <c r="N48" s="41" t="s">
        <v>1909</v>
      </c>
      <c r="O48" s="41" t="s">
        <v>1876</v>
      </c>
      <c r="P48" s="41" t="s">
        <v>1910</v>
      </c>
      <c r="Q48" s="41" t="s">
        <v>1911</v>
      </c>
      <c r="R48" s="41" t="s">
        <v>1912</v>
      </c>
      <c r="S48" s="41" t="s">
        <v>2109</v>
      </c>
    </row>
    <row r="49" spans="1:19" ht="74.099999999999994" customHeight="1">
      <c r="A49" s="40" t="s">
        <v>151</v>
      </c>
      <c r="B49" s="40" t="s">
        <v>2110</v>
      </c>
      <c r="C49" s="46">
        <v>5</v>
      </c>
      <c r="D49" s="40" t="s">
        <v>1883</v>
      </c>
      <c r="E49" s="40" t="s">
        <v>1915</v>
      </c>
      <c r="F49" s="40" t="s">
        <v>1883</v>
      </c>
      <c r="G49" s="40" t="s">
        <v>1915</v>
      </c>
      <c r="H49" s="40" t="s">
        <v>1871</v>
      </c>
      <c r="I49" s="40" t="s">
        <v>659</v>
      </c>
      <c r="J49" s="40" t="s">
        <v>659</v>
      </c>
      <c r="K49" s="40" t="s">
        <v>2111</v>
      </c>
      <c r="L49" s="40" t="s">
        <v>1917</v>
      </c>
      <c r="M49" s="40" t="s">
        <v>1918</v>
      </c>
      <c r="N49" s="40" t="s">
        <v>1919</v>
      </c>
      <c r="O49" s="40" t="s">
        <v>1876</v>
      </c>
      <c r="P49" s="40" t="s">
        <v>1920</v>
      </c>
      <c r="Q49" s="40" t="s">
        <v>1921</v>
      </c>
      <c r="R49" s="40" t="s">
        <v>1922</v>
      </c>
      <c r="S49" s="40" t="s">
        <v>1923</v>
      </c>
    </row>
    <row r="50" spans="1:19" ht="74.099999999999994" customHeight="1">
      <c r="A50" s="41" t="s">
        <v>151</v>
      </c>
      <c r="B50" s="41" t="s">
        <v>2112</v>
      </c>
      <c r="C50" s="47">
        <v>6</v>
      </c>
      <c r="D50" s="41" t="s">
        <v>1883</v>
      </c>
      <c r="E50" s="41" t="s">
        <v>1903</v>
      </c>
      <c r="F50" s="41" t="s">
        <v>1883</v>
      </c>
      <c r="G50" s="41" t="s">
        <v>1904</v>
      </c>
      <c r="H50" s="41" t="s">
        <v>1871</v>
      </c>
      <c r="I50" s="41" t="s">
        <v>659</v>
      </c>
      <c r="J50" s="41" t="s">
        <v>2113</v>
      </c>
      <c r="K50" s="41" t="s">
        <v>2114</v>
      </c>
      <c r="L50" s="41" t="s">
        <v>2115</v>
      </c>
      <c r="M50" s="41" t="s">
        <v>1908</v>
      </c>
      <c r="N50" s="41" t="s">
        <v>1909</v>
      </c>
      <c r="O50" s="41" t="s">
        <v>1876</v>
      </c>
      <c r="P50" s="41" t="s">
        <v>1910</v>
      </c>
      <c r="Q50" s="41" t="s">
        <v>1911</v>
      </c>
      <c r="R50" s="41" t="s">
        <v>1912</v>
      </c>
      <c r="S50" s="41" t="s">
        <v>2116</v>
      </c>
    </row>
    <row r="51" spans="1:19" ht="74.099999999999994" customHeight="1">
      <c r="A51" s="40" t="s">
        <v>151</v>
      </c>
      <c r="B51" s="40" t="s">
        <v>2117</v>
      </c>
      <c r="C51" s="46">
        <v>7</v>
      </c>
      <c r="D51" s="40" t="s">
        <v>1883</v>
      </c>
      <c r="E51" s="40" t="s">
        <v>1915</v>
      </c>
      <c r="F51" s="40" t="s">
        <v>1883</v>
      </c>
      <c r="G51" s="40" t="s">
        <v>1915</v>
      </c>
      <c r="H51" s="40" t="s">
        <v>1871</v>
      </c>
      <c r="I51" s="40" t="s">
        <v>666</v>
      </c>
      <c r="J51" s="40" t="s">
        <v>666</v>
      </c>
      <c r="K51" s="40" t="s">
        <v>2118</v>
      </c>
      <c r="L51" s="40" t="s">
        <v>1917</v>
      </c>
      <c r="M51" s="40" t="s">
        <v>1918</v>
      </c>
      <c r="N51" s="40" t="s">
        <v>1919</v>
      </c>
      <c r="O51" s="40" t="s">
        <v>1876</v>
      </c>
      <c r="P51" s="40" t="s">
        <v>1920</v>
      </c>
      <c r="Q51" s="40" t="s">
        <v>1921</v>
      </c>
      <c r="R51" s="40" t="s">
        <v>1922</v>
      </c>
      <c r="S51" s="40" t="s">
        <v>1923</v>
      </c>
    </row>
    <row r="52" spans="1:19" ht="74.099999999999994" customHeight="1">
      <c r="A52" s="41" t="s">
        <v>151</v>
      </c>
      <c r="B52" s="41" t="s">
        <v>2119</v>
      </c>
      <c r="C52" s="47">
        <v>8</v>
      </c>
      <c r="D52" s="41" t="s">
        <v>1883</v>
      </c>
      <c r="E52" s="41" t="s">
        <v>1903</v>
      </c>
      <c r="F52" s="41" t="s">
        <v>1883</v>
      </c>
      <c r="G52" s="41" t="s">
        <v>1904</v>
      </c>
      <c r="H52" s="41" t="s">
        <v>1871</v>
      </c>
      <c r="I52" s="41" t="s">
        <v>666</v>
      </c>
      <c r="J52" s="41" t="s">
        <v>2120</v>
      </c>
      <c r="K52" s="41" t="s">
        <v>2121</v>
      </c>
      <c r="L52" s="41" t="s">
        <v>2122</v>
      </c>
      <c r="M52" s="41" t="s">
        <v>1908</v>
      </c>
      <c r="N52" s="41" t="s">
        <v>1909</v>
      </c>
      <c r="O52" s="41" t="s">
        <v>1876</v>
      </c>
      <c r="P52" s="41" t="s">
        <v>1910</v>
      </c>
      <c r="Q52" s="41" t="s">
        <v>1911</v>
      </c>
      <c r="R52" s="41" t="s">
        <v>1912</v>
      </c>
      <c r="S52" s="41" t="s">
        <v>2123</v>
      </c>
    </row>
    <row r="53" spans="1:19" ht="74.099999999999994" customHeight="1">
      <c r="A53" s="40" t="s">
        <v>151</v>
      </c>
      <c r="B53" s="40" t="s">
        <v>2124</v>
      </c>
      <c r="C53" s="46">
        <v>9</v>
      </c>
      <c r="D53" s="40" t="s">
        <v>1883</v>
      </c>
      <c r="E53" s="40" t="s">
        <v>1937</v>
      </c>
      <c r="F53" s="40" t="s">
        <v>1883</v>
      </c>
      <c r="G53" s="40" t="s">
        <v>1904</v>
      </c>
      <c r="H53" s="40" t="s">
        <v>1871</v>
      </c>
      <c r="I53" s="40" t="s">
        <v>666</v>
      </c>
      <c r="J53" s="40" t="s">
        <v>2125</v>
      </c>
      <c r="K53" s="40" t="s">
        <v>2126</v>
      </c>
      <c r="L53" s="40" t="s">
        <v>1940</v>
      </c>
      <c r="M53" s="40" t="s">
        <v>1941</v>
      </c>
      <c r="N53" s="40" t="s">
        <v>2127</v>
      </c>
      <c r="O53" s="40" t="s">
        <v>1876</v>
      </c>
      <c r="P53" s="40" t="s">
        <v>1943</v>
      </c>
      <c r="Q53" s="40" t="s">
        <v>1944</v>
      </c>
      <c r="R53" s="40" t="s">
        <v>1945</v>
      </c>
      <c r="S53" s="40" t="s">
        <v>2128</v>
      </c>
    </row>
    <row r="54" spans="1:19" ht="74.099999999999994" customHeight="1">
      <c r="A54" s="41" t="s">
        <v>151</v>
      </c>
      <c r="B54" s="41" t="s">
        <v>2129</v>
      </c>
      <c r="C54" s="47">
        <v>10</v>
      </c>
      <c r="D54" s="41" t="s">
        <v>1883</v>
      </c>
      <c r="E54" s="41" t="s">
        <v>1959</v>
      </c>
      <c r="F54" s="41" t="s">
        <v>1883</v>
      </c>
      <c r="G54" s="41" t="s">
        <v>1960</v>
      </c>
      <c r="H54" s="41" t="s">
        <v>1871</v>
      </c>
      <c r="I54" s="41" t="s">
        <v>666</v>
      </c>
      <c r="J54" s="41" t="s">
        <v>2130</v>
      </c>
      <c r="K54" s="41" t="s">
        <v>2131</v>
      </c>
      <c r="L54" s="41" t="s">
        <v>2132</v>
      </c>
      <c r="M54" s="41" t="s">
        <v>1964</v>
      </c>
      <c r="N54" s="41" t="s">
        <v>1965</v>
      </c>
      <c r="O54" s="41" t="s">
        <v>1876</v>
      </c>
      <c r="P54" s="41" t="s">
        <v>1955</v>
      </c>
      <c r="Q54" s="41" t="s">
        <v>1966</v>
      </c>
      <c r="R54" s="41" t="s">
        <v>1967</v>
      </c>
      <c r="S54" s="41" t="s">
        <v>1968</v>
      </c>
    </row>
    <row r="55" spans="1:19" ht="74.099999999999994" customHeight="1">
      <c r="A55" s="40" t="s">
        <v>151</v>
      </c>
      <c r="B55" s="40" t="s">
        <v>2133</v>
      </c>
      <c r="C55" s="46">
        <v>11</v>
      </c>
      <c r="D55" s="40" t="s">
        <v>1883</v>
      </c>
      <c r="E55" s="40" t="s">
        <v>1980</v>
      </c>
      <c r="F55" s="40" t="s">
        <v>1883</v>
      </c>
      <c r="G55" s="40" t="s">
        <v>1981</v>
      </c>
      <c r="H55" s="40" t="s">
        <v>1871</v>
      </c>
      <c r="I55" s="40" t="s">
        <v>666</v>
      </c>
      <c r="J55" s="40" t="s">
        <v>2134</v>
      </c>
      <c r="K55" s="40" t="s">
        <v>2135</v>
      </c>
      <c r="L55" s="40" t="s">
        <v>1984</v>
      </c>
      <c r="M55" s="40" t="s">
        <v>1985</v>
      </c>
      <c r="N55" s="40" t="s">
        <v>2048</v>
      </c>
      <c r="O55" s="40" t="s">
        <v>1876</v>
      </c>
      <c r="P55" s="40" t="s">
        <v>1955</v>
      </c>
      <c r="Q55" s="40" t="s">
        <v>1988</v>
      </c>
      <c r="R55" s="40" t="s">
        <v>1989</v>
      </c>
      <c r="S55" s="40" t="s">
        <v>1990</v>
      </c>
    </row>
    <row r="56" spans="1:19" ht="74.099999999999994" customHeight="1">
      <c r="A56" s="41" t="s">
        <v>151</v>
      </c>
      <c r="B56" s="41" t="s">
        <v>2136</v>
      </c>
      <c r="C56" s="47">
        <v>12</v>
      </c>
      <c r="D56" s="41" t="s">
        <v>1992</v>
      </c>
      <c r="E56" s="41" t="s">
        <v>1882</v>
      </c>
      <c r="F56" s="41" t="s">
        <v>1883</v>
      </c>
      <c r="G56" s="41" t="s">
        <v>1884</v>
      </c>
      <c r="H56" s="41" t="s">
        <v>1871</v>
      </c>
      <c r="I56" s="41" t="s">
        <v>666</v>
      </c>
      <c r="J56" s="41" t="s">
        <v>2137</v>
      </c>
      <c r="K56" s="41" t="s">
        <v>1993</v>
      </c>
      <c r="L56" s="41" t="s">
        <v>2138</v>
      </c>
      <c r="M56" s="41" t="s">
        <v>1995</v>
      </c>
      <c r="N56" s="41" t="s">
        <v>1996</v>
      </c>
      <c r="O56" s="41" t="s">
        <v>1876</v>
      </c>
      <c r="P56" s="41" t="s">
        <v>1997</v>
      </c>
      <c r="Q56" s="41" t="s">
        <v>1881</v>
      </c>
      <c r="R56" s="41" t="s">
        <v>1998</v>
      </c>
      <c r="S56" s="41" t="s">
        <v>1999</v>
      </c>
    </row>
    <row r="57" spans="1:19" ht="74.099999999999994" customHeight="1">
      <c r="A57" s="40" t="s">
        <v>151</v>
      </c>
      <c r="B57" s="40" t="s">
        <v>2139</v>
      </c>
      <c r="C57" s="46">
        <v>13</v>
      </c>
      <c r="D57" s="40" t="s">
        <v>2001</v>
      </c>
      <c r="E57" s="40" t="s">
        <v>2002</v>
      </c>
      <c r="F57" s="40" t="s">
        <v>2003</v>
      </c>
      <c r="G57" s="40"/>
      <c r="H57" s="40" t="s">
        <v>1871</v>
      </c>
      <c r="I57" s="40"/>
      <c r="J57" s="40" t="s">
        <v>151</v>
      </c>
      <c r="K57" s="40" t="s">
        <v>2004</v>
      </c>
      <c r="L57" s="40" t="s">
        <v>2005</v>
      </c>
      <c r="M57" s="40" t="s">
        <v>2006</v>
      </c>
      <c r="N57" s="40" t="s">
        <v>2007</v>
      </c>
      <c r="O57" s="40" t="s">
        <v>1876</v>
      </c>
      <c r="P57" s="40" t="s">
        <v>2008</v>
      </c>
      <c r="Q57" s="40" t="s">
        <v>2001</v>
      </c>
      <c r="R57" s="40" t="s">
        <v>2009</v>
      </c>
      <c r="S57" s="40" t="s">
        <v>2010</v>
      </c>
    </row>
    <row r="58" spans="1:19" ht="74.099999999999994" customHeight="1">
      <c r="A58" s="41" t="s">
        <v>159</v>
      </c>
      <c r="B58" s="41" t="s">
        <v>2140</v>
      </c>
      <c r="C58" s="47">
        <v>1</v>
      </c>
      <c r="D58" s="41" t="s">
        <v>1868</v>
      </c>
      <c r="E58" s="41" t="s">
        <v>1869</v>
      </c>
      <c r="F58" s="41" t="s">
        <v>1870</v>
      </c>
      <c r="G58" s="41"/>
      <c r="H58" s="41" t="s">
        <v>1871</v>
      </c>
      <c r="I58" s="41" t="s">
        <v>672</v>
      </c>
      <c r="J58" s="41" t="s">
        <v>1592</v>
      </c>
      <c r="K58" s="41" t="s">
        <v>2141</v>
      </c>
      <c r="L58" s="41" t="s">
        <v>1873</v>
      </c>
      <c r="M58" s="41" t="s">
        <v>1874</v>
      </c>
      <c r="N58" s="41" t="s">
        <v>1875</v>
      </c>
      <c r="O58" s="41" t="s">
        <v>1876</v>
      </c>
      <c r="P58" s="41"/>
      <c r="Q58" s="41" t="s">
        <v>1877</v>
      </c>
      <c r="R58" s="41" t="s">
        <v>1878</v>
      </c>
      <c r="S58" s="41" t="s">
        <v>1879</v>
      </c>
    </row>
    <row r="59" spans="1:19" ht="74.099999999999994" customHeight="1">
      <c r="A59" s="40" t="s">
        <v>159</v>
      </c>
      <c r="B59" s="40" t="s">
        <v>2142</v>
      </c>
      <c r="C59" s="46">
        <v>2</v>
      </c>
      <c r="D59" s="40" t="s">
        <v>1881</v>
      </c>
      <c r="E59" s="40" t="s">
        <v>1882</v>
      </c>
      <c r="F59" s="40" t="s">
        <v>1883</v>
      </c>
      <c r="G59" s="40" t="s">
        <v>1884</v>
      </c>
      <c r="H59" s="40" t="s">
        <v>1871</v>
      </c>
      <c r="I59" s="40" t="s">
        <v>672</v>
      </c>
      <c r="J59" s="40" t="s">
        <v>2143</v>
      </c>
      <c r="K59" s="40" t="s">
        <v>1886</v>
      </c>
      <c r="L59" s="40" t="s">
        <v>2144</v>
      </c>
      <c r="M59" s="40" t="s">
        <v>1888</v>
      </c>
      <c r="N59" s="40" t="s">
        <v>1889</v>
      </c>
      <c r="O59" s="40" t="s">
        <v>1876</v>
      </c>
      <c r="P59" s="40"/>
      <c r="Q59" s="40" t="s">
        <v>1881</v>
      </c>
      <c r="R59" s="40" t="s">
        <v>1890</v>
      </c>
      <c r="S59" s="40" t="s">
        <v>1891</v>
      </c>
    </row>
    <row r="60" spans="1:19" ht="74.099999999999994" customHeight="1">
      <c r="A60" s="41" t="s">
        <v>159</v>
      </c>
      <c r="B60" s="41" t="s">
        <v>2145</v>
      </c>
      <c r="C60" s="47">
        <v>3</v>
      </c>
      <c r="D60" s="41" t="s">
        <v>1893</v>
      </c>
      <c r="E60" s="41" t="s">
        <v>1894</v>
      </c>
      <c r="F60" s="41" t="s">
        <v>1870</v>
      </c>
      <c r="G60" s="41"/>
      <c r="H60" s="41" t="s">
        <v>1871</v>
      </c>
      <c r="I60" s="41" t="s">
        <v>672</v>
      </c>
      <c r="J60" s="41" t="s">
        <v>159</v>
      </c>
      <c r="K60" s="41" t="s">
        <v>2017</v>
      </c>
      <c r="L60" s="41" t="s">
        <v>1896</v>
      </c>
      <c r="M60" s="41" t="s">
        <v>1897</v>
      </c>
      <c r="N60" s="41" t="s">
        <v>1898</v>
      </c>
      <c r="O60" s="41" t="s">
        <v>1876</v>
      </c>
      <c r="P60" s="41"/>
      <c r="Q60" s="41" t="s">
        <v>1899</v>
      </c>
      <c r="R60" s="41" t="s">
        <v>1900</v>
      </c>
      <c r="S60" s="41" t="s">
        <v>2018</v>
      </c>
    </row>
    <row r="61" spans="1:19" ht="74.099999999999994" customHeight="1">
      <c r="A61" s="40" t="s">
        <v>159</v>
      </c>
      <c r="B61" s="40" t="s">
        <v>2146</v>
      </c>
      <c r="C61" s="46">
        <v>4</v>
      </c>
      <c r="D61" s="40" t="s">
        <v>1883</v>
      </c>
      <c r="E61" s="40" t="s">
        <v>1903</v>
      </c>
      <c r="F61" s="40" t="s">
        <v>1883</v>
      </c>
      <c r="G61" s="40" t="s">
        <v>1904</v>
      </c>
      <c r="H61" s="40" t="s">
        <v>1871</v>
      </c>
      <c r="I61" s="40" t="s">
        <v>672</v>
      </c>
      <c r="J61" s="40" t="s">
        <v>2147</v>
      </c>
      <c r="K61" s="40" t="s">
        <v>2148</v>
      </c>
      <c r="L61" s="40" t="s">
        <v>2149</v>
      </c>
      <c r="M61" s="40" t="s">
        <v>1908</v>
      </c>
      <c r="N61" s="40" t="s">
        <v>1909</v>
      </c>
      <c r="O61" s="40" t="s">
        <v>1876</v>
      </c>
      <c r="P61" s="40" t="s">
        <v>1910</v>
      </c>
      <c r="Q61" s="40" t="s">
        <v>1911</v>
      </c>
      <c r="R61" s="40" t="s">
        <v>1912</v>
      </c>
      <c r="S61" s="40" t="s">
        <v>2150</v>
      </c>
    </row>
    <row r="62" spans="1:19" ht="74.099999999999994" customHeight="1">
      <c r="A62" s="41" t="s">
        <v>159</v>
      </c>
      <c r="B62" s="41" t="s">
        <v>2151</v>
      </c>
      <c r="C62" s="47">
        <v>5</v>
      </c>
      <c r="D62" s="41" t="s">
        <v>1883</v>
      </c>
      <c r="E62" s="41" t="s">
        <v>1937</v>
      </c>
      <c r="F62" s="41" t="s">
        <v>1883</v>
      </c>
      <c r="G62" s="41" t="s">
        <v>1904</v>
      </c>
      <c r="H62" s="41" t="s">
        <v>1871</v>
      </c>
      <c r="I62" s="41" t="s">
        <v>672</v>
      </c>
      <c r="J62" s="41" t="s">
        <v>2152</v>
      </c>
      <c r="K62" s="41" t="s">
        <v>2153</v>
      </c>
      <c r="L62" s="41" t="s">
        <v>1940</v>
      </c>
      <c r="M62" s="41" t="s">
        <v>1941</v>
      </c>
      <c r="N62" s="41" t="s">
        <v>2154</v>
      </c>
      <c r="O62" s="41" t="s">
        <v>1876</v>
      </c>
      <c r="P62" s="41" t="s">
        <v>1943</v>
      </c>
      <c r="Q62" s="41" t="s">
        <v>1944</v>
      </c>
      <c r="R62" s="41" t="s">
        <v>1945</v>
      </c>
      <c r="S62" s="41" t="s">
        <v>2155</v>
      </c>
    </row>
    <row r="63" spans="1:19" ht="74.099999999999994" customHeight="1">
      <c r="A63" s="40" t="s">
        <v>159</v>
      </c>
      <c r="B63" s="40" t="s">
        <v>2156</v>
      </c>
      <c r="C63" s="46">
        <v>6</v>
      </c>
      <c r="D63" s="40" t="s">
        <v>1992</v>
      </c>
      <c r="E63" s="40" t="s">
        <v>1882</v>
      </c>
      <c r="F63" s="40" t="s">
        <v>1883</v>
      </c>
      <c r="G63" s="40" t="s">
        <v>1884</v>
      </c>
      <c r="H63" s="40" t="s">
        <v>1871</v>
      </c>
      <c r="I63" s="40" t="s">
        <v>672</v>
      </c>
      <c r="J63" s="40" t="s">
        <v>2157</v>
      </c>
      <c r="K63" s="40" t="s">
        <v>1993</v>
      </c>
      <c r="L63" s="40" t="s">
        <v>2158</v>
      </c>
      <c r="M63" s="40" t="s">
        <v>1995</v>
      </c>
      <c r="N63" s="40" t="s">
        <v>1996</v>
      </c>
      <c r="O63" s="40" t="s">
        <v>1876</v>
      </c>
      <c r="P63" s="40" t="s">
        <v>1997</v>
      </c>
      <c r="Q63" s="40" t="s">
        <v>1881</v>
      </c>
      <c r="R63" s="40" t="s">
        <v>1998</v>
      </c>
      <c r="S63" s="40" t="s">
        <v>1999</v>
      </c>
    </row>
    <row r="64" spans="1:19" ht="74.099999999999994" customHeight="1">
      <c r="A64" s="41" t="s">
        <v>159</v>
      </c>
      <c r="B64" s="41" t="s">
        <v>2159</v>
      </c>
      <c r="C64" s="47">
        <v>7</v>
      </c>
      <c r="D64" s="41" t="s">
        <v>2001</v>
      </c>
      <c r="E64" s="41" t="s">
        <v>2002</v>
      </c>
      <c r="F64" s="41" t="s">
        <v>2003</v>
      </c>
      <c r="G64" s="41"/>
      <c r="H64" s="41" t="s">
        <v>1871</v>
      </c>
      <c r="I64" s="41"/>
      <c r="J64" s="41" t="s">
        <v>159</v>
      </c>
      <c r="K64" s="41" t="s">
        <v>2004</v>
      </c>
      <c r="L64" s="41" t="s">
        <v>2005</v>
      </c>
      <c r="M64" s="41" t="s">
        <v>2006</v>
      </c>
      <c r="N64" s="41" t="s">
        <v>2007</v>
      </c>
      <c r="O64" s="41" t="s">
        <v>1876</v>
      </c>
      <c r="P64" s="41" t="s">
        <v>2008</v>
      </c>
      <c r="Q64" s="41" t="s">
        <v>2001</v>
      </c>
      <c r="R64" s="41" t="s">
        <v>2009</v>
      </c>
      <c r="S64" s="41" t="s">
        <v>2010</v>
      </c>
    </row>
    <row r="65" spans="1:19" ht="74.099999999999994" customHeight="1">
      <c r="A65" s="40" t="s">
        <v>166</v>
      </c>
      <c r="B65" s="40" t="s">
        <v>2160</v>
      </c>
      <c r="C65" s="46">
        <v>1</v>
      </c>
      <c r="D65" s="40" t="s">
        <v>1868</v>
      </c>
      <c r="E65" s="40" t="s">
        <v>1869</v>
      </c>
      <c r="F65" s="40" t="s">
        <v>1870</v>
      </c>
      <c r="G65" s="40"/>
      <c r="H65" s="40" t="s">
        <v>1871</v>
      </c>
      <c r="I65" s="40" t="s">
        <v>680</v>
      </c>
      <c r="J65" s="40" t="s">
        <v>1598</v>
      </c>
      <c r="K65" s="40" t="s">
        <v>2161</v>
      </c>
      <c r="L65" s="40" t="s">
        <v>1873</v>
      </c>
      <c r="M65" s="40" t="s">
        <v>1874</v>
      </c>
      <c r="N65" s="40" t="s">
        <v>1875</v>
      </c>
      <c r="O65" s="40" t="s">
        <v>1876</v>
      </c>
      <c r="P65" s="40"/>
      <c r="Q65" s="40" t="s">
        <v>1877</v>
      </c>
      <c r="R65" s="40" t="s">
        <v>1878</v>
      </c>
      <c r="S65" s="40" t="s">
        <v>1879</v>
      </c>
    </row>
    <row r="66" spans="1:19" ht="74.099999999999994" customHeight="1">
      <c r="A66" s="41" t="s">
        <v>166</v>
      </c>
      <c r="B66" s="41" t="s">
        <v>2162</v>
      </c>
      <c r="C66" s="47">
        <v>2</v>
      </c>
      <c r="D66" s="41" t="s">
        <v>1881</v>
      </c>
      <c r="E66" s="41" t="s">
        <v>1882</v>
      </c>
      <c r="F66" s="41" t="s">
        <v>1883</v>
      </c>
      <c r="G66" s="41" t="s">
        <v>1884</v>
      </c>
      <c r="H66" s="41" t="s">
        <v>1871</v>
      </c>
      <c r="I66" s="41" t="s">
        <v>680</v>
      </c>
      <c r="J66" s="41" t="s">
        <v>2163</v>
      </c>
      <c r="K66" s="41" t="s">
        <v>1886</v>
      </c>
      <c r="L66" s="41" t="s">
        <v>2164</v>
      </c>
      <c r="M66" s="41" t="s">
        <v>1888</v>
      </c>
      <c r="N66" s="41" t="s">
        <v>1889</v>
      </c>
      <c r="O66" s="41" t="s">
        <v>1876</v>
      </c>
      <c r="P66" s="41"/>
      <c r="Q66" s="41" t="s">
        <v>1881</v>
      </c>
      <c r="R66" s="41" t="s">
        <v>1890</v>
      </c>
      <c r="S66" s="41" t="s">
        <v>1891</v>
      </c>
    </row>
    <row r="67" spans="1:19" ht="74.099999999999994" customHeight="1">
      <c r="A67" s="40" t="s">
        <v>166</v>
      </c>
      <c r="B67" s="40" t="s">
        <v>2165</v>
      </c>
      <c r="C67" s="46">
        <v>3</v>
      </c>
      <c r="D67" s="40" t="s">
        <v>1893</v>
      </c>
      <c r="E67" s="40" t="s">
        <v>1894</v>
      </c>
      <c r="F67" s="40" t="s">
        <v>1870</v>
      </c>
      <c r="G67" s="40"/>
      <c r="H67" s="40" t="s">
        <v>1871</v>
      </c>
      <c r="I67" s="40" t="s">
        <v>680</v>
      </c>
      <c r="J67" s="40" t="s">
        <v>166</v>
      </c>
      <c r="K67" s="40" t="s">
        <v>2166</v>
      </c>
      <c r="L67" s="40" t="s">
        <v>1896</v>
      </c>
      <c r="M67" s="40" t="s">
        <v>1897</v>
      </c>
      <c r="N67" s="40" t="s">
        <v>1898</v>
      </c>
      <c r="O67" s="40" t="s">
        <v>1876</v>
      </c>
      <c r="P67" s="40"/>
      <c r="Q67" s="40" t="s">
        <v>1899</v>
      </c>
      <c r="R67" s="40" t="s">
        <v>1900</v>
      </c>
      <c r="S67" s="40" t="s">
        <v>2167</v>
      </c>
    </row>
    <row r="68" spans="1:19" ht="74.099999999999994" customHeight="1">
      <c r="A68" s="41" t="s">
        <v>166</v>
      </c>
      <c r="B68" s="41" t="s">
        <v>2168</v>
      </c>
      <c r="C68" s="47">
        <v>4</v>
      </c>
      <c r="D68" s="41" t="s">
        <v>1883</v>
      </c>
      <c r="E68" s="41" t="s">
        <v>1903</v>
      </c>
      <c r="F68" s="41" t="s">
        <v>1883</v>
      </c>
      <c r="G68" s="41" t="s">
        <v>1904</v>
      </c>
      <c r="H68" s="41" t="s">
        <v>1871</v>
      </c>
      <c r="I68" s="41" t="s">
        <v>680</v>
      </c>
      <c r="J68" s="41" t="s">
        <v>2169</v>
      </c>
      <c r="K68" s="41" t="s">
        <v>2170</v>
      </c>
      <c r="L68" s="41" t="s">
        <v>2088</v>
      </c>
      <c r="M68" s="41" t="s">
        <v>1908</v>
      </c>
      <c r="N68" s="41" t="s">
        <v>1909</v>
      </c>
      <c r="O68" s="41" t="s">
        <v>1876</v>
      </c>
      <c r="P68" s="41" t="s">
        <v>1910</v>
      </c>
      <c r="Q68" s="41" t="s">
        <v>1911</v>
      </c>
      <c r="R68" s="41" t="s">
        <v>1912</v>
      </c>
      <c r="S68" s="41" t="s">
        <v>2171</v>
      </c>
    </row>
    <row r="69" spans="1:19" ht="74.099999999999994" customHeight="1">
      <c r="A69" s="40" t="s">
        <v>166</v>
      </c>
      <c r="B69" s="40" t="s">
        <v>2172</v>
      </c>
      <c r="C69" s="46">
        <v>5</v>
      </c>
      <c r="D69" s="40" t="s">
        <v>1883</v>
      </c>
      <c r="E69" s="40" t="s">
        <v>2072</v>
      </c>
      <c r="F69" s="40" t="s">
        <v>1883</v>
      </c>
      <c r="G69" s="40" t="s">
        <v>1915</v>
      </c>
      <c r="H69" s="40" t="s">
        <v>2073</v>
      </c>
      <c r="I69" s="40" t="s">
        <v>680</v>
      </c>
      <c r="J69" s="40" t="s">
        <v>2173</v>
      </c>
      <c r="K69" s="40" t="s">
        <v>2174</v>
      </c>
      <c r="L69" s="40" t="s">
        <v>2175</v>
      </c>
      <c r="M69" s="40" t="s">
        <v>2176</v>
      </c>
      <c r="N69" s="40" t="s">
        <v>2177</v>
      </c>
      <c r="O69" s="40" t="s">
        <v>1876</v>
      </c>
      <c r="P69" s="40" t="s">
        <v>2079</v>
      </c>
      <c r="Q69" s="40" t="s">
        <v>2080</v>
      </c>
      <c r="R69" s="40" t="s">
        <v>2081</v>
      </c>
      <c r="S69" s="40" t="s">
        <v>2178</v>
      </c>
    </row>
    <row r="70" spans="1:19" ht="74.099999999999994" customHeight="1">
      <c r="A70" s="41" t="s">
        <v>166</v>
      </c>
      <c r="B70" s="41" t="s">
        <v>2179</v>
      </c>
      <c r="C70" s="47">
        <v>6</v>
      </c>
      <c r="D70" s="41" t="s">
        <v>1883</v>
      </c>
      <c r="E70" s="41" t="s">
        <v>1915</v>
      </c>
      <c r="F70" s="41" t="s">
        <v>1883</v>
      </c>
      <c r="G70" s="41" t="s">
        <v>1915</v>
      </c>
      <c r="H70" s="41" t="s">
        <v>1871</v>
      </c>
      <c r="I70" s="41" t="s">
        <v>688</v>
      </c>
      <c r="J70" s="41" t="s">
        <v>688</v>
      </c>
      <c r="K70" s="41" t="s">
        <v>2180</v>
      </c>
      <c r="L70" s="41" t="s">
        <v>1917</v>
      </c>
      <c r="M70" s="41" t="s">
        <v>1918</v>
      </c>
      <c r="N70" s="41" t="s">
        <v>1919</v>
      </c>
      <c r="O70" s="41" t="s">
        <v>1876</v>
      </c>
      <c r="P70" s="41" t="s">
        <v>1920</v>
      </c>
      <c r="Q70" s="41" t="s">
        <v>1921</v>
      </c>
      <c r="R70" s="41" t="s">
        <v>1922</v>
      </c>
      <c r="S70" s="41" t="s">
        <v>1923</v>
      </c>
    </row>
    <row r="71" spans="1:19" ht="74.099999999999994" customHeight="1">
      <c r="A71" s="40" t="s">
        <v>166</v>
      </c>
      <c r="B71" s="40" t="s">
        <v>2181</v>
      </c>
      <c r="C71" s="46">
        <v>7</v>
      </c>
      <c r="D71" s="40" t="s">
        <v>1883</v>
      </c>
      <c r="E71" s="40" t="s">
        <v>1903</v>
      </c>
      <c r="F71" s="40" t="s">
        <v>1883</v>
      </c>
      <c r="G71" s="40" t="s">
        <v>1904</v>
      </c>
      <c r="H71" s="40" t="s">
        <v>1871</v>
      </c>
      <c r="I71" s="40" t="s">
        <v>688</v>
      </c>
      <c r="J71" s="40" t="s">
        <v>2182</v>
      </c>
      <c r="K71" s="40" t="s">
        <v>2183</v>
      </c>
      <c r="L71" s="40" t="s">
        <v>2184</v>
      </c>
      <c r="M71" s="40" t="s">
        <v>1908</v>
      </c>
      <c r="N71" s="40" t="s">
        <v>1909</v>
      </c>
      <c r="O71" s="40" t="s">
        <v>1876</v>
      </c>
      <c r="P71" s="40" t="s">
        <v>1910</v>
      </c>
      <c r="Q71" s="40" t="s">
        <v>1911</v>
      </c>
      <c r="R71" s="40" t="s">
        <v>1912</v>
      </c>
      <c r="S71" s="40" t="s">
        <v>2185</v>
      </c>
    </row>
    <row r="72" spans="1:19" ht="74.099999999999994" customHeight="1">
      <c r="A72" s="41" t="s">
        <v>166</v>
      </c>
      <c r="B72" s="41" t="s">
        <v>2186</v>
      </c>
      <c r="C72" s="47">
        <v>8</v>
      </c>
      <c r="D72" s="41" t="s">
        <v>1883</v>
      </c>
      <c r="E72" s="41" t="s">
        <v>1915</v>
      </c>
      <c r="F72" s="41" t="s">
        <v>1883</v>
      </c>
      <c r="G72" s="41" t="s">
        <v>1915</v>
      </c>
      <c r="H72" s="41" t="s">
        <v>1871</v>
      </c>
      <c r="I72" s="41" t="s">
        <v>695</v>
      </c>
      <c r="J72" s="41" t="s">
        <v>695</v>
      </c>
      <c r="K72" s="41" t="s">
        <v>2187</v>
      </c>
      <c r="L72" s="41" t="s">
        <v>1917</v>
      </c>
      <c r="M72" s="41" t="s">
        <v>1918</v>
      </c>
      <c r="N72" s="41" t="s">
        <v>1919</v>
      </c>
      <c r="O72" s="41" t="s">
        <v>1876</v>
      </c>
      <c r="P72" s="41" t="s">
        <v>1920</v>
      </c>
      <c r="Q72" s="41" t="s">
        <v>1921</v>
      </c>
      <c r="R72" s="41" t="s">
        <v>1922</v>
      </c>
      <c r="S72" s="41" t="s">
        <v>1923</v>
      </c>
    </row>
    <row r="73" spans="1:19" ht="74.099999999999994" customHeight="1">
      <c r="A73" s="40" t="s">
        <v>166</v>
      </c>
      <c r="B73" s="40" t="s">
        <v>2188</v>
      </c>
      <c r="C73" s="46">
        <v>9</v>
      </c>
      <c r="D73" s="40" t="s">
        <v>1883</v>
      </c>
      <c r="E73" s="40" t="s">
        <v>1903</v>
      </c>
      <c r="F73" s="40" t="s">
        <v>1883</v>
      </c>
      <c r="G73" s="40" t="s">
        <v>1904</v>
      </c>
      <c r="H73" s="40" t="s">
        <v>1871</v>
      </c>
      <c r="I73" s="40" t="s">
        <v>695</v>
      </c>
      <c r="J73" s="40" t="s">
        <v>2189</v>
      </c>
      <c r="K73" s="40" t="s">
        <v>2190</v>
      </c>
      <c r="L73" s="40" t="s">
        <v>2191</v>
      </c>
      <c r="M73" s="40" t="s">
        <v>1908</v>
      </c>
      <c r="N73" s="40" t="s">
        <v>1909</v>
      </c>
      <c r="O73" s="40" t="s">
        <v>1876</v>
      </c>
      <c r="P73" s="40" t="s">
        <v>1910</v>
      </c>
      <c r="Q73" s="40" t="s">
        <v>1911</v>
      </c>
      <c r="R73" s="40" t="s">
        <v>1912</v>
      </c>
      <c r="S73" s="40" t="s">
        <v>2192</v>
      </c>
    </row>
    <row r="74" spans="1:19" ht="74.099999999999994" customHeight="1">
      <c r="A74" s="41" t="s">
        <v>166</v>
      </c>
      <c r="B74" s="41" t="s">
        <v>2193</v>
      </c>
      <c r="C74" s="47">
        <v>10</v>
      </c>
      <c r="D74" s="41" t="s">
        <v>1883</v>
      </c>
      <c r="E74" s="41" t="s">
        <v>1937</v>
      </c>
      <c r="F74" s="41" t="s">
        <v>1883</v>
      </c>
      <c r="G74" s="41" t="s">
        <v>1904</v>
      </c>
      <c r="H74" s="41" t="s">
        <v>1871</v>
      </c>
      <c r="I74" s="41" t="s">
        <v>695</v>
      </c>
      <c r="J74" s="41" t="s">
        <v>2194</v>
      </c>
      <c r="K74" s="41" t="s">
        <v>2195</v>
      </c>
      <c r="L74" s="41" t="s">
        <v>1940</v>
      </c>
      <c r="M74" s="41" t="s">
        <v>1941</v>
      </c>
      <c r="N74" s="41" t="s">
        <v>2196</v>
      </c>
      <c r="O74" s="41" t="s">
        <v>1876</v>
      </c>
      <c r="P74" s="41" t="s">
        <v>1943</v>
      </c>
      <c r="Q74" s="41" t="s">
        <v>1944</v>
      </c>
      <c r="R74" s="41" t="s">
        <v>1945</v>
      </c>
      <c r="S74" s="41" t="s">
        <v>2197</v>
      </c>
    </row>
    <row r="75" spans="1:19" ht="74.099999999999994" customHeight="1">
      <c r="A75" s="40" t="s">
        <v>166</v>
      </c>
      <c r="B75" s="40" t="s">
        <v>2198</v>
      </c>
      <c r="C75" s="46">
        <v>11</v>
      </c>
      <c r="D75" s="40" t="s">
        <v>1948</v>
      </c>
      <c r="E75" s="40" t="s">
        <v>1949</v>
      </c>
      <c r="F75" s="40" t="s">
        <v>1883</v>
      </c>
      <c r="G75" s="40" t="s">
        <v>1904</v>
      </c>
      <c r="H75" s="40" t="s">
        <v>1950</v>
      </c>
      <c r="I75" s="40" t="s">
        <v>695</v>
      </c>
      <c r="J75" s="40" t="s">
        <v>170</v>
      </c>
      <c r="K75" s="40" t="s">
        <v>2199</v>
      </c>
      <c r="L75" s="40" t="s">
        <v>1952</v>
      </c>
      <c r="M75" s="40" t="s">
        <v>1953</v>
      </c>
      <c r="N75" s="40" t="s">
        <v>1954</v>
      </c>
      <c r="O75" s="40" t="s">
        <v>1167</v>
      </c>
      <c r="P75" s="40" t="s">
        <v>1955</v>
      </c>
      <c r="Q75" s="40" t="s">
        <v>1949</v>
      </c>
      <c r="R75" s="40" t="s">
        <v>1956</v>
      </c>
      <c r="S75" s="40" t="s">
        <v>1957</v>
      </c>
    </row>
    <row r="76" spans="1:19" ht="74.099999999999994" customHeight="1">
      <c r="A76" s="41" t="s">
        <v>166</v>
      </c>
      <c r="B76" s="41" t="s">
        <v>2200</v>
      </c>
      <c r="C76" s="47">
        <v>12</v>
      </c>
      <c r="D76" s="41" t="s">
        <v>1883</v>
      </c>
      <c r="E76" s="41" t="s">
        <v>1970</v>
      </c>
      <c r="F76" s="41" t="s">
        <v>1883</v>
      </c>
      <c r="G76" s="41" t="s">
        <v>1884</v>
      </c>
      <c r="H76" s="41" t="s">
        <v>1871</v>
      </c>
      <c r="I76" s="41" t="s">
        <v>695</v>
      </c>
      <c r="J76" s="41" t="s">
        <v>2201</v>
      </c>
      <c r="K76" s="41" t="s">
        <v>2202</v>
      </c>
      <c r="L76" s="41" t="s">
        <v>2203</v>
      </c>
      <c r="M76" s="41" t="s">
        <v>2204</v>
      </c>
      <c r="N76" s="41" t="s">
        <v>2205</v>
      </c>
      <c r="O76" s="41" t="s">
        <v>1876</v>
      </c>
      <c r="P76" s="41" t="s">
        <v>1955</v>
      </c>
      <c r="Q76" s="41" t="s">
        <v>1976</v>
      </c>
      <c r="R76" s="41" t="s">
        <v>1977</v>
      </c>
      <c r="S76" s="41" t="s">
        <v>2206</v>
      </c>
    </row>
    <row r="77" spans="1:19" ht="74.099999999999994" customHeight="1">
      <c r="A77" s="40" t="s">
        <v>166</v>
      </c>
      <c r="B77" s="40" t="s">
        <v>2207</v>
      </c>
      <c r="C77" s="46">
        <v>13</v>
      </c>
      <c r="D77" s="40" t="s">
        <v>1992</v>
      </c>
      <c r="E77" s="40" t="s">
        <v>1882</v>
      </c>
      <c r="F77" s="40" t="s">
        <v>1883</v>
      </c>
      <c r="G77" s="40" t="s">
        <v>1884</v>
      </c>
      <c r="H77" s="40" t="s">
        <v>1871</v>
      </c>
      <c r="I77" s="40" t="s">
        <v>695</v>
      </c>
      <c r="J77" s="40" t="s">
        <v>2201</v>
      </c>
      <c r="K77" s="40" t="s">
        <v>1993</v>
      </c>
      <c r="L77" s="40" t="s">
        <v>2208</v>
      </c>
      <c r="M77" s="40" t="s">
        <v>1995</v>
      </c>
      <c r="N77" s="40" t="s">
        <v>1996</v>
      </c>
      <c r="O77" s="40" t="s">
        <v>1876</v>
      </c>
      <c r="P77" s="40" t="s">
        <v>1997</v>
      </c>
      <c r="Q77" s="40" t="s">
        <v>1881</v>
      </c>
      <c r="R77" s="40" t="s">
        <v>1998</v>
      </c>
      <c r="S77" s="40" t="s">
        <v>1999</v>
      </c>
    </row>
    <row r="78" spans="1:19" ht="74.099999999999994" customHeight="1">
      <c r="A78" s="41" t="s">
        <v>166</v>
      </c>
      <c r="B78" s="41" t="s">
        <v>2209</v>
      </c>
      <c r="C78" s="47">
        <v>14</v>
      </c>
      <c r="D78" s="41" t="s">
        <v>2001</v>
      </c>
      <c r="E78" s="41" t="s">
        <v>2002</v>
      </c>
      <c r="F78" s="41" t="s">
        <v>2003</v>
      </c>
      <c r="G78" s="41"/>
      <c r="H78" s="41" t="s">
        <v>1871</v>
      </c>
      <c r="I78" s="41"/>
      <c r="J78" s="41" t="s">
        <v>166</v>
      </c>
      <c r="K78" s="41" t="s">
        <v>2004</v>
      </c>
      <c r="L78" s="41" t="s">
        <v>2005</v>
      </c>
      <c r="M78" s="41" t="s">
        <v>2006</v>
      </c>
      <c r="N78" s="41" t="s">
        <v>2007</v>
      </c>
      <c r="O78" s="41" t="s">
        <v>1876</v>
      </c>
      <c r="P78" s="41" t="s">
        <v>2008</v>
      </c>
      <c r="Q78" s="41" t="s">
        <v>2001</v>
      </c>
      <c r="R78" s="41" t="s">
        <v>2009</v>
      </c>
      <c r="S78" s="41" t="s">
        <v>2010</v>
      </c>
    </row>
    <row r="79" spans="1:19" ht="74.099999999999994" customHeight="1">
      <c r="A79" s="40" t="s">
        <v>173</v>
      </c>
      <c r="B79" s="40" t="s">
        <v>2210</v>
      </c>
      <c r="C79" s="46">
        <v>1</v>
      </c>
      <c r="D79" s="40" t="s">
        <v>1868</v>
      </c>
      <c r="E79" s="40" t="s">
        <v>1869</v>
      </c>
      <c r="F79" s="40" t="s">
        <v>1870</v>
      </c>
      <c r="G79" s="40"/>
      <c r="H79" s="40" t="s">
        <v>1871</v>
      </c>
      <c r="I79" s="40" t="s">
        <v>702</v>
      </c>
      <c r="J79" s="40" t="s">
        <v>1606</v>
      </c>
      <c r="K79" s="40" t="s">
        <v>2211</v>
      </c>
      <c r="L79" s="40" t="s">
        <v>1873</v>
      </c>
      <c r="M79" s="40" t="s">
        <v>1874</v>
      </c>
      <c r="N79" s="40" t="s">
        <v>1875</v>
      </c>
      <c r="O79" s="40" t="s">
        <v>1876</v>
      </c>
      <c r="P79" s="40"/>
      <c r="Q79" s="40" t="s">
        <v>1877</v>
      </c>
      <c r="R79" s="40" t="s">
        <v>1878</v>
      </c>
      <c r="S79" s="40" t="s">
        <v>1879</v>
      </c>
    </row>
    <row r="80" spans="1:19" ht="74.099999999999994" customHeight="1">
      <c r="A80" s="41" t="s">
        <v>173</v>
      </c>
      <c r="B80" s="41" t="s">
        <v>2212</v>
      </c>
      <c r="C80" s="47">
        <v>2</v>
      </c>
      <c r="D80" s="41" t="s">
        <v>1881</v>
      </c>
      <c r="E80" s="41" t="s">
        <v>1882</v>
      </c>
      <c r="F80" s="41" t="s">
        <v>1883</v>
      </c>
      <c r="G80" s="41" t="s">
        <v>1884</v>
      </c>
      <c r="H80" s="41" t="s">
        <v>1871</v>
      </c>
      <c r="I80" s="41" t="s">
        <v>702</v>
      </c>
      <c r="J80" s="41" t="s">
        <v>2213</v>
      </c>
      <c r="K80" s="41" t="s">
        <v>1886</v>
      </c>
      <c r="L80" s="41" t="s">
        <v>2214</v>
      </c>
      <c r="M80" s="41" t="s">
        <v>1888</v>
      </c>
      <c r="N80" s="41" t="s">
        <v>1889</v>
      </c>
      <c r="O80" s="41" t="s">
        <v>1876</v>
      </c>
      <c r="P80" s="41"/>
      <c r="Q80" s="41" t="s">
        <v>1881</v>
      </c>
      <c r="R80" s="41" t="s">
        <v>1890</v>
      </c>
      <c r="S80" s="41" t="s">
        <v>1891</v>
      </c>
    </row>
    <row r="81" spans="1:19" ht="74.099999999999994" customHeight="1">
      <c r="A81" s="40" t="s">
        <v>173</v>
      </c>
      <c r="B81" s="40" t="s">
        <v>2215</v>
      </c>
      <c r="C81" s="46">
        <v>3</v>
      </c>
      <c r="D81" s="40" t="s">
        <v>1893</v>
      </c>
      <c r="E81" s="40" t="s">
        <v>1894</v>
      </c>
      <c r="F81" s="40" t="s">
        <v>1870</v>
      </c>
      <c r="G81" s="40"/>
      <c r="H81" s="40" t="s">
        <v>1871</v>
      </c>
      <c r="I81" s="40" t="s">
        <v>702</v>
      </c>
      <c r="J81" s="40" t="s">
        <v>173</v>
      </c>
      <c r="K81" s="40" t="s">
        <v>2017</v>
      </c>
      <c r="L81" s="40" t="s">
        <v>1896</v>
      </c>
      <c r="M81" s="40" t="s">
        <v>1897</v>
      </c>
      <c r="N81" s="40" t="s">
        <v>1898</v>
      </c>
      <c r="O81" s="40" t="s">
        <v>1876</v>
      </c>
      <c r="P81" s="40"/>
      <c r="Q81" s="40" t="s">
        <v>1899</v>
      </c>
      <c r="R81" s="40" t="s">
        <v>1900</v>
      </c>
      <c r="S81" s="40" t="s">
        <v>2018</v>
      </c>
    </row>
    <row r="82" spans="1:19" ht="74.099999999999994" customHeight="1">
      <c r="A82" s="41" t="s">
        <v>173</v>
      </c>
      <c r="B82" s="41" t="s">
        <v>2216</v>
      </c>
      <c r="C82" s="47">
        <v>4</v>
      </c>
      <c r="D82" s="41" t="s">
        <v>1883</v>
      </c>
      <c r="E82" s="41" t="s">
        <v>1903</v>
      </c>
      <c r="F82" s="41" t="s">
        <v>1883</v>
      </c>
      <c r="G82" s="41" t="s">
        <v>1904</v>
      </c>
      <c r="H82" s="41" t="s">
        <v>1871</v>
      </c>
      <c r="I82" s="41" t="s">
        <v>702</v>
      </c>
      <c r="J82" s="41" t="s">
        <v>2217</v>
      </c>
      <c r="K82" s="41" t="s">
        <v>2218</v>
      </c>
      <c r="L82" s="41" t="s">
        <v>2219</v>
      </c>
      <c r="M82" s="41" t="s">
        <v>1908</v>
      </c>
      <c r="N82" s="41" t="s">
        <v>1909</v>
      </c>
      <c r="O82" s="41" t="s">
        <v>1876</v>
      </c>
      <c r="P82" s="41" t="s">
        <v>1910</v>
      </c>
      <c r="Q82" s="41" t="s">
        <v>1911</v>
      </c>
      <c r="R82" s="41" t="s">
        <v>1912</v>
      </c>
      <c r="S82" s="41" t="s">
        <v>2220</v>
      </c>
    </row>
    <row r="83" spans="1:19" ht="74.099999999999994" customHeight="1">
      <c r="A83" s="40" t="s">
        <v>173</v>
      </c>
      <c r="B83" s="40" t="s">
        <v>2221</v>
      </c>
      <c r="C83" s="46">
        <v>5</v>
      </c>
      <c r="D83" s="40" t="s">
        <v>1883</v>
      </c>
      <c r="E83" s="40" t="s">
        <v>1915</v>
      </c>
      <c r="F83" s="40" t="s">
        <v>1883</v>
      </c>
      <c r="G83" s="40" t="s">
        <v>1915</v>
      </c>
      <c r="H83" s="40" t="s">
        <v>1871</v>
      </c>
      <c r="I83" s="40" t="s">
        <v>710</v>
      </c>
      <c r="J83" s="40" t="s">
        <v>710</v>
      </c>
      <c r="K83" s="40" t="s">
        <v>2222</v>
      </c>
      <c r="L83" s="40" t="s">
        <v>1917</v>
      </c>
      <c r="M83" s="40" t="s">
        <v>1918</v>
      </c>
      <c r="N83" s="40" t="s">
        <v>1919</v>
      </c>
      <c r="O83" s="40" t="s">
        <v>1876</v>
      </c>
      <c r="P83" s="40" t="s">
        <v>1920</v>
      </c>
      <c r="Q83" s="40" t="s">
        <v>1921</v>
      </c>
      <c r="R83" s="40" t="s">
        <v>1922</v>
      </c>
      <c r="S83" s="40" t="s">
        <v>1923</v>
      </c>
    </row>
    <row r="84" spans="1:19" ht="74.099999999999994" customHeight="1">
      <c r="A84" s="41" t="s">
        <v>173</v>
      </c>
      <c r="B84" s="41" t="s">
        <v>2223</v>
      </c>
      <c r="C84" s="47">
        <v>6</v>
      </c>
      <c r="D84" s="41" t="s">
        <v>1883</v>
      </c>
      <c r="E84" s="41" t="s">
        <v>1903</v>
      </c>
      <c r="F84" s="41" t="s">
        <v>1883</v>
      </c>
      <c r="G84" s="41" t="s">
        <v>1904</v>
      </c>
      <c r="H84" s="41" t="s">
        <v>1871</v>
      </c>
      <c r="I84" s="41" t="s">
        <v>710</v>
      </c>
      <c r="J84" s="41" t="s">
        <v>2224</v>
      </c>
      <c r="K84" s="41" t="s">
        <v>2225</v>
      </c>
      <c r="L84" s="41" t="s">
        <v>2226</v>
      </c>
      <c r="M84" s="41" t="s">
        <v>1908</v>
      </c>
      <c r="N84" s="41" t="s">
        <v>1909</v>
      </c>
      <c r="O84" s="41" t="s">
        <v>1876</v>
      </c>
      <c r="P84" s="41" t="s">
        <v>1910</v>
      </c>
      <c r="Q84" s="41" t="s">
        <v>1911</v>
      </c>
      <c r="R84" s="41" t="s">
        <v>1912</v>
      </c>
      <c r="S84" s="41" t="s">
        <v>2227</v>
      </c>
    </row>
    <row r="85" spans="1:19" ht="74.099999999999994" customHeight="1">
      <c r="A85" s="40" t="s">
        <v>173</v>
      </c>
      <c r="B85" s="40" t="s">
        <v>2228</v>
      </c>
      <c r="C85" s="46">
        <v>7</v>
      </c>
      <c r="D85" s="40" t="s">
        <v>1883</v>
      </c>
      <c r="E85" s="40" t="s">
        <v>1937</v>
      </c>
      <c r="F85" s="40" t="s">
        <v>1883</v>
      </c>
      <c r="G85" s="40" t="s">
        <v>1904</v>
      </c>
      <c r="H85" s="40" t="s">
        <v>1871</v>
      </c>
      <c r="I85" s="40" t="s">
        <v>710</v>
      </c>
      <c r="J85" s="40" t="s">
        <v>2229</v>
      </c>
      <c r="K85" s="40" t="s">
        <v>2230</v>
      </c>
      <c r="L85" s="40" t="s">
        <v>1940</v>
      </c>
      <c r="M85" s="40" t="s">
        <v>1941</v>
      </c>
      <c r="N85" s="40" t="s">
        <v>2231</v>
      </c>
      <c r="O85" s="40" t="s">
        <v>1876</v>
      </c>
      <c r="P85" s="40" t="s">
        <v>1943</v>
      </c>
      <c r="Q85" s="40" t="s">
        <v>1944</v>
      </c>
      <c r="R85" s="40" t="s">
        <v>1945</v>
      </c>
      <c r="S85" s="40" t="s">
        <v>2232</v>
      </c>
    </row>
    <row r="86" spans="1:19" ht="74.099999999999994" customHeight="1">
      <c r="A86" s="41" t="s">
        <v>173</v>
      </c>
      <c r="B86" s="41" t="s">
        <v>2233</v>
      </c>
      <c r="C86" s="47">
        <v>8</v>
      </c>
      <c r="D86" s="41" t="s">
        <v>1883</v>
      </c>
      <c r="E86" s="41" t="s">
        <v>1959</v>
      </c>
      <c r="F86" s="41" t="s">
        <v>1883</v>
      </c>
      <c r="G86" s="41" t="s">
        <v>1960</v>
      </c>
      <c r="H86" s="41" t="s">
        <v>1871</v>
      </c>
      <c r="I86" s="41" t="s">
        <v>710</v>
      </c>
      <c r="J86" s="41" t="s">
        <v>2234</v>
      </c>
      <c r="K86" s="41" t="s">
        <v>2235</v>
      </c>
      <c r="L86" s="41" t="s">
        <v>2236</v>
      </c>
      <c r="M86" s="41" t="s">
        <v>1964</v>
      </c>
      <c r="N86" s="41" t="s">
        <v>1965</v>
      </c>
      <c r="O86" s="41" t="s">
        <v>1876</v>
      </c>
      <c r="P86" s="41" t="s">
        <v>1955</v>
      </c>
      <c r="Q86" s="41" t="s">
        <v>1966</v>
      </c>
      <c r="R86" s="41" t="s">
        <v>1967</v>
      </c>
      <c r="S86" s="41" t="s">
        <v>1968</v>
      </c>
    </row>
    <row r="87" spans="1:19" ht="74.099999999999994" customHeight="1">
      <c r="A87" s="40" t="s">
        <v>173</v>
      </c>
      <c r="B87" s="40" t="s">
        <v>2237</v>
      </c>
      <c r="C87" s="46">
        <v>9</v>
      </c>
      <c r="D87" s="40" t="s">
        <v>1948</v>
      </c>
      <c r="E87" s="40" t="s">
        <v>1980</v>
      </c>
      <c r="F87" s="40" t="s">
        <v>1883</v>
      </c>
      <c r="G87" s="40" t="s">
        <v>1981</v>
      </c>
      <c r="H87" s="40" t="s">
        <v>1871</v>
      </c>
      <c r="I87" s="40" t="s">
        <v>710</v>
      </c>
      <c r="J87" s="40" t="s">
        <v>2238</v>
      </c>
      <c r="K87" s="40" t="s">
        <v>2239</v>
      </c>
      <c r="L87" s="40" t="s">
        <v>1984</v>
      </c>
      <c r="M87" s="40" t="s">
        <v>1985</v>
      </c>
      <c r="N87" s="40" t="s">
        <v>1986</v>
      </c>
      <c r="O87" s="40" t="s">
        <v>1167</v>
      </c>
      <c r="P87" s="40" t="s">
        <v>1987</v>
      </c>
      <c r="Q87" s="40" t="s">
        <v>1988</v>
      </c>
      <c r="R87" s="40" t="s">
        <v>1989</v>
      </c>
      <c r="S87" s="40" t="s">
        <v>1990</v>
      </c>
    </row>
    <row r="88" spans="1:19" ht="74.099999999999994" customHeight="1">
      <c r="A88" s="41" t="s">
        <v>173</v>
      </c>
      <c r="B88" s="41" t="s">
        <v>2240</v>
      </c>
      <c r="C88" s="47">
        <v>10</v>
      </c>
      <c r="D88" s="41" t="s">
        <v>1992</v>
      </c>
      <c r="E88" s="41" t="s">
        <v>1882</v>
      </c>
      <c r="F88" s="41" t="s">
        <v>1883</v>
      </c>
      <c r="G88" s="41" t="s">
        <v>1884</v>
      </c>
      <c r="H88" s="41" t="s">
        <v>1871</v>
      </c>
      <c r="I88" s="41" t="s">
        <v>710</v>
      </c>
      <c r="J88" s="41" t="s">
        <v>2241</v>
      </c>
      <c r="K88" s="41" t="s">
        <v>1993</v>
      </c>
      <c r="L88" s="41" t="s">
        <v>2242</v>
      </c>
      <c r="M88" s="41" t="s">
        <v>1995</v>
      </c>
      <c r="N88" s="41" t="s">
        <v>1996</v>
      </c>
      <c r="O88" s="41" t="s">
        <v>1876</v>
      </c>
      <c r="P88" s="41" t="s">
        <v>1997</v>
      </c>
      <c r="Q88" s="41" t="s">
        <v>1881</v>
      </c>
      <c r="R88" s="41" t="s">
        <v>1998</v>
      </c>
      <c r="S88" s="41" t="s">
        <v>1999</v>
      </c>
    </row>
    <row r="89" spans="1:19" ht="74.099999999999994" customHeight="1">
      <c r="A89" s="40" t="s">
        <v>173</v>
      </c>
      <c r="B89" s="40" t="s">
        <v>2243</v>
      </c>
      <c r="C89" s="46">
        <v>11</v>
      </c>
      <c r="D89" s="40" t="s">
        <v>2001</v>
      </c>
      <c r="E89" s="40" t="s">
        <v>2002</v>
      </c>
      <c r="F89" s="40" t="s">
        <v>2003</v>
      </c>
      <c r="G89" s="40"/>
      <c r="H89" s="40" t="s">
        <v>1871</v>
      </c>
      <c r="I89" s="40"/>
      <c r="J89" s="40" t="s">
        <v>173</v>
      </c>
      <c r="K89" s="40" t="s">
        <v>2004</v>
      </c>
      <c r="L89" s="40" t="s">
        <v>2005</v>
      </c>
      <c r="M89" s="40" t="s">
        <v>2006</v>
      </c>
      <c r="N89" s="40" t="s">
        <v>2007</v>
      </c>
      <c r="O89" s="40" t="s">
        <v>1876</v>
      </c>
      <c r="P89" s="40" t="s">
        <v>2008</v>
      </c>
      <c r="Q89" s="40" t="s">
        <v>2001</v>
      </c>
      <c r="R89" s="40" t="s">
        <v>2009</v>
      </c>
      <c r="S89" s="40" t="s">
        <v>2010</v>
      </c>
    </row>
    <row r="90" spans="1:19" ht="74.099999999999994" customHeight="1">
      <c r="A90" s="41" t="s">
        <v>181</v>
      </c>
      <c r="B90" s="41" t="s">
        <v>2244</v>
      </c>
      <c r="C90" s="47">
        <v>1</v>
      </c>
      <c r="D90" s="41" t="s">
        <v>1868</v>
      </c>
      <c r="E90" s="41" t="s">
        <v>1869</v>
      </c>
      <c r="F90" s="41" t="s">
        <v>1870</v>
      </c>
      <c r="G90" s="41"/>
      <c r="H90" s="41" t="s">
        <v>1871</v>
      </c>
      <c r="I90" s="41" t="s">
        <v>717</v>
      </c>
      <c r="J90" s="41" t="s">
        <v>1615</v>
      </c>
      <c r="K90" s="41" t="s">
        <v>2245</v>
      </c>
      <c r="L90" s="41" t="s">
        <v>1873</v>
      </c>
      <c r="M90" s="41" t="s">
        <v>1874</v>
      </c>
      <c r="N90" s="41" t="s">
        <v>1875</v>
      </c>
      <c r="O90" s="41" t="s">
        <v>1876</v>
      </c>
      <c r="P90" s="41"/>
      <c r="Q90" s="41" t="s">
        <v>1877</v>
      </c>
      <c r="R90" s="41" t="s">
        <v>1878</v>
      </c>
      <c r="S90" s="41" t="s">
        <v>1879</v>
      </c>
    </row>
    <row r="91" spans="1:19" ht="74.099999999999994" customHeight="1">
      <c r="A91" s="40" t="s">
        <v>181</v>
      </c>
      <c r="B91" s="40" t="s">
        <v>2246</v>
      </c>
      <c r="C91" s="46">
        <v>2</v>
      </c>
      <c r="D91" s="40" t="s">
        <v>1881</v>
      </c>
      <c r="E91" s="40" t="s">
        <v>1882</v>
      </c>
      <c r="F91" s="40" t="s">
        <v>1883</v>
      </c>
      <c r="G91" s="40" t="s">
        <v>1884</v>
      </c>
      <c r="H91" s="40" t="s">
        <v>1871</v>
      </c>
      <c r="I91" s="40" t="s">
        <v>717</v>
      </c>
      <c r="J91" s="40" t="s">
        <v>2247</v>
      </c>
      <c r="K91" s="40" t="s">
        <v>1886</v>
      </c>
      <c r="L91" s="40" t="s">
        <v>2248</v>
      </c>
      <c r="M91" s="40" t="s">
        <v>1888</v>
      </c>
      <c r="N91" s="40" t="s">
        <v>1889</v>
      </c>
      <c r="O91" s="40" t="s">
        <v>1876</v>
      </c>
      <c r="P91" s="40"/>
      <c r="Q91" s="40" t="s">
        <v>1881</v>
      </c>
      <c r="R91" s="40" t="s">
        <v>1890</v>
      </c>
      <c r="S91" s="40" t="s">
        <v>1891</v>
      </c>
    </row>
    <row r="92" spans="1:19" ht="74.099999999999994" customHeight="1">
      <c r="A92" s="41" t="s">
        <v>181</v>
      </c>
      <c r="B92" s="41" t="s">
        <v>2249</v>
      </c>
      <c r="C92" s="47">
        <v>3</v>
      </c>
      <c r="D92" s="41" t="s">
        <v>1893</v>
      </c>
      <c r="E92" s="41" t="s">
        <v>1894</v>
      </c>
      <c r="F92" s="41" t="s">
        <v>1870</v>
      </c>
      <c r="G92" s="41"/>
      <c r="H92" s="41" t="s">
        <v>1871</v>
      </c>
      <c r="I92" s="41" t="s">
        <v>717</v>
      </c>
      <c r="J92" s="41" t="s">
        <v>181</v>
      </c>
      <c r="K92" s="41" t="s">
        <v>2017</v>
      </c>
      <c r="L92" s="41" t="s">
        <v>1896</v>
      </c>
      <c r="M92" s="41" t="s">
        <v>1897</v>
      </c>
      <c r="N92" s="41" t="s">
        <v>1898</v>
      </c>
      <c r="O92" s="41" t="s">
        <v>1876</v>
      </c>
      <c r="P92" s="41"/>
      <c r="Q92" s="41" t="s">
        <v>1899</v>
      </c>
      <c r="R92" s="41" t="s">
        <v>1900</v>
      </c>
      <c r="S92" s="41" t="s">
        <v>2018</v>
      </c>
    </row>
    <row r="93" spans="1:19" ht="74.099999999999994" customHeight="1">
      <c r="A93" s="40" t="s">
        <v>181</v>
      </c>
      <c r="B93" s="40" t="s">
        <v>2250</v>
      </c>
      <c r="C93" s="46">
        <v>4</v>
      </c>
      <c r="D93" s="40" t="s">
        <v>1883</v>
      </c>
      <c r="E93" s="40" t="s">
        <v>1903</v>
      </c>
      <c r="F93" s="40" t="s">
        <v>1883</v>
      </c>
      <c r="G93" s="40" t="s">
        <v>1904</v>
      </c>
      <c r="H93" s="40" t="s">
        <v>1871</v>
      </c>
      <c r="I93" s="40" t="s">
        <v>717</v>
      </c>
      <c r="J93" s="40" t="s">
        <v>2251</v>
      </c>
      <c r="K93" s="40" t="s">
        <v>2252</v>
      </c>
      <c r="L93" s="40" t="s">
        <v>2253</v>
      </c>
      <c r="M93" s="40" t="s">
        <v>1908</v>
      </c>
      <c r="N93" s="40" t="s">
        <v>1909</v>
      </c>
      <c r="O93" s="40" t="s">
        <v>1876</v>
      </c>
      <c r="P93" s="40" t="s">
        <v>1910</v>
      </c>
      <c r="Q93" s="40" t="s">
        <v>1911</v>
      </c>
      <c r="R93" s="40" t="s">
        <v>1912</v>
      </c>
      <c r="S93" s="40" t="s">
        <v>2254</v>
      </c>
    </row>
    <row r="94" spans="1:19" ht="74.099999999999994" customHeight="1">
      <c r="A94" s="41" t="s">
        <v>181</v>
      </c>
      <c r="B94" s="41" t="s">
        <v>2255</v>
      </c>
      <c r="C94" s="47">
        <v>5</v>
      </c>
      <c r="D94" s="41" t="s">
        <v>1883</v>
      </c>
      <c r="E94" s="41" t="s">
        <v>1915</v>
      </c>
      <c r="F94" s="41" t="s">
        <v>1883</v>
      </c>
      <c r="G94" s="41" t="s">
        <v>1915</v>
      </c>
      <c r="H94" s="41" t="s">
        <v>1871</v>
      </c>
      <c r="I94" s="41" t="s">
        <v>724</v>
      </c>
      <c r="J94" s="41" t="s">
        <v>724</v>
      </c>
      <c r="K94" s="41" t="s">
        <v>2256</v>
      </c>
      <c r="L94" s="41" t="s">
        <v>1917</v>
      </c>
      <c r="M94" s="41" t="s">
        <v>1918</v>
      </c>
      <c r="N94" s="41" t="s">
        <v>1919</v>
      </c>
      <c r="O94" s="41" t="s">
        <v>1876</v>
      </c>
      <c r="P94" s="41" t="s">
        <v>1920</v>
      </c>
      <c r="Q94" s="41" t="s">
        <v>1921</v>
      </c>
      <c r="R94" s="41" t="s">
        <v>1922</v>
      </c>
      <c r="S94" s="41" t="s">
        <v>1923</v>
      </c>
    </row>
    <row r="95" spans="1:19" ht="74.099999999999994" customHeight="1">
      <c r="A95" s="40" t="s">
        <v>181</v>
      </c>
      <c r="B95" s="40" t="s">
        <v>2257</v>
      </c>
      <c r="C95" s="46">
        <v>6</v>
      </c>
      <c r="D95" s="40" t="s">
        <v>1883</v>
      </c>
      <c r="E95" s="40" t="s">
        <v>1903</v>
      </c>
      <c r="F95" s="40" t="s">
        <v>1883</v>
      </c>
      <c r="G95" s="40" t="s">
        <v>1904</v>
      </c>
      <c r="H95" s="40" t="s">
        <v>1871</v>
      </c>
      <c r="I95" s="40" t="s">
        <v>724</v>
      </c>
      <c r="J95" s="40" t="s">
        <v>2258</v>
      </c>
      <c r="K95" s="40" t="s">
        <v>2259</v>
      </c>
      <c r="L95" s="40" t="s">
        <v>2260</v>
      </c>
      <c r="M95" s="40" t="s">
        <v>1908</v>
      </c>
      <c r="N95" s="40" t="s">
        <v>1909</v>
      </c>
      <c r="O95" s="40" t="s">
        <v>1876</v>
      </c>
      <c r="P95" s="40" t="s">
        <v>1910</v>
      </c>
      <c r="Q95" s="40" t="s">
        <v>1911</v>
      </c>
      <c r="R95" s="40" t="s">
        <v>1912</v>
      </c>
      <c r="S95" s="40" t="s">
        <v>2261</v>
      </c>
    </row>
    <row r="96" spans="1:19" ht="74.099999999999994" customHeight="1">
      <c r="A96" s="41" t="s">
        <v>181</v>
      </c>
      <c r="B96" s="41" t="s">
        <v>2262</v>
      </c>
      <c r="C96" s="47">
        <v>7</v>
      </c>
      <c r="D96" s="41" t="s">
        <v>1883</v>
      </c>
      <c r="E96" s="41" t="s">
        <v>1937</v>
      </c>
      <c r="F96" s="41" t="s">
        <v>1883</v>
      </c>
      <c r="G96" s="41" t="s">
        <v>1904</v>
      </c>
      <c r="H96" s="41" t="s">
        <v>1871</v>
      </c>
      <c r="I96" s="41" t="s">
        <v>724</v>
      </c>
      <c r="J96" s="41" t="s">
        <v>2263</v>
      </c>
      <c r="K96" s="41" t="s">
        <v>2264</v>
      </c>
      <c r="L96" s="41" t="s">
        <v>1940</v>
      </c>
      <c r="M96" s="41" t="s">
        <v>1941</v>
      </c>
      <c r="N96" s="41" t="s">
        <v>2265</v>
      </c>
      <c r="O96" s="41" t="s">
        <v>1876</v>
      </c>
      <c r="P96" s="41" t="s">
        <v>1943</v>
      </c>
      <c r="Q96" s="41" t="s">
        <v>1944</v>
      </c>
      <c r="R96" s="41" t="s">
        <v>1945</v>
      </c>
      <c r="S96" s="41" t="s">
        <v>2155</v>
      </c>
    </row>
    <row r="97" spans="1:19" ht="74.099999999999994" customHeight="1">
      <c r="A97" s="40" t="s">
        <v>181</v>
      </c>
      <c r="B97" s="40" t="s">
        <v>2266</v>
      </c>
      <c r="C97" s="46">
        <v>8</v>
      </c>
      <c r="D97" s="40" t="s">
        <v>1992</v>
      </c>
      <c r="E97" s="40" t="s">
        <v>1882</v>
      </c>
      <c r="F97" s="40" t="s">
        <v>1883</v>
      </c>
      <c r="G97" s="40" t="s">
        <v>1884</v>
      </c>
      <c r="H97" s="40" t="s">
        <v>1871</v>
      </c>
      <c r="I97" s="40" t="s">
        <v>724</v>
      </c>
      <c r="J97" s="40" t="s">
        <v>2267</v>
      </c>
      <c r="K97" s="40" t="s">
        <v>1993</v>
      </c>
      <c r="L97" s="40" t="s">
        <v>2268</v>
      </c>
      <c r="M97" s="40" t="s">
        <v>1995</v>
      </c>
      <c r="N97" s="40" t="s">
        <v>1996</v>
      </c>
      <c r="O97" s="40" t="s">
        <v>1876</v>
      </c>
      <c r="P97" s="40" t="s">
        <v>1997</v>
      </c>
      <c r="Q97" s="40" t="s">
        <v>1881</v>
      </c>
      <c r="R97" s="40" t="s">
        <v>1998</v>
      </c>
      <c r="S97" s="40" t="s">
        <v>1999</v>
      </c>
    </row>
    <row r="98" spans="1:19" ht="74.099999999999994" customHeight="1">
      <c r="A98" s="41" t="s">
        <v>181</v>
      </c>
      <c r="B98" s="41" t="s">
        <v>2269</v>
      </c>
      <c r="C98" s="47">
        <v>9</v>
      </c>
      <c r="D98" s="41" t="s">
        <v>2001</v>
      </c>
      <c r="E98" s="41" t="s">
        <v>2002</v>
      </c>
      <c r="F98" s="41" t="s">
        <v>2003</v>
      </c>
      <c r="G98" s="41"/>
      <c r="H98" s="41" t="s">
        <v>1871</v>
      </c>
      <c r="I98" s="41"/>
      <c r="J98" s="41" t="s">
        <v>181</v>
      </c>
      <c r="K98" s="41" t="s">
        <v>2004</v>
      </c>
      <c r="L98" s="41" t="s">
        <v>2005</v>
      </c>
      <c r="M98" s="41" t="s">
        <v>2006</v>
      </c>
      <c r="N98" s="41" t="s">
        <v>2007</v>
      </c>
      <c r="O98" s="41" t="s">
        <v>1876</v>
      </c>
      <c r="P98" s="41" t="s">
        <v>2008</v>
      </c>
      <c r="Q98" s="41" t="s">
        <v>2001</v>
      </c>
      <c r="R98" s="41" t="s">
        <v>2009</v>
      </c>
      <c r="S98" s="41" t="s">
        <v>2010</v>
      </c>
    </row>
    <row r="99" spans="1:19" ht="74.099999999999994" customHeight="1">
      <c r="A99" s="40" t="s">
        <v>188</v>
      </c>
      <c r="B99" s="40" t="s">
        <v>2270</v>
      </c>
      <c r="C99" s="46">
        <v>1</v>
      </c>
      <c r="D99" s="40" t="s">
        <v>1868</v>
      </c>
      <c r="E99" s="40" t="s">
        <v>1869</v>
      </c>
      <c r="F99" s="40" t="s">
        <v>1870</v>
      </c>
      <c r="G99" s="40"/>
      <c r="H99" s="40" t="s">
        <v>1871</v>
      </c>
      <c r="I99" s="40" t="s">
        <v>731</v>
      </c>
      <c r="J99" s="40" t="s">
        <v>1623</v>
      </c>
      <c r="K99" s="40" t="s">
        <v>2271</v>
      </c>
      <c r="L99" s="40" t="s">
        <v>1873</v>
      </c>
      <c r="M99" s="40" t="s">
        <v>1874</v>
      </c>
      <c r="N99" s="40" t="s">
        <v>1875</v>
      </c>
      <c r="O99" s="40" t="s">
        <v>1876</v>
      </c>
      <c r="P99" s="40"/>
      <c r="Q99" s="40" t="s">
        <v>1877</v>
      </c>
      <c r="R99" s="40" t="s">
        <v>1878</v>
      </c>
      <c r="S99" s="40" t="s">
        <v>1879</v>
      </c>
    </row>
    <row r="100" spans="1:19" ht="74.099999999999994" customHeight="1">
      <c r="A100" s="41" t="s">
        <v>188</v>
      </c>
      <c r="B100" s="41" t="s">
        <v>2272</v>
      </c>
      <c r="C100" s="47">
        <v>2</v>
      </c>
      <c r="D100" s="41" t="s">
        <v>1881</v>
      </c>
      <c r="E100" s="41" t="s">
        <v>1882</v>
      </c>
      <c r="F100" s="41" t="s">
        <v>1883</v>
      </c>
      <c r="G100" s="41" t="s">
        <v>1884</v>
      </c>
      <c r="H100" s="41" t="s">
        <v>1871</v>
      </c>
      <c r="I100" s="41" t="s">
        <v>731</v>
      </c>
      <c r="J100" s="41" t="s">
        <v>2273</v>
      </c>
      <c r="K100" s="41" t="s">
        <v>1886</v>
      </c>
      <c r="L100" s="41" t="s">
        <v>2274</v>
      </c>
      <c r="M100" s="41" t="s">
        <v>1888</v>
      </c>
      <c r="N100" s="41" t="s">
        <v>1889</v>
      </c>
      <c r="O100" s="41" t="s">
        <v>1876</v>
      </c>
      <c r="P100" s="41"/>
      <c r="Q100" s="41" t="s">
        <v>1881</v>
      </c>
      <c r="R100" s="41" t="s">
        <v>1890</v>
      </c>
      <c r="S100" s="41" t="s">
        <v>1891</v>
      </c>
    </row>
    <row r="101" spans="1:19" ht="74.099999999999994" customHeight="1">
      <c r="A101" s="40" t="s">
        <v>188</v>
      </c>
      <c r="B101" s="40" t="s">
        <v>2275</v>
      </c>
      <c r="C101" s="46">
        <v>3</v>
      </c>
      <c r="D101" s="40" t="s">
        <v>1893</v>
      </c>
      <c r="E101" s="40" t="s">
        <v>1894</v>
      </c>
      <c r="F101" s="40" t="s">
        <v>1870</v>
      </c>
      <c r="G101" s="40"/>
      <c r="H101" s="40" t="s">
        <v>1871</v>
      </c>
      <c r="I101" s="40" t="s">
        <v>731</v>
      </c>
      <c r="J101" s="40" t="s">
        <v>188</v>
      </c>
      <c r="K101" s="40" t="s">
        <v>2017</v>
      </c>
      <c r="L101" s="40" t="s">
        <v>1896</v>
      </c>
      <c r="M101" s="40" t="s">
        <v>1897</v>
      </c>
      <c r="N101" s="40" t="s">
        <v>1898</v>
      </c>
      <c r="O101" s="40" t="s">
        <v>1876</v>
      </c>
      <c r="P101" s="40"/>
      <c r="Q101" s="40" t="s">
        <v>1899</v>
      </c>
      <c r="R101" s="40" t="s">
        <v>1900</v>
      </c>
      <c r="S101" s="40" t="s">
        <v>2018</v>
      </c>
    </row>
    <row r="102" spans="1:19" ht="74.099999999999994" customHeight="1">
      <c r="A102" s="41" t="s">
        <v>188</v>
      </c>
      <c r="B102" s="41" t="s">
        <v>2276</v>
      </c>
      <c r="C102" s="47">
        <v>4</v>
      </c>
      <c r="D102" s="41" t="s">
        <v>1883</v>
      </c>
      <c r="E102" s="41" t="s">
        <v>1903</v>
      </c>
      <c r="F102" s="41" t="s">
        <v>1883</v>
      </c>
      <c r="G102" s="41" t="s">
        <v>1904</v>
      </c>
      <c r="H102" s="41" t="s">
        <v>1871</v>
      </c>
      <c r="I102" s="41" t="s">
        <v>731</v>
      </c>
      <c r="J102" s="41" t="s">
        <v>2277</v>
      </c>
      <c r="K102" s="41" t="s">
        <v>2278</v>
      </c>
      <c r="L102" s="41" t="s">
        <v>2062</v>
      </c>
      <c r="M102" s="41" t="s">
        <v>1908</v>
      </c>
      <c r="N102" s="41" t="s">
        <v>1909</v>
      </c>
      <c r="O102" s="41" t="s">
        <v>1876</v>
      </c>
      <c r="P102" s="41" t="s">
        <v>1910</v>
      </c>
      <c r="Q102" s="41" t="s">
        <v>1911</v>
      </c>
      <c r="R102" s="41" t="s">
        <v>1912</v>
      </c>
      <c r="S102" s="41" t="s">
        <v>2279</v>
      </c>
    </row>
    <row r="103" spans="1:19" ht="74.099999999999994" customHeight="1">
      <c r="A103" s="40" t="s">
        <v>188</v>
      </c>
      <c r="B103" s="40" t="s">
        <v>2280</v>
      </c>
      <c r="C103" s="46">
        <v>5</v>
      </c>
      <c r="D103" s="40" t="s">
        <v>1883</v>
      </c>
      <c r="E103" s="40" t="s">
        <v>1915</v>
      </c>
      <c r="F103" s="40" t="s">
        <v>1883</v>
      </c>
      <c r="G103" s="40" t="s">
        <v>1915</v>
      </c>
      <c r="H103" s="40" t="s">
        <v>1871</v>
      </c>
      <c r="I103" s="40" t="s">
        <v>740</v>
      </c>
      <c r="J103" s="40" t="s">
        <v>740</v>
      </c>
      <c r="K103" s="40" t="s">
        <v>2281</v>
      </c>
      <c r="L103" s="40" t="s">
        <v>1917</v>
      </c>
      <c r="M103" s="40" t="s">
        <v>1918</v>
      </c>
      <c r="N103" s="40" t="s">
        <v>1919</v>
      </c>
      <c r="O103" s="40" t="s">
        <v>1876</v>
      </c>
      <c r="P103" s="40" t="s">
        <v>1920</v>
      </c>
      <c r="Q103" s="40" t="s">
        <v>1921</v>
      </c>
      <c r="R103" s="40" t="s">
        <v>1922</v>
      </c>
      <c r="S103" s="40" t="s">
        <v>1923</v>
      </c>
    </row>
    <row r="104" spans="1:19" ht="74.099999999999994" customHeight="1">
      <c r="A104" s="41" t="s">
        <v>188</v>
      </c>
      <c r="B104" s="41" t="s">
        <v>2282</v>
      </c>
      <c r="C104" s="47">
        <v>6</v>
      </c>
      <c r="D104" s="41" t="s">
        <v>1883</v>
      </c>
      <c r="E104" s="41" t="s">
        <v>1903</v>
      </c>
      <c r="F104" s="41" t="s">
        <v>1883</v>
      </c>
      <c r="G104" s="41" t="s">
        <v>1904</v>
      </c>
      <c r="H104" s="41" t="s">
        <v>1871</v>
      </c>
      <c r="I104" s="41" t="s">
        <v>740</v>
      </c>
      <c r="J104" s="41" t="s">
        <v>2283</v>
      </c>
      <c r="K104" s="41" t="s">
        <v>2284</v>
      </c>
      <c r="L104" s="41" t="s">
        <v>2088</v>
      </c>
      <c r="M104" s="41" t="s">
        <v>1908</v>
      </c>
      <c r="N104" s="41" t="s">
        <v>1909</v>
      </c>
      <c r="O104" s="41" t="s">
        <v>1876</v>
      </c>
      <c r="P104" s="41" t="s">
        <v>1910</v>
      </c>
      <c r="Q104" s="41" t="s">
        <v>1911</v>
      </c>
      <c r="R104" s="41" t="s">
        <v>1912</v>
      </c>
      <c r="S104" s="41" t="s">
        <v>2285</v>
      </c>
    </row>
    <row r="105" spans="1:19" ht="74.099999999999994" customHeight="1">
      <c r="A105" s="40" t="s">
        <v>188</v>
      </c>
      <c r="B105" s="40" t="s">
        <v>2286</v>
      </c>
      <c r="C105" s="46">
        <v>7</v>
      </c>
      <c r="D105" s="40" t="s">
        <v>1883</v>
      </c>
      <c r="E105" s="40" t="s">
        <v>1915</v>
      </c>
      <c r="F105" s="40" t="s">
        <v>1883</v>
      </c>
      <c r="G105" s="40" t="s">
        <v>1915</v>
      </c>
      <c r="H105" s="40" t="s">
        <v>1871</v>
      </c>
      <c r="I105" s="40" t="s">
        <v>747</v>
      </c>
      <c r="J105" s="40" t="s">
        <v>747</v>
      </c>
      <c r="K105" s="40" t="s">
        <v>2287</v>
      </c>
      <c r="L105" s="40" t="s">
        <v>1917</v>
      </c>
      <c r="M105" s="40" t="s">
        <v>1918</v>
      </c>
      <c r="N105" s="40" t="s">
        <v>1919</v>
      </c>
      <c r="O105" s="40" t="s">
        <v>1876</v>
      </c>
      <c r="P105" s="40" t="s">
        <v>1920</v>
      </c>
      <c r="Q105" s="40" t="s">
        <v>1921</v>
      </c>
      <c r="R105" s="40" t="s">
        <v>1922</v>
      </c>
      <c r="S105" s="40" t="s">
        <v>1923</v>
      </c>
    </row>
    <row r="106" spans="1:19" ht="74.099999999999994" customHeight="1">
      <c r="A106" s="41" t="s">
        <v>188</v>
      </c>
      <c r="B106" s="41" t="s">
        <v>2288</v>
      </c>
      <c r="C106" s="47">
        <v>8</v>
      </c>
      <c r="D106" s="41" t="s">
        <v>1883</v>
      </c>
      <c r="E106" s="41" t="s">
        <v>1903</v>
      </c>
      <c r="F106" s="41" t="s">
        <v>1883</v>
      </c>
      <c r="G106" s="41" t="s">
        <v>1904</v>
      </c>
      <c r="H106" s="41" t="s">
        <v>1871</v>
      </c>
      <c r="I106" s="41" t="s">
        <v>747</v>
      </c>
      <c r="J106" s="41" t="s">
        <v>2289</v>
      </c>
      <c r="K106" s="41" t="s">
        <v>2290</v>
      </c>
      <c r="L106" s="41" t="s">
        <v>2069</v>
      </c>
      <c r="M106" s="41" t="s">
        <v>1908</v>
      </c>
      <c r="N106" s="41" t="s">
        <v>1909</v>
      </c>
      <c r="O106" s="41" t="s">
        <v>1876</v>
      </c>
      <c r="P106" s="41" t="s">
        <v>1910</v>
      </c>
      <c r="Q106" s="41" t="s">
        <v>1911</v>
      </c>
      <c r="R106" s="41" t="s">
        <v>1912</v>
      </c>
      <c r="S106" s="41" t="s">
        <v>2291</v>
      </c>
    </row>
    <row r="107" spans="1:19" ht="74.099999999999994" customHeight="1">
      <c r="A107" s="40" t="s">
        <v>188</v>
      </c>
      <c r="B107" s="40" t="s">
        <v>2292</v>
      </c>
      <c r="C107" s="46">
        <v>9</v>
      </c>
      <c r="D107" s="40" t="s">
        <v>1883</v>
      </c>
      <c r="E107" s="40" t="s">
        <v>1937</v>
      </c>
      <c r="F107" s="40" t="s">
        <v>1883</v>
      </c>
      <c r="G107" s="40" t="s">
        <v>1904</v>
      </c>
      <c r="H107" s="40" t="s">
        <v>1871</v>
      </c>
      <c r="I107" s="40" t="s">
        <v>747</v>
      </c>
      <c r="J107" s="40" t="s">
        <v>2293</v>
      </c>
      <c r="K107" s="40" t="s">
        <v>2294</v>
      </c>
      <c r="L107" s="40" t="s">
        <v>1940</v>
      </c>
      <c r="M107" s="40" t="s">
        <v>1941</v>
      </c>
      <c r="N107" s="40" t="s">
        <v>2295</v>
      </c>
      <c r="O107" s="40" t="s">
        <v>1876</v>
      </c>
      <c r="P107" s="40" t="s">
        <v>1943</v>
      </c>
      <c r="Q107" s="40" t="s">
        <v>1944</v>
      </c>
      <c r="R107" s="40" t="s">
        <v>1945</v>
      </c>
      <c r="S107" s="40" t="s">
        <v>2296</v>
      </c>
    </row>
    <row r="108" spans="1:19" ht="74.099999999999994" customHeight="1">
      <c r="A108" s="41" t="s">
        <v>188</v>
      </c>
      <c r="B108" s="41" t="s">
        <v>2297</v>
      </c>
      <c r="C108" s="47">
        <v>10</v>
      </c>
      <c r="D108" s="41" t="s">
        <v>1883</v>
      </c>
      <c r="E108" s="41" t="s">
        <v>1959</v>
      </c>
      <c r="F108" s="41" t="s">
        <v>1883</v>
      </c>
      <c r="G108" s="41" t="s">
        <v>1960</v>
      </c>
      <c r="H108" s="41" t="s">
        <v>1871</v>
      </c>
      <c r="I108" s="41" t="s">
        <v>747</v>
      </c>
      <c r="J108" s="41" t="s">
        <v>2298</v>
      </c>
      <c r="K108" s="41" t="s">
        <v>2299</v>
      </c>
      <c r="L108" s="41" t="s">
        <v>2300</v>
      </c>
      <c r="M108" s="41" t="s">
        <v>1964</v>
      </c>
      <c r="N108" s="41" t="s">
        <v>1965</v>
      </c>
      <c r="O108" s="41" t="s">
        <v>1876</v>
      </c>
      <c r="P108" s="41" t="s">
        <v>1955</v>
      </c>
      <c r="Q108" s="41" t="s">
        <v>1966</v>
      </c>
      <c r="R108" s="41" t="s">
        <v>1967</v>
      </c>
      <c r="S108" s="41" t="s">
        <v>1968</v>
      </c>
    </row>
    <row r="109" spans="1:19" ht="74.099999999999994" customHeight="1">
      <c r="A109" s="40" t="s">
        <v>188</v>
      </c>
      <c r="B109" s="40" t="s">
        <v>2301</v>
      </c>
      <c r="C109" s="46">
        <v>11</v>
      </c>
      <c r="D109" s="40" t="s">
        <v>1883</v>
      </c>
      <c r="E109" s="40" t="s">
        <v>1980</v>
      </c>
      <c r="F109" s="40" t="s">
        <v>1883</v>
      </c>
      <c r="G109" s="40" t="s">
        <v>1981</v>
      </c>
      <c r="H109" s="40" t="s">
        <v>1871</v>
      </c>
      <c r="I109" s="40" t="s">
        <v>747</v>
      </c>
      <c r="J109" s="40" t="s">
        <v>2302</v>
      </c>
      <c r="K109" s="40" t="s">
        <v>2303</v>
      </c>
      <c r="L109" s="40" t="s">
        <v>1984</v>
      </c>
      <c r="M109" s="40" t="s">
        <v>1985</v>
      </c>
      <c r="N109" s="40" t="s">
        <v>2048</v>
      </c>
      <c r="O109" s="40" t="s">
        <v>1876</v>
      </c>
      <c r="P109" s="40" t="s">
        <v>1955</v>
      </c>
      <c r="Q109" s="40" t="s">
        <v>1988</v>
      </c>
      <c r="R109" s="40" t="s">
        <v>1989</v>
      </c>
      <c r="S109" s="40" t="s">
        <v>1990</v>
      </c>
    </row>
    <row r="110" spans="1:19" ht="74.099999999999994" customHeight="1">
      <c r="A110" s="41" t="s">
        <v>188</v>
      </c>
      <c r="B110" s="41" t="s">
        <v>2304</v>
      </c>
      <c r="C110" s="47">
        <v>12</v>
      </c>
      <c r="D110" s="41" t="s">
        <v>1992</v>
      </c>
      <c r="E110" s="41" t="s">
        <v>1882</v>
      </c>
      <c r="F110" s="41" t="s">
        <v>1883</v>
      </c>
      <c r="G110" s="41" t="s">
        <v>1884</v>
      </c>
      <c r="H110" s="41" t="s">
        <v>1871</v>
      </c>
      <c r="I110" s="41" t="s">
        <v>747</v>
      </c>
      <c r="J110" s="41" t="s">
        <v>2305</v>
      </c>
      <c r="K110" s="41" t="s">
        <v>1993</v>
      </c>
      <c r="L110" s="41" t="s">
        <v>2306</v>
      </c>
      <c r="M110" s="41" t="s">
        <v>1995</v>
      </c>
      <c r="N110" s="41" t="s">
        <v>1996</v>
      </c>
      <c r="O110" s="41" t="s">
        <v>1876</v>
      </c>
      <c r="P110" s="41" t="s">
        <v>1997</v>
      </c>
      <c r="Q110" s="41" t="s">
        <v>1881</v>
      </c>
      <c r="R110" s="41" t="s">
        <v>1998</v>
      </c>
      <c r="S110" s="41" t="s">
        <v>1999</v>
      </c>
    </row>
    <row r="111" spans="1:19" ht="74.099999999999994" customHeight="1">
      <c r="A111" s="40" t="s">
        <v>188</v>
      </c>
      <c r="B111" s="40" t="s">
        <v>2307</v>
      </c>
      <c r="C111" s="46">
        <v>13</v>
      </c>
      <c r="D111" s="40" t="s">
        <v>2001</v>
      </c>
      <c r="E111" s="40" t="s">
        <v>2002</v>
      </c>
      <c r="F111" s="40" t="s">
        <v>2003</v>
      </c>
      <c r="G111" s="40"/>
      <c r="H111" s="40" t="s">
        <v>1871</v>
      </c>
      <c r="I111" s="40"/>
      <c r="J111" s="40" t="s">
        <v>188</v>
      </c>
      <c r="K111" s="40" t="s">
        <v>2004</v>
      </c>
      <c r="L111" s="40" t="s">
        <v>2005</v>
      </c>
      <c r="M111" s="40" t="s">
        <v>2006</v>
      </c>
      <c r="N111" s="40" t="s">
        <v>2007</v>
      </c>
      <c r="O111" s="40" t="s">
        <v>1876</v>
      </c>
      <c r="P111" s="40" t="s">
        <v>2008</v>
      </c>
      <c r="Q111" s="40" t="s">
        <v>2001</v>
      </c>
      <c r="R111" s="40" t="s">
        <v>2009</v>
      </c>
      <c r="S111" s="40" t="s">
        <v>2010</v>
      </c>
    </row>
    <row r="112" spans="1:19" ht="74.099999999999994" customHeight="1">
      <c r="A112" s="41" t="s">
        <v>196</v>
      </c>
      <c r="B112" s="41" t="s">
        <v>2308</v>
      </c>
      <c r="C112" s="47">
        <v>1</v>
      </c>
      <c r="D112" s="41" t="s">
        <v>1868</v>
      </c>
      <c r="E112" s="41" t="s">
        <v>1869</v>
      </c>
      <c r="F112" s="41" t="s">
        <v>1870</v>
      </c>
      <c r="G112" s="41"/>
      <c r="H112" s="41" t="s">
        <v>1871</v>
      </c>
      <c r="I112" s="41" t="s">
        <v>753</v>
      </c>
      <c r="J112" s="41" t="s">
        <v>1632</v>
      </c>
      <c r="K112" s="41" t="s">
        <v>2309</v>
      </c>
      <c r="L112" s="41" t="s">
        <v>1873</v>
      </c>
      <c r="M112" s="41" t="s">
        <v>1874</v>
      </c>
      <c r="N112" s="41" t="s">
        <v>1875</v>
      </c>
      <c r="O112" s="41" t="s">
        <v>1876</v>
      </c>
      <c r="P112" s="41"/>
      <c r="Q112" s="41" t="s">
        <v>1877</v>
      </c>
      <c r="R112" s="41" t="s">
        <v>1878</v>
      </c>
      <c r="S112" s="41" t="s">
        <v>1879</v>
      </c>
    </row>
    <row r="113" spans="1:19" ht="74.099999999999994" customHeight="1">
      <c r="A113" s="40" t="s">
        <v>196</v>
      </c>
      <c r="B113" s="40" t="s">
        <v>2310</v>
      </c>
      <c r="C113" s="46">
        <v>2</v>
      </c>
      <c r="D113" s="40" t="s">
        <v>1881</v>
      </c>
      <c r="E113" s="40" t="s">
        <v>1882</v>
      </c>
      <c r="F113" s="40" t="s">
        <v>1883</v>
      </c>
      <c r="G113" s="40" t="s">
        <v>1884</v>
      </c>
      <c r="H113" s="40" t="s">
        <v>1871</v>
      </c>
      <c r="I113" s="40" t="s">
        <v>753</v>
      </c>
      <c r="J113" s="40" t="s">
        <v>2311</v>
      </c>
      <c r="K113" s="40" t="s">
        <v>1886</v>
      </c>
      <c r="L113" s="40" t="s">
        <v>2312</v>
      </c>
      <c r="M113" s="40" t="s">
        <v>1888</v>
      </c>
      <c r="N113" s="40" t="s">
        <v>1889</v>
      </c>
      <c r="O113" s="40" t="s">
        <v>1876</v>
      </c>
      <c r="P113" s="40"/>
      <c r="Q113" s="40" t="s">
        <v>1881</v>
      </c>
      <c r="R113" s="40" t="s">
        <v>1890</v>
      </c>
      <c r="S113" s="40" t="s">
        <v>1891</v>
      </c>
    </row>
    <row r="114" spans="1:19" ht="74.099999999999994" customHeight="1">
      <c r="A114" s="41" t="s">
        <v>196</v>
      </c>
      <c r="B114" s="41" t="s">
        <v>2313</v>
      </c>
      <c r="C114" s="47">
        <v>3</v>
      </c>
      <c r="D114" s="41" t="s">
        <v>1893</v>
      </c>
      <c r="E114" s="41" t="s">
        <v>1894</v>
      </c>
      <c r="F114" s="41" t="s">
        <v>1870</v>
      </c>
      <c r="G114" s="41"/>
      <c r="H114" s="41" t="s">
        <v>1871</v>
      </c>
      <c r="I114" s="41" t="s">
        <v>753</v>
      </c>
      <c r="J114" s="41" t="s">
        <v>196</v>
      </c>
      <c r="K114" s="41" t="s">
        <v>2017</v>
      </c>
      <c r="L114" s="41" t="s">
        <v>1896</v>
      </c>
      <c r="M114" s="41" t="s">
        <v>1897</v>
      </c>
      <c r="N114" s="41" t="s">
        <v>1898</v>
      </c>
      <c r="O114" s="41" t="s">
        <v>1876</v>
      </c>
      <c r="P114" s="41"/>
      <c r="Q114" s="41" t="s">
        <v>1899</v>
      </c>
      <c r="R114" s="41" t="s">
        <v>1900</v>
      </c>
      <c r="S114" s="41" t="s">
        <v>2018</v>
      </c>
    </row>
    <row r="115" spans="1:19" ht="74.099999999999994" customHeight="1">
      <c r="A115" s="40" t="s">
        <v>196</v>
      </c>
      <c r="B115" s="40" t="s">
        <v>2314</v>
      </c>
      <c r="C115" s="46">
        <v>4</v>
      </c>
      <c r="D115" s="40" t="s">
        <v>1883</v>
      </c>
      <c r="E115" s="40" t="s">
        <v>1903</v>
      </c>
      <c r="F115" s="40" t="s">
        <v>1883</v>
      </c>
      <c r="G115" s="40" t="s">
        <v>1904</v>
      </c>
      <c r="H115" s="40" t="s">
        <v>1871</v>
      </c>
      <c r="I115" s="40" t="s">
        <v>753</v>
      </c>
      <c r="J115" s="40" t="s">
        <v>2315</v>
      </c>
      <c r="K115" s="40" t="s">
        <v>2316</v>
      </c>
      <c r="L115" s="40" t="s">
        <v>2317</v>
      </c>
      <c r="M115" s="40" t="s">
        <v>1908</v>
      </c>
      <c r="N115" s="40" t="s">
        <v>1909</v>
      </c>
      <c r="O115" s="40" t="s">
        <v>1876</v>
      </c>
      <c r="P115" s="40" t="s">
        <v>1910</v>
      </c>
      <c r="Q115" s="40" t="s">
        <v>1911</v>
      </c>
      <c r="R115" s="40" t="s">
        <v>1912</v>
      </c>
      <c r="S115" s="40" t="s">
        <v>2318</v>
      </c>
    </row>
    <row r="116" spans="1:19" ht="74.099999999999994" customHeight="1">
      <c r="A116" s="41" t="s">
        <v>196</v>
      </c>
      <c r="B116" s="41" t="s">
        <v>2319</v>
      </c>
      <c r="C116" s="47">
        <v>5</v>
      </c>
      <c r="D116" s="41" t="s">
        <v>1883</v>
      </c>
      <c r="E116" s="41" t="s">
        <v>1915</v>
      </c>
      <c r="F116" s="41" t="s">
        <v>1883</v>
      </c>
      <c r="G116" s="41" t="s">
        <v>1915</v>
      </c>
      <c r="H116" s="41" t="s">
        <v>1871</v>
      </c>
      <c r="I116" s="41" t="s">
        <v>761</v>
      </c>
      <c r="J116" s="41" t="s">
        <v>761</v>
      </c>
      <c r="K116" s="41" t="s">
        <v>2320</v>
      </c>
      <c r="L116" s="41" t="s">
        <v>1917</v>
      </c>
      <c r="M116" s="41" t="s">
        <v>1918</v>
      </c>
      <c r="N116" s="41" t="s">
        <v>1919</v>
      </c>
      <c r="O116" s="41" t="s">
        <v>1876</v>
      </c>
      <c r="P116" s="41" t="s">
        <v>1920</v>
      </c>
      <c r="Q116" s="41" t="s">
        <v>1921</v>
      </c>
      <c r="R116" s="41" t="s">
        <v>1922</v>
      </c>
      <c r="S116" s="41" t="s">
        <v>1923</v>
      </c>
    </row>
    <row r="117" spans="1:19" ht="74.099999999999994" customHeight="1">
      <c r="A117" s="40" t="s">
        <v>196</v>
      </c>
      <c r="B117" s="40" t="s">
        <v>2321</v>
      </c>
      <c r="C117" s="46">
        <v>6</v>
      </c>
      <c r="D117" s="40" t="s">
        <v>1883</v>
      </c>
      <c r="E117" s="40" t="s">
        <v>1903</v>
      </c>
      <c r="F117" s="40" t="s">
        <v>1883</v>
      </c>
      <c r="G117" s="40" t="s">
        <v>1904</v>
      </c>
      <c r="H117" s="40" t="s">
        <v>1871</v>
      </c>
      <c r="I117" s="40" t="s">
        <v>761</v>
      </c>
      <c r="J117" s="40" t="s">
        <v>2322</v>
      </c>
      <c r="K117" s="40" t="s">
        <v>2323</v>
      </c>
      <c r="L117" s="40" t="s">
        <v>2062</v>
      </c>
      <c r="M117" s="40" t="s">
        <v>1908</v>
      </c>
      <c r="N117" s="40" t="s">
        <v>1909</v>
      </c>
      <c r="O117" s="40" t="s">
        <v>1876</v>
      </c>
      <c r="P117" s="40" t="s">
        <v>1910</v>
      </c>
      <c r="Q117" s="40" t="s">
        <v>1911</v>
      </c>
      <c r="R117" s="40" t="s">
        <v>1912</v>
      </c>
      <c r="S117" s="40" t="s">
        <v>2324</v>
      </c>
    </row>
    <row r="118" spans="1:19" ht="74.099999999999994" customHeight="1">
      <c r="A118" s="41" t="s">
        <v>196</v>
      </c>
      <c r="B118" s="41" t="s">
        <v>2325</v>
      </c>
      <c r="C118" s="47">
        <v>7</v>
      </c>
      <c r="D118" s="41" t="s">
        <v>1883</v>
      </c>
      <c r="E118" s="41" t="s">
        <v>1915</v>
      </c>
      <c r="F118" s="41" t="s">
        <v>1883</v>
      </c>
      <c r="G118" s="41" t="s">
        <v>1915</v>
      </c>
      <c r="H118" s="41" t="s">
        <v>1871</v>
      </c>
      <c r="I118" s="41" t="s">
        <v>767</v>
      </c>
      <c r="J118" s="41" t="s">
        <v>767</v>
      </c>
      <c r="K118" s="41" t="s">
        <v>2326</v>
      </c>
      <c r="L118" s="41" t="s">
        <v>1917</v>
      </c>
      <c r="M118" s="41" t="s">
        <v>1918</v>
      </c>
      <c r="N118" s="41" t="s">
        <v>1919</v>
      </c>
      <c r="O118" s="41" t="s">
        <v>1876</v>
      </c>
      <c r="P118" s="41" t="s">
        <v>1920</v>
      </c>
      <c r="Q118" s="41" t="s">
        <v>1921</v>
      </c>
      <c r="R118" s="41" t="s">
        <v>1922</v>
      </c>
      <c r="S118" s="41" t="s">
        <v>1923</v>
      </c>
    </row>
    <row r="119" spans="1:19" ht="74.099999999999994" customHeight="1">
      <c r="A119" s="40" t="s">
        <v>196</v>
      </c>
      <c r="B119" s="40" t="s">
        <v>2327</v>
      </c>
      <c r="C119" s="46">
        <v>8</v>
      </c>
      <c r="D119" s="40" t="s">
        <v>1883</v>
      </c>
      <c r="E119" s="40" t="s">
        <v>1903</v>
      </c>
      <c r="F119" s="40" t="s">
        <v>1883</v>
      </c>
      <c r="G119" s="40" t="s">
        <v>1904</v>
      </c>
      <c r="H119" s="40" t="s">
        <v>1871</v>
      </c>
      <c r="I119" s="40" t="s">
        <v>767</v>
      </c>
      <c r="J119" s="40" t="s">
        <v>2328</v>
      </c>
      <c r="K119" s="40" t="s">
        <v>2329</v>
      </c>
      <c r="L119" s="40" t="s">
        <v>2330</v>
      </c>
      <c r="M119" s="40" t="s">
        <v>1908</v>
      </c>
      <c r="N119" s="40" t="s">
        <v>1909</v>
      </c>
      <c r="O119" s="40" t="s">
        <v>1876</v>
      </c>
      <c r="P119" s="40" t="s">
        <v>1910</v>
      </c>
      <c r="Q119" s="40" t="s">
        <v>1911</v>
      </c>
      <c r="R119" s="40" t="s">
        <v>1912</v>
      </c>
      <c r="S119" s="40" t="s">
        <v>2331</v>
      </c>
    </row>
    <row r="120" spans="1:19" ht="74.099999999999994" customHeight="1">
      <c r="A120" s="41" t="s">
        <v>196</v>
      </c>
      <c r="B120" s="41" t="s">
        <v>2332</v>
      </c>
      <c r="C120" s="47">
        <v>9</v>
      </c>
      <c r="D120" s="41" t="s">
        <v>1883</v>
      </c>
      <c r="E120" s="41" t="s">
        <v>1937</v>
      </c>
      <c r="F120" s="41" t="s">
        <v>1883</v>
      </c>
      <c r="G120" s="41" t="s">
        <v>1904</v>
      </c>
      <c r="H120" s="41" t="s">
        <v>1871</v>
      </c>
      <c r="I120" s="41" t="s">
        <v>767</v>
      </c>
      <c r="J120" s="41" t="s">
        <v>2333</v>
      </c>
      <c r="K120" s="41" t="s">
        <v>2334</v>
      </c>
      <c r="L120" s="41" t="s">
        <v>1940</v>
      </c>
      <c r="M120" s="41" t="s">
        <v>1941</v>
      </c>
      <c r="N120" s="41" t="s">
        <v>2335</v>
      </c>
      <c r="O120" s="41" t="s">
        <v>1876</v>
      </c>
      <c r="P120" s="41" t="s">
        <v>1943</v>
      </c>
      <c r="Q120" s="41" t="s">
        <v>1944</v>
      </c>
      <c r="R120" s="41" t="s">
        <v>1945</v>
      </c>
      <c r="S120" s="41" t="s">
        <v>2336</v>
      </c>
    </row>
    <row r="121" spans="1:19" ht="74.099999999999994" customHeight="1">
      <c r="A121" s="40" t="s">
        <v>196</v>
      </c>
      <c r="B121" s="40" t="s">
        <v>2337</v>
      </c>
      <c r="C121" s="46">
        <v>10</v>
      </c>
      <c r="D121" s="40" t="s">
        <v>1883</v>
      </c>
      <c r="E121" s="40" t="s">
        <v>1970</v>
      </c>
      <c r="F121" s="40" t="s">
        <v>1883</v>
      </c>
      <c r="G121" s="40" t="s">
        <v>1884</v>
      </c>
      <c r="H121" s="40" t="s">
        <v>1871</v>
      </c>
      <c r="I121" s="40" t="s">
        <v>767</v>
      </c>
      <c r="J121" s="40" t="s">
        <v>2338</v>
      </c>
      <c r="K121" s="40" t="s">
        <v>2339</v>
      </c>
      <c r="L121" s="40" t="s">
        <v>2203</v>
      </c>
      <c r="M121" s="40" t="s">
        <v>2204</v>
      </c>
      <c r="N121" s="40" t="s">
        <v>2205</v>
      </c>
      <c r="O121" s="40" t="s">
        <v>1876</v>
      </c>
      <c r="P121" s="40" t="s">
        <v>1955</v>
      </c>
      <c r="Q121" s="40" t="s">
        <v>1976</v>
      </c>
      <c r="R121" s="40" t="s">
        <v>1977</v>
      </c>
      <c r="S121" s="40" t="s">
        <v>2206</v>
      </c>
    </row>
    <row r="122" spans="1:19" ht="74.099999999999994" customHeight="1">
      <c r="A122" s="41" t="s">
        <v>196</v>
      </c>
      <c r="B122" s="41" t="s">
        <v>2340</v>
      </c>
      <c r="C122" s="47">
        <v>11</v>
      </c>
      <c r="D122" s="41" t="s">
        <v>1948</v>
      </c>
      <c r="E122" s="41" t="s">
        <v>1980</v>
      </c>
      <c r="F122" s="41" t="s">
        <v>1883</v>
      </c>
      <c r="G122" s="41" t="s">
        <v>1981</v>
      </c>
      <c r="H122" s="41" t="s">
        <v>1871</v>
      </c>
      <c r="I122" s="41" t="s">
        <v>767</v>
      </c>
      <c r="J122" s="41" t="s">
        <v>2341</v>
      </c>
      <c r="K122" s="41" t="s">
        <v>2342</v>
      </c>
      <c r="L122" s="41" t="s">
        <v>1984</v>
      </c>
      <c r="M122" s="41" t="s">
        <v>1985</v>
      </c>
      <c r="N122" s="41" t="s">
        <v>1986</v>
      </c>
      <c r="O122" s="41" t="s">
        <v>1167</v>
      </c>
      <c r="P122" s="41" t="s">
        <v>1987</v>
      </c>
      <c r="Q122" s="41" t="s">
        <v>1988</v>
      </c>
      <c r="R122" s="41" t="s">
        <v>1989</v>
      </c>
      <c r="S122" s="41" t="s">
        <v>1990</v>
      </c>
    </row>
    <row r="123" spans="1:19" ht="74.099999999999994" customHeight="1">
      <c r="A123" s="40" t="s">
        <v>196</v>
      </c>
      <c r="B123" s="40" t="s">
        <v>2343</v>
      </c>
      <c r="C123" s="46">
        <v>12</v>
      </c>
      <c r="D123" s="40" t="s">
        <v>1992</v>
      </c>
      <c r="E123" s="40" t="s">
        <v>1882</v>
      </c>
      <c r="F123" s="40" t="s">
        <v>1883</v>
      </c>
      <c r="G123" s="40" t="s">
        <v>1884</v>
      </c>
      <c r="H123" s="40" t="s">
        <v>1871</v>
      </c>
      <c r="I123" s="40" t="s">
        <v>767</v>
      </c>
      <c r="J123" s="40" t="s">
        <v>2338</v>
      </c>
      <c r="K123" s="40" t="s">
        <v>1993</v>
      </c>
      <c r="L123" s="40" t="s">
        <v>2344</v>
      </c>
      <c r="M123" s="40" t="s">
        <v>1995</v>
      </c>
      <c r="N123" s="40" t="s">
        <v>1996</v>
      </c>
      <c r="O123" s="40" t="s">
        <v>1876</v>
      </c>
      <c r="P123" s="40" t="s">
        <v>1997</v>
      </c>
      <c r="Q123" s="40" t="s">
        <v>1881</v>
      </c>
      <c r="R123" s="40" t="s">
        <v>1998</v>
      </c>
      <c r="S123" s="40" t="s">
        <v>1999</v>
      </c>
    </row>
    <row r="124" spans="1:19" ht="74.099999999999994" customHeight="1">
      <c r="A124" s="41" t="s">
        <v>196</v>
      </c>
      <c r="B124" s="41" t="s">
        <v>2345</v>
      </c>
      <c r="C124" s="47">
        <v>13</v>
      </c>
      <c r="D124" s="41" t="s">
        <v>2001</v>
      </c>
      <c r="E124" s="41" t="s">
        <v>2002</v>
      </c>
      <c r="F124" s="41" t="s">
        <v>2003</v>
      </c>
      <c r="G124" s="41"/>
      <c r="H124" s="41" t="s">
        <v>1871</v>
      </c>
      <c r="I124" s="41"/>
      <c r="J124" s="41" t="s">
        <v>196</v>
      </c>
      <c r="K124" s="41" t="s">
        <v>2004</v>
      </c>
      <c r="L124" s="41" t="s">
        <v>2005</v>
      </c>
      <c r="M124" s="41" t="s">
        <v>2006</v>
      </c>
      <c r="N124" s="41" t="s">
        <v>2007</v>
      </c>
      <c r="O124" s="41" t="s">
        <v>1876</v>
      </c>
      <c r="P124" s="41" t="s">
        <v>2008</v>
      </c>
      <c r="Q124" s="41" t="s">
        <v>2001</v>
      </c>
      <c r="R124" s="41" t="s">
        <v>2009</v>
      </c>
      <c r="S124" s="41" t="s">
        <v>2010</v>
      </c>
    </row>
    <row r="125" spans="1:19" ht="74.099999999999994" customHeight="1">
      <c r="A125" s="40" t="s">
        <v>204</v>
      </c>
      <c r="B125" s="40" t="s">
        <v>2346</v>
      </c>
      <c r="C125" s="46">
        <v>1</v>
      </c>
      <c r="D125" s="40" t="s">
        <v>1868</v>
      </c>
      <c r="E125" s="40" t="s">
        <v>1869</v>
      </c>
      <c r="F125" s="40" t="s">
        <v>1870</v>
      </c>
      <c r="G125" s="40"/>
      <c r="H125" s="40" t="s">
        <v>1871</v>
      </c>
      <c r="I125" s="40" t="s">
        <v>776</v>
      </c>
      <c r="J125" s="40" t="s">
        <v>1640</v>
      </c>
      <c r="K125" s="40" t="s">
        <v>2347</v>
      </c>
      <c r="L125" s="40" t="s">
        <v>1873</v>
      </c>
      <c r="M125" s="40" t="s">
        <v>1874</v>
      </c>
      <c r="N125" s="40" t="s">
        <v>1875</v>
      </c>
      <c r="O125" s="40" t="s">
        <v>1876</v>
      </c>
      <c r="P125" s="40"/>
      <c r="Q125" s="40" t="s">
        <v>1877</v>
      </c>
      <c r="R125" s="40" t="s">
        <v>1878</v>
      </c>
      <c r="S125" s="40" t="s">
        <v>1879</v>
      </c>
    </row>
    <row r="126" spans="1:19" ht="74.099999999999994" customHeight="1">
      <c r="A126" s="41" t="s">
        <v>204</v>
      </c>
      <c r="B126" s="41" t="s">
        <v>2348</v>
      </c>
      <c r="C126" s="47">
        <v>2</v>
      </c>
      <c r="D126" s="41" t="s">
        <v>1881</v>
      </c>
      <c r="E126" s="41" t="s">
        <v>1882</v>
      </c>
      <c r="F126" s="41" t="s">
        <v>1883</v>
      </c>
      <c r="G126" s="41" t="s">
        <v>1884</v>
      </c>
      <c r="H126" s="41" t="s">
        <v>1871</v>
      </c>
      <c r="I126" s="41" t="s">
        <v>776</v>
      </c>
      <c r="J126" s="41" t="s">
        <v>2349</v>
      </c>
      <c r="K126" s="41" t="s">
        <v>1886</v>
      </c>
      <c r="L126" s="41" t="s">
        <v>2350</v>
      </c>
      <c r="M126" s="41" t="s">
        <v>1888</v>
      </c>
      <c r="N126" s="41" t="s">
        <v>1889</v>
      </c>
      <c r="O126" s="41" t="s">
        <v>1876</v>
      </c>
      <c r="P126" s="41"/>
      <c r="Q126" s="41" t="s">
        <v>1881</v>
      </c>
      <c r="R126" s="41" t="s">
        <v>1890</v>
      </c>
      <c r="S126" s="41" t="s">
        <v>1891</v>
      </c>
    </row>
    <row r="127" spans="1:19" ht="74.099999999999994" customHeight="1">
      <c r="A127" s="40" t="s">
        <v>204</v>
      </c>
      <c r="B127" s="40" t="s">
        <v>2351</v>
      </c>
      <c r="C127" s="46">
        <v>3</v>
      </c>
      <c r="D127" s="40" t="s">
        <v>1893</v>
      </c>
      <c r="E127" s="40" t="s">
        <v>1894</v>
      </c>
      <c r="F127" s="40" t="s">
        <v>1870</v>
      </c>
      <c r="G127" s="40"/>
      <c r="H127" s="40" t="s">
        <v>1871</v>
      </c>
      <c r="I127" s="40" t="s">
        <v>776</v>
      </c>
      <c r="J127" s="40" t="s">
        <v>204</v>
      </c>
      <c r="K127" s="40" t="s">
        <v>2017</v>
      </c>
      <c r="L127" s="40" t="s">
        <v>1896</v>
      </c>
      <c r="M127" s="40" t="s">
        <v>1897</v>
      </c>
      <c r="N127" s="40" t="s">
        <v>1898</v>
      </c>
      <c r="O127" s="40" t="s">
        <v>1876</v>
      </c>
      <c r="P127" s="40"/>
      <c r="Q127" s="40" t="s">
        <v>1899</v>
      </c>
      <c r="R127" s="40" t="s">
        <v>1900</v>
      </c>
      <c r="S127" s="40" t="s">
        <v>2018</v>
      </c>
    </row>
    <row r="128" spans="1:19" ht="74.099999999999994" customHeight="1">
      <c r="A128" s="41" t="s">
        <v>204</v>
      </c>
      <c r="B128" s="41" t="s">
        <v>2352</v>
      </c>
      <c r="C128" s="47">
        <v>4</v>
      </c>
      <c r="D128" s="41" t="s">
        <v>1883</v>
      </c>
      <c r="E128" s="41" t="s">
        <v>1903</v>
      </c>
      <c r="F128" s="41" t="s">
        <v>1883</v>
      </c>
      <c r="G128" s="41" t="s">
        <v>1904</v>
      </c>
      <c r="H128" s="41" t="s">
        <v>1871</v>
      </c>
      <c r="I128" s="41" t="s">
        <v>776</v>
      </c>
      <c r="J128" s="41" t="s">
        <v>2353</v>
      </c>
      <c r="K128" s="41" t="s">
        <v>2354</v>
      </c>
      <c r="L128" s="41" t="s">
        <v>2355</v>
      </c>
      <c r="M128" s="41" t="s">
        <v>1908</v>
      </c>
      <c r="N128" s="41" t="s">
        <v>1909</v>
      </c>
      <c r="O128" s="41" t="s">
        <v>1876</v>
      </c>
      <c r="P128" s="41" t="s">
        <v>1910</v>
      </c>
      <c r="Q128" s="41" t="s">
        <v>1911</v>
      </c>
      <c r="R128" s="41" t="s">
        <v>1912</v>
      </c>
      <c r="S128" s="41" t="s">
        <v>2356</v>
      </c>
    </row>
    <row r="129" spans="1:19" ht="74.099999999999994" customHeight="1">
      <c r="A129" s="40" t="s">
        <v>204</v>
      </c>
      <c r="B129" s="40" t="s">
        <v>2357</v>
      </c>
      <c r="C129" s="46">
        <v>5</v>
      </c>
      <c r="D129" s="40" t="s">
        <v>1883</v>
      </c>
      <c r="E129" s="40" t="s">
        <v>1937</v>
      </c>
      <c r="F129" s="40" t="s">
        <v>1883</v>
      </c>
      <c r="G129" s="40" t="s">
        <v>1904</v>
      </c>
      <c r="H129" s="40" t="s">
        <v>1871</v>
      </c>
      <c r="I129" s="40" t="s">
        <v>776</v>
      </c>
      <c r="J129" s="40" t="s">
        <v>2358</v>
      </c>
      <c r="K129" s="40" t="s">
        <v>2359</v>
      </c>
      <c r="L129" s="40" t="s">
        <v>1940</v>
      </c>
      <c r="M129" s="40" t="s">
        <v>1941</v>
      </c>
      <c r="N129" s="40" t="s">
        <v>2360</v>
      </c>
      <c r="O129" s="40" t="s">
        <v>1876</v>
      </c>
      <c r="P129" s="40" t="s">
        <v>1943</v>
      </c>
      <c r="Q129" s="40" t="s">
        <v>1944</v>
      </c>
      <c r="R129" s="40" t="s">
        <v>1945</v>
      </c>
      <c r="S129" s="40" t="s">
        <v>2155</v>
      </c>
    </row>
    <row r="130" spans="1:19" ht="74.099999999999994" customHeight="1">
      <c r="A130" s="41" t="s">
        <v>204</v>
      </c>
      <c r="B130" s="41" t="s">
        <v>2361</v>
      </c>
      <c r="C130" s="47">
        <v>6</v>
      </c>
      <c r="D130" s="41" t="s">
        <v>1992</v>
      </c>
      <c r="E130" s="41" t="s">
        <v>1882</v>
      </c>
      <c r="F130" s="41" t="s">
        <v>1883</v>
      </c>
      <c r="G130" s="41" t="s">
        <v>1884</v>
      </c>
      <c r="H130" s="41" t="s">
        <v>1871</v>
      </c>
      <c r="I130" s="41" t="s">
        <v>776</v>
      </c>
      <c r="J130" s="41" t="s">
        <v>2362</v>
      </c>
      <c r="K130" s="41" t="s">
        <v>1993</v>
      </c>
      <c r="L130" s="41" t="s">
        <v>2363</v>
      </c>
      <c r="M130" s="41" t="s">
        <v>1995</v>
      </c>
      <c r="N130" s="41" t="s">
        <v>1996</v>
      </c>
      <c r="O130" s="41" t="s">
        <v>1876</v>
      </c>
      <c r="P130" s="41" t="s">
        <v>1997</v>
      </c>
      <c r="Q130" s="41" t="s">
        <v>1881</v>
      </c>
      <c r="R130" s="41" t="s">
        <v>1998</v>
      </c>
      <c r="S130" s="41" t="s">
        <v>1999</v>
      </c>
    </row>
    <row r="131" spans="1:19" ht="74.099999999999994" customHeight="1">
      <c r="A131" s="40" t="s">
        <v>204</v>
      </c>
      <c r="B131" s="40" t="s">
        <v>2364</v>
      </c>
      <c r="C131" s="46">
        <v>7</v>
      </c>
      <c r="D131" s="40" t="s">
        <v>2001</v>
      </c>
      <c r="E131" s="40" t="s">
        <v>2002</v>
      </c>
      <c r="F131" s="40" t="s">
        <v>2003</v>
      </c>
      <c r="G131" s="40"/>
      <c r="H131" s="40" t="s">
        <v>1871</v>
      </c>
      <c r="I131" s="40"/>
      <c r="J131" s="40" t="s">
        <v>204</v>
      </c>
      <c r="K131" s="40" t="s">
        <v>2004</v>
      </c>
      <c r="L131" s="40" t="s">
        <v>2005</v>
      </c>
      <c r="M131" s="40" t="s">
        <v>2006</v>
      </c>
      <c r="N131" s="40" t="s">
        <v>2007</v>
      </c>
      <c r="O131" s="40" t="s">
        <v>1876</v>
      </c>
      <c r="P131" s="40" t="s">
        <v>2008</v>
      </c>
      <c r="Q131" s="40" t="s">
        <v>2001</v>
      </c>
      <c r="R131" s="40" t="s">
        <v>2009</v>
      </c>
      <c r="S131" s="40" t="s">
        <v>2010</v>
      </c>
    </row>
    <row r="132" spans="1:19" ht="74.099999999999994" customHeight="1">
      <c r="A132" s="41" t="s">
        <v>211</v>
      </c>
      <c r="B132" s="41" t="s">
        <v>2365</v>
      </c>
      <c r="C132" s="47">
        <v>1</v>
      </c>
      <c r="D132" s="41" t="s">
        <v>1868</v>
      </c>
      <c r="E132" s="41" t="s">
        <v>1869</v>
      </c>
      <c r="F132" s="41" t="s">
        <v>1870</v>
      </c>
      <c r="G132" s="41"/>
      <c r="H132" s="41" t="s">
        <v>1871</v>
      </c>
      <c r="I132" s="41" t="s">
        <v>782</v>
      </c>
      <c r="J132" s="41" t="s">
        <v>1646</v>
      </c>
      <c r="K132" s="41" t="s">
        <v>2366</v>
      </c>
      <c r="L132" s="41" t="s">
        <v>1873</v>
      </c>
      <c r="M132" s="41" t="s">
        <v>1874</v>
      </c>
      <c r="N132" s="41" t="s">
        <v>1875</v>
      </c>
      <c r="O132" s="41" t="s">
        <v>1876</v>
      </c>
      <c r="P132" s="41"/>
      <c r="Q132" s="41" t="s">
        <v>1877</v>
      </c>
      <c r="R132" s="41" t="s">
        <v>1878</v>
      </c>
      <c r="S132" s="41" t="s">
        <v>1879</v>
      </c>
    </row>
    <row r="133" spans="1:19" ht="74.099999999999994" customHeight="1">
      <c r="A133" s="40" t="s">
        <v>211</v>
      </c>
      <c r="B133" s="40" t="s">
        <v>2367</v>
      </c>
      <c r="C133" s="46">
        <v>2</v>
      </c>
      <c r="D133" s="40" t="s">
        <v>1881</v>
      </c>
      <c r="E133" s="40" t="s">
        <v>1882</v>
      </c>
      <c r="F133" s="40" t="s">
        <v>1883</v>
      </c>
      <c r="G133" s="40" t="s">
        <v>1884</v>
      </c>
      <c r="H133" s="40" t="s">
        <v>1871</v>
      </c>
      <c r="I133" s="40" t="s">
        <v>782</v>
      </c>
      <c r="J133" s="40" t="s">
        <v>2368</v>
      </c>
      <c r="K133" s="40" t="s">
        <v>1886</v>
      </c>
      <c r="L133" s="40" t="s">
        <v>2369</v>
      </c>
      <c r="M133" s="40" t="s">
        <v>1888</v>
      </c>
      <c r="N133" s="40" t="s">
        <v>1889</v>
      </c>
      <c r="O133" s="40" t="s">
        <v>1876</v>
      </c>
      <c r="P133" s="40"/>
      <c r="Q133" s="40" t="s">
        <v>1881</v>
      </c>
      <c r="R133" s="40" t="s">
        <v>1890</v>
      </c>
      <c r="S133" s="40" t="s">
        <v>1891</v>
      </c>
    </row>
    <row r="134" spans="1:19" ht="74.099999999999994" customHeight="1">
      <c r="A134" s="41" t="s">
        <v>211</v>
      </c>
      <c r="B134" s="41" t="s">
        <v>2370</v>
      </c>
      <c r="C134" s="47">
        <v>3</v>
      </c>
      <c r="D134" s="41" t="s">
        <v>1893</v>
      </c>
      <c r="E134" s="41" t="s">
        <v>1894</v>
      </c>
      <c r="F134" s="41" t="s">
        <v>1870</v>
      </c>
      <c r="G134" s="41"/>
      <c r="H134" s="41" t="s">
        <v>1871</v>
      </c>
      <c r="I134" s="41" t="s">
        <v>782</v>
      </c>
      <c r="J134" s="41" t="s">
        <v>211</v>
      </c>
      <c r="K134" s="41" t="s">
        <v>2371</v>
      </c>
      <c r="L134" s="41" t="s">
        <v>1896</v>
      </c>
      <c r="M134" s="41" t="s">
        <v>1897</v>
      </c>
      <c r="N134" s="41" t="s">
        <v>1898</v>
      </c>
      <c r="O134" s="41" t="s">
        <v>1876</v>
      </c>
      <c r="P134" s="41"/>
      <c r="Q134" s="41" t="s">
        <v>1899</v>
      </c>
      <c r="R134" s="41" t="s">
        <v>1900</v>
      </c>
      <c r="S134" s="41" t="s">
        <v>2372</v>
      </c>
    </row>
    <row r="135" spans="1:19" ht="74.099999999999994" customHeight="1">
      <c r="A135" s="40" t="s">
        <v>211</v>
      </c>
      <c r="B135" s="40" t="s">
        <v>2373</v>
      </c>
      <c r="C135" s="46">
        <v>4</v>
      </c>
      <c r="D135" s="40" t="s">
        <v>1883</v>
      </c>
      <c r="E135" s="40" t="s">
        <v>1903</v>
      </c>
      <c r="F135" s="40" t="s">
        <v>1883</v>
      </c>
      <c r="G135" s="40" t="s">
        <v>1904</v>
      </c>
      <c r="H135" s="40" t="s">
        <v>1871</v>
      </c>
      <c r="I135" s="40" t="s">
        <v>782</v>
      </c>
      <c r="J135" s="40" t="s">
        <v>2374</v>
      </c>
      <c r="K135" s="40" t="s">
        <v>2375</v>
      </c>
      <c r="L135" s="40" t="s">
        <v>2376</v>
      </c>
      <c r="M135" s="40" t="s">
        <v>1908</v>
      </c>
      <c r="N135" s="40" t="s">
        <v>1909</v>
      </c>
      <c r="O135" s="40" t="s">
        <v>1876</v>
      </c>
      <c r="P135" s="40" t="s">
        <v>1910</v>
      </c>
      <c r="Q135" s="40" t="s">
        <v>1911</v>
      </c>
      <c r="R135" s="40" t="s">
        <v>1912</v>
      </c>
      <c r="S135" s="40" t="s">
        <v>2377</v>
      </c>
    </row>
    <row r="136" spans="1:19" ht="74.099999999999994" customHeight="1">
      <c r="A136" s="41" t="s">
        <v>211</v>
      </c>
      <c r="B136" s="41" t="s">
        <v>2378</v>
      </c>
      <c r="C136" s="47">
        <v>5</v>
      </c>
      <c r="D136" s="41" t="s">
        <v>1883</v>
      </c>
      <c r="E136" s="41" t="s">
        <v>1915</v>
      </c>
      <c r="F136" s="41" t="s">
        <v>1883</v>
      </c>
      <c r="G136" s="41" t="s">
        <v>1915</v>
      </c>
      <c r="H136" s="41" t="s">
        <v>1871</v>
      </c>
      <c r="I136" s="41" t="s">
        <v>790</v>
      </c>
      <c r="J136" s="41" t="s">
        <v>790</v>
      </c>
      <c r="K136" s="41" t="s">
        <v>2379</v>
      </c>
      <c r="L136" s="41" t="s">
        <v>1917</v>
      </c>
      <c r="M136" s="41" t="s">
        <v>1918</v>
      </c>
      <c r="N136" s="41" t="s">
        <v>1919</v>
      </c>
      <c r="O136" s="41" t="s">
        <v>1876</v>
      </c>
      <c r="P136" s="41" t="s">
        <v>1920</v>
      </c>
      <c r="Q136" s="41" t="s">
        <v>1921</v>
      </c>
      <c r="R136" s="41" t="s">
        <v>1922</v>
      </c>
      <c r="S136" s="41" t="s">
        <v>1923</v>
      </c>
    </row>
    <row r="137" spans="1:19" ht="74.099999999999994" customHeight="1">
      <c r="A137" s="40" t="s">
        <v>211</v>
      </c>
      <c r="B137" s="40" t="s">
        <v>2380</v>
      </c>
      <c r="C137" s="46">
        <v>6</v>
      </c>
      <c r="D137" s="40" t="s">
        <v>1883</v>
      </c>
      <c r="E137" s="40" t="s">
        <v>1903</v>
      </c>
      <c r="F137" s="40" t="s">
        <v>1883</v>
      </c>
      <c r="G137" s="40" t="s">
        <v>1904</v>
      </c>
      <c r="H137" s="40" t="s">
        <v>1871</v>
      </c>
      <c r="I137" s="40" t="s">
        <v>790</v>
      </c>
      <c r="J137" s="40" t="s">
        <v>2381</v>
      </c>
      <c r="K137" s="40" t="s">
        <v>2382</v>
      </c>
      <c r="L137" s="40" t="s">
        <v>2383</v>
      </c>
      <c r="M137" s="40" t="s">
        <v>1908</v>
      </c>
      <c r="N137" s="40" t="s">
        <v>1909</v>
      </c>
      <c r="O137" s="40" t="s">
        <v>1876</v>
      </c>
      <c r="P137" s="40" t="s">
        <v>1910</v>
      </c>
      <c r="Q137" s="40" t="s">
        <v>1911</v>
      </c>
      <c r="R137" s="40" t="s">
        <v>1912</v>
      </c>
      <c r="S137" s="40" t="s">
        <v>2384</v>
      </c>
    </row>
    <row r="138" spans="1:19" ht="74.099999999999994" customHeight="1">
      <c r="A138" s="41" t="s">
        <v>211</v>
      </c>
      <c r="B138" s="41" t="s">
        <v>2385</v>
      </c>
      <c r="C138" s="47">
        <v>7</v>
      </c>
      <c r="D138" s="41" t="s">
        <v>1883</v>
      </c>
      <c r="E138" s="41" t="s">
        <v>1915</v>
      </c>
      <c r="F138" s="41" t="s">
        <v>1883</v>
      </c>
      <c r="G138" s="41" t="s">
        <v>1915</v>
      </c>
      <c r="H138" s="41" t="s">
        <v>1871</v>
      </c>
      <c r="I138" s="41" t="s">
        <v>799</v>
      </c>
      <c r="J138" s="41" t="s">
        <v>799</v>
      </c>
      <c r="K138" s="41" t="s">
        <v>2386</v>
      </c>
      <c r="L138" s="41" t="s">
        <v>1917</v>
      </c>
      <c r="M138" s="41" t="s">
        <v>1918</v>
      </c>
      <c r="N138" s="41" t="s">
        <v>1919</v>
      </c>
      <c r="O138" s="41" t="s">
        <v>1876</v>
      </c>
      <c r="P138" s="41" t="s">
        <v>1920</v>
      </c>
      <c r="Q138" s="41" t="s">
        <v>1921</v>
      </c>
      <c r="R138" s="41" t="s">
        <v>1922</v>
      </c>
      <c r="S138" s="41" t="s">
        <v>1923</v>
      </c>
    </row>
    <row r="139" spans="1:19" ht="74.099999999999994" customHeight="1">
      <c r="A139" s="40" t="s">
        <v>211</v>
      </c>
      <c r="B139" s="40" t="s">
        <v>2387</v>
      </c>
      <c r="C139" s="46">
        <v>8</v>
      </c>
      <c r="D139" s="40" t="s">
        <v>1883</v>
      </c>
      <c r="E139" s="40" t="s">
        <v>1903</v>
      </c>
      <c r="F139" s="40" t="s">
        <v>1883</v>
      </c>
      <c r="G139" s="40" t="s">
        <v>1904</v>
      </c>
      <c r="H139" s="40" t="s">
        <v>1871</v>
      </c>
      <c r="I139" s="40" t="s">
        <v>799</v>
      </c>
      <c r="J139" s="40" t="s">
        <v>2388</v>
      </c>
      <c r="K139" s="40" t="s">
        <v>2389</v>
      </c>
      <c r="L139" s="40" t="s">
        <v>2390</v>
      </c>
      <c r="M139" s="40" t="s">
        <v>1908</v>
      </c>
      <c r="N139" s="40" t="s">
        <v>1909</v>
      </c>
      <c r="O139" s="40" t="s">
        <v>1876</v>
      </c>
      <c r="P139" s="40" t="s">
        <v>1910</v>
      </c>
      <c r="Q139" s="40" t="s">
        <v>1911</v>
      </c>
      <c r="R139" s="40" t="s">
        <v>1912</v>
      </c>
      <c r="S139" s="40" t="s">
        <v>2391</v>
      </c>
    </row>
    <row r="140" spans="1:19" ht="74.099999999999994" customHeight="1">
      <c r="A140" s="41" t="s">
        <v>211</v>
      </c>
      <c r="B140" s="41" t="s">
        <v>2392</v>
      </c>
      <c r="C140" s="47">
        <v>9</v>
      </c>
      <c r="D140" s="41" t="s">
        <v>1883</v>
      </c>
      <c r="E140" s="41" t="s">
        <v>1915</v>
      </c>
      <c r="F140" s="41" t="s">
        <v>1883</v>
      </c>
      <c r="G140" s="41" t="s">
        <v>1915</v>
      </c>
      <c r="H140" s="41" t="s">
        <v>1871</v>
      </c>
      <c r="I140" s="41" t="s">
        <v>808</v>
      </c>
      <c r="J140" s="41" t="s">
        <v>808</v>
      </c>
      <c r="K140" s="41" t="s">
        <v>2393</v>
      </c>
      <c r="L140" s="41" t="s">
        <v>1917</v>
      </c>
      <c r="M140" s="41" t="s">
        <v>1918</v>
      </c>
      <c r="N140" s="41" t="s">
        <v>1919</v>
      </c>
      <c r="O140" s="41" t="s">
        <v>1876</v>
      </c>
      <c r="P140" s="41" t="s">
        <v>1920</v>
      </c>
      <c r="Q140" s="41" t="s">
        <v>1921</v>
      </c>
      <c r="R140" s="41" t="s">
        <v>1922</v>
      </c>
      <c r="S140" s="41" t="s">
        <v>1923</v>
      </c>
    </row>
    <row r="141" spans="1:19" ht="74.099999999999994" customHeight="1">
      <c r="A141" s="40" t="s">
        <v>211</v>
      </c>
      <c r="B141" s="40" t="s">
        <v>2394</v>
      </c>
      <c r="C141" s="46">
        <v>10</v>
      </c>
      <c r="D141" s="40" t="s">
        <v>1883</v>
      </c>
      <c r="E141" s="40" t="s">
        <v>1903</v>
      </c>
      <c r="F141" s="40" t="s">
        <v>1883</v>
      </c>
      <c r="G141" s="40" t="s">
        <v>1904</v>
      </c>
      <c r="H141" s="40" t="s">
        <v>1871</v>
      </c>
      <c r="I141" s="40" t="s">
        <v>808</v>
      </c>
      <c r="J141" s="40" t="s">
        <v>2395</v>
      </c>
      <c r="K141" s="40" t="s">
        <v>2396</v>
      </c>
      <c r="L141" s="40" t="s">
        <v>2069</v>
      </c>
      <c r="M141" s="40" t="s">
        <v>1908</v>
      </c>
      <c r="N141" s="40" t="s">
        <v>1909</v>
      </c>
      <c r="O141" s="40" t="s">
        <v>1876</v>
      </c>
      <c r="P141" s="40" t="s">
        <v>1910</v>
      </c>
      <c r="Q141" s="40" t="s">
        <v>1911</v>
      </c>
      <c r="R141" s="40" t="s">
        <v>1912</v>
      </c>
      <c r="S141" s="40" t="s">
        <v>2397</v>
      </c>
    </row>
    <row r="142" spans="1:19" ht="74.099999999999994" customHeight="1">
      <c r="A142" s="41" t="s">
        <v>211</v>
      </c>
      <c r="B142" s="41" t="s">
        <v>2398</v>
      </c>
      <c r="C142" s="47">
        <v>11</v>
      </c>
      <c r="D142" s="41" t="s">
        <v>1883</v>
      </c>
      <c r="E142" s="41" t="s">
        <v>1937</v>
      </c>
      <c r="F142" s="41" t="s">
        <v>1883</v>
      </c>
      <c r="G142" s="41" t="s">
        <v>1904</v>
      </c>
      <c r="H142" s="41" t="s">
        <v>1871</v>
      </c>
      <c r="I142" s="41" t="s">
        <v>808</v>
      </c>
      <c r="J142" s="41" t="s">
        <v>2399</v>
      </c>
      <c r="K142" s="41" t="s">
        <v>2400</v>
      </c>
      <c r="L142" s="41" t="s">
        <v>1940</v>
      </c>
      <c r="M142" s="41" t="s">
        <v>2401</v>
      </c>
      <c r="N142" s="41" t="s">
        <v>2402</v>
      </c>
      <c r="O142" s="41" t="s">
        <v>1876</v>
      </c>
      <c r="P142" s="41" t="s">
        <v>1943</v>
      </c>
      <c r="Q142" s="41" t="s">
        <v>1944</v>
      </c>
      <c r="R142" s="41" t="s">
        <v>1945</v>
      </c>
      <c r="S142" s="41" t="s">
        <v>2403</v>
      </c>
    </row>
    <row r="143" spans="1:19" ht="74.099999999999994" customHeight="1">
      <c r="A143" s="40" t="s">
        <v>211</v>
      </c>
      <c r="B143" s="40" t="s">
        <v>2404</v>
      </c>
      <c r="C143" s="46">
        <v>12</v>
      </c>
      <c r="D143" s="40" t="s">
        <v>1883</v>
      </c>
      <c r="E143" s="40" t="s">
        <v>1970</v>
      </c>
      <c r="F143" s="40" t="s">
        <v>1883</v>
      </c>
      <c r="G143" s="40" t="s">
        <v>1884</v>
      </c>
      <c r="H143" s="40" t="s">
        <v>1871</v>
      </c>
      <c r="I143" s="40" t="s">
        <v>808</v>
      </c>
      <c r="J143" s="40" t="s">
        <v>2405</v>
      </c>
      <c r="K143" s="40" t="s">
        <v>2406</v>
      </c>
      <c r="L143" s="40" t="s">
        <v>2203</v>
      </c>
      <c r="M143" s="40" t="s">
        <v>2204</v>
      </c>
      <c r="N143" s="40" t="s">
        <v>2205</v>
      </c>
      <c r="O143" s="40" t="s">
        <v>1876</v>
      </c>
      <c r="P143" s="40" t="s">
        <v>1955</v>
      </c>
      <c r="Q143" s="40" t="s">
        <v>1976</v>
      </c>
      <c r="R143" s="40" t="s">
        <v>1977</v>
      </c>
      <c r="S143" s="40" t="s">
        <v>2206</v>
      </c>
    </row>
    <row r="144" spans="1:19" ht="74.099999999999994" customHeight="1">
      <c r="A144" s="41" t="s">
        <v>211</v>
      </c>
      <c r="B144" s="41" t="s">
        <v>2407</v>
      </c>
      <c r="C144" s="47">
        <v>13</v>
      </c>
      <c r="D144" s="41" t="s">
        <v>1992</v>
      </c>
      <c r="E144" s="41" t="s">
        <v>1882</v>
      </c>
      <c r="F144" s="41" t="s">
        <v>1883</v>
      </c>
      <c r="G144" s="41" t="s">
        <v>1884</v>
      </c>
      <c r="H144" s="41" t="s">
        <v>1871</v>
      </c>
      <c r="I144" s="41" t="s">
        <v>808</v>
      </c>
      <c r="J144" s="41" t="s">
        <v>2405</v>
      </c>
      <c r="K144" s="41" t="s">
        <v>1993</v>
      </c>
      <c r="L144" s="41" t="s">
        <v>2408</v>
      </c>
      <c r="M144" s="41" t="s">
        <v>1995</v>
      </c>
      <c r="N144" s="41" t="s">
        <v>1996</v>
      </c>
      <c r="O144" s="41" t="s">
        <v>1876</v>
      </c>
      <c r="P144" s="41" t="s">
        <v>1997</v>
      </c>
      <c r="Q144" s="41" t="s">
        <v>1881</v>
      </c>
      <c r="R144" s="41" t="s">
        <v>1998</v>
      </c>
      <c r="S144" s="41" t="s">
        <v>1999</v>
      </c>
    </row>
    <row r="145" spans="1:19" ht="74.099999999999994" customHeight="1">
      <c r="A145" s="40" t="s">
        <v>211</v>
      </c>
      <c r="B145" s="40" t="s">
        <v>2409</v>
      </c>
      <c r="C145" s="46">
        <v>14</v>
      </c>
      <c r="D145" s="40" t="s">
        <v>2001</v>
      </c>
      <c r="E145" s="40" t="s">
        <v>2002</v>
      </c>
      <c r="F145" s="40" t="s">
        <v>2003</v>
      </c>
      <c r="G145" s="40"/>
      <c r="H145" s="40" t="s">
        <v>1871</v>
      </c>
      <c r="I145" s="40"/>
      <c r="J145" s="40" t="s">
        <v>211</v>
      </c>
      <c r="K145" s="40" t="s">
        <v>2004</v>
      </c>
      <c r="L145" s="40" t="s">
        <v>2005</v>
      </c>
      <c r="M145" s="40" t="s">
        <v>2006</v>
      </c>
      <c r="N145" s="40" t="s">
        <v>2007</v>
      </c>
      <c r="O145" s="40" t="s">
        <v>1876</v>
      </c>
      <c r="P145" s="40" t="s">
        <v>2008</v>
      </c>
      <c r="Q145" s="40" t="s">
        <v>2001</v>
      </c>
      <c r="R145" s="40" t="s">
        <v>2009</v>
      </c>
      <c r="S145" s="40" t="s">
        <v>2010</v>
      </c>
    </row>
    <row r="146" spans="1:19" ht="74.099999999999994" customHeight="1">
      <c r="A146" s="41" t="s">
        <v>217</v>
      </c>
      <c r="B146" s="41" t="s">
        <v>2410</v>
      </c>
      <c r="C146" s="47">
        <v>1</v>
      </c>
      <c r="D146" s="41" t="s">
        <v>1868</v>
      </c>
      <c r="E146" s="41" t="s">
        <v>1869</v>
      </c>
      <c r="F146" s="41" t="s">
        <v>1870</v>
      </c>
      <c r="G146" s="41"/>
      <c r="H146" s="41" t="s">
        <v>1871</v>
      </c>
      <c r="I146" s="41" t="s">
        <v>816</v>
      </c>
      <c r="J146" s="41" t="s">
        <v>1654</v>
      </c>
      <c r="K146" s="41" t="s">
        <v>2411</v>
      </c>
      <c r="L146" s="41" t="s">
        <v>1873</v>
      </c>
      <c r="M146" s="41" t="s">
        <v>1874</v>
      </c>
      <c r="N146" s="41" t="s">
        <v>1875</v>
      </c>
      <c r="O146" s="41" t="s">
        <v>1876</v>
      </c>
      <c r="P146" s="41"/>
      <c r="Q146" s="41" t="s">
        <v>1877</v>
      </c>
      <c r="R146" s="41" t="s">
        <v>1878</v>
      </c>
      <c r="S146" s="41" t="s">
        <v>1879</v>
      </c>
    </row>
    <row r="147" spans="1:19" ht="74.099999999999994" customHeight="1">
      <c r="A147" s="40" t="s">
        <v>217</v>
      </c>
      <c r="B147" s="40" t="s">
        <v>2412</v>
      </c>
      <c r="C147" s="46">
        <v>2</v>
      </c>
      <c r="D147" s="40" t="s">
        <v>1881</v>
      </c>
      <c r="E147" s="40" t="s">
        <v>1882</v>
      </c>
      <c r="F147" s="40" t="s">
        <v>1883</v>
      </c>
      <c r="G147" s="40" t="s">
        <v>1884</v>
      </c>
      <c r="H147" s="40" t="s">
        <v>1871</v>
      </c>
      <c r="I147" s="40" t="s">
        <v>816</v>
      </c>
      <c r="J147" s="40" t="s">
        <v>2413</v>
      </c>
      <c r="K147" s="40" t="s">
        <v>1886</v>
      </c>
      <c r="L147" s="40" t="s">
        <v>2414</v>
      </c>
      <c r="M147" s="40" t="s">
        <v>1888</v>
      </c>
      <c r="N147" s="40" t="s">
        <v>1889</v>
      </c>
      <c r="O147" s="40" t="s">
        <v>1876</v>
      </c>
      <c r="P147" s="40"/>
      <c r="Q147" s="40" t="s">
        <v>1881</v>
      </c>
      <c r="R147" s="40" t="s">
        <v>1890</v>
      </c>
      <c r="S147" s="40" t="s">
        <v>1891</v>
      </c>
    </row>
    <row r="148" spans="1:19" ht="74.099999999999994" customHeight="1">
      <c r="A148" s="41" t="s">
        <v>217</v>
      </c>
      <c r="B148" s="41" t="s">
        <v>2415</v>
      </c>
      <c r="C148" s="47">
        <v>3</v>
      </c>
      <c r="D148" s="41" t="s">
        <v>1893</v>
      </c>
      <c r="E148" s="41" t="s">
        <v>1894</v>
      </c>
      <c r="F148" s="41" t="s">
        <v>1870</v>
      </c>
      <c r="G148" s="41"/>
      <c r="H148" s="41" t="s">
        <v>1871</v>
      </c>
      <c r="I148" s="41" t="s">
        <v>816</v>
      </c>
      <c r="J148" s="41" t="s">
        <v>217</v>
      </c>
      <c r="K148" s="41" t="s">
        <v>2017</v>
      </c>
      <c r="L148" s="41" t="s">
        <v>1896</v>
      </c>
      <c r="M148" s="41" t="s">
        <v>1897</v>
      </c>
      <c r="N148" s="41" t="s">
        <v>1898</v>
      </c>
      <c r="O148" s="41" t="s">
        <v>1876</v>
      </c>
      <c r="P148" s="41"/>
      <c r="Q148" s="41" t="s">
        <v>1899</v>
      </c>
      <c r="R148" s="41" t="s">
        <v>1900</v>
      </c>
      <c r="S148" s="41" t="s">
        <v>2018</v>
      </c>
    </row>
    <row r="149" spans="1:19" ht="74.099999999999994" customHeight="1">
      <c r="A149" s="40" t="s">
        <v>217</v>
      </c>
      <c r="B149" s="40" t="s">
        <v>2416</v>
      </c>
      <c r="C149" s="46">
        <v>4</v>
      </c>
      <c r="D149" s="40" t="s">
        <v>1883</v>
      </c>
      <c r="E149" s="40" t="s">
        <v>1903</v>
      </c>
      <c r="F149" s="40" t="s">
        <v>1883</v>
      </c>
      <c r="G149" s="40" t="s">
        <v>1904</v>
      </c>
      <c r="H149" s="40" t="s">
        <v>1871</v>
      </c>
      <c r="I149" s="40" t="s">
        <v>816</v>
      </c>
      <c r="J149" s="40" t="s">
        <v>2417</v>
      </c>
      <c r="K149" s="40" t="s">
        <v>2418</v>
      </c>
      <c r="L149" s="40" t="s">
        <v>2419</v>
      </c>
      <c r="M149" s="40" t="s">
        <v>1908</v>
      </c>
      <c r="N149" s="40" t="s">
        <v>1909</v>
      </c>
      <c r="O149" s="40" t="s">
        <v>1876</v>
      </c>
      <c r="P149" s="40" t="s">
        <v>1910</v>
      </c>
      <c r="Q149" s="40" t="s">
        <v>1911</v>
      </c>
      <c r="R149" s="40" t="s">
        <v>1912</v>
      </c>
      <c r="S149" s="40" t="s">
        <v>2420</v>
      </c>
    </row>
    <row r="150" spans="1:19" ht="74.099999999999994" customHeight="1">
      <c r="A150" s="41" t="s">
        <v>217</v>
      </c>
      <c r="B150" s="41" t="s">
        <v>2421</v>
      </c>
      <c r="C150" s="47">
        <v>5</v>
      </c>
      <c r="D150" s="41" t="s">
        <v>1883</v>
      </c>
      <c r="E150" s="41" t="s">
        <v>1915</v>
      </c>
      <c r="F150" s="41" t="s">
        <v>1883</v>
      </c>
      <c r="G150" s="41" t="s">
        <v>1915</v>
      </c>
      <c r="H150" s="41" t="s">
        <v>1871</v>
      </c>
      <c r="I150" s="41" t="s">
        <v>825</v>
      </c>
      <c r="J150" s="41" t="s">
        <v>825</v>
      </c>
      <c r="K150" s="41" t="s">
        <v>2422</v>
      </c>
      <c r="L150" s="41" t="s">
        <v>1917</v>
      </c>
      <c r="M150" s="41" t="s">
        <v>1918</v>
      </c>
      <c r="N150" s="41" t="s">
        <v>1919</v>
      </c>
      <c r="O150" s="41" t="s">
        <v>1876</v>
      </c>
      <c r="P150" s="41" t="s">
        <v>1920</v>
      </c>
      <c r="Q150" s="41" t="s">
        <v>1921</v>
      </c>
      <c r="R150" s="41" t="s">
        <v>1922</v>
      </c>
      <c r="S150" s="41" t="s">
        <v>1923</v>
      </c>
    </row>
    <row r="151" spans="1:19" ht="74.099999999999994" customHeight="1">
      <c r="A151" s="40" t="s">
        <v>217</v>
      </c>
      <c r="B151" s="40" t="s">
        <v>2423</v>
      </c>
      <c r="C151" s="46">
        <v>6</v>
      </c>
      <c r="D151" s="40" t="s">
        <v>1883</v>
      </c>
      <c r="E151" s="40" t="s">
        <v>1903</v>
      </c>
      <c r="F151" s="40" t="s">
        <v>1883</v>
      </c>
      <c r="G151" s="40" t="s">
        <v>1904</v>
      </c>
      <c r="H151" s="40" t="s">
        <v>1871</v>
      </c>
      <c r="I151" s="40" t="s">
        <v>825</v>
      </c>
      <c r="J151" s="40" t="s">
        <v>2424</v>
      </c>
      <c r="K151" s="40" t="s">
        <v>2425</v>
      </c>
      <c r="L151" s="40" t="s">
        <v>2069</v>
      </c>
      <c r="M151" s="40" t="s">
        <v>1908</v>
      </c>
      <c r="N151" s="40" t="s">
        <v>1909</v>
      </c>
      <c r="O151" s="40" t="s">
        <v>1876</v>
      </c>
      <c r="P151" s="40" t="s">
        <v>1910</v>
      </c>
      <c r="Q151" s="40" t="s">
        <v>1911</v>
      </c>
      <c r="R151" s="40" t="s">
        <v>1912</v>
      </c>
      <c r="S151" s="40" t="s">
        <v>2426</v>
      </c>
    </row>
    <row r="152" spans="1:19" ht="74.099999999999994" customHeight="1">
      <c r="A152" s="41" t="s">
        <v>217</v>
      </c>
      <c r="B152" s="41" t="s">
        <v>2427</v>
      </c>
      <c r="C152" s="47">
        <v>7</v>
      </c>
      <c r="D152" s="41" t="s">
        <v>1883</v>
      </c>
      <c r="E152" s="41" t="s">
        <v>1915</v>
      </c>
      <c r="F152" s="41" t="s">
        <v>1883</v>
      </c>
      <c r="G152" s="41" t="s">
        <v>1915</v>
      </c>
      <c r="H152" s="41" t="s">
        <v>1871</v>
      </c>
      <c r="I152" s="41" t="s">
        <v>831</v>
      </c>
      <c r="J152" s="41" t="s">
        <v>831</v>
      </c>
      <c r="K152" s="41" t="s">
        <v>2428</v>
      </c>
      <c r="L152" s="41" t="s">
        <v>1917</v>
      </c>
      <c r="M152" s="41" t="s">
        <v>1918</v>
      </c>
      <c r="N152" s="41" t="s">
        <v>1919</v>
      </c>
      <c r="O152" s="41" t="s">
        <v>1876</v>
      </c>
      <c r="P152" s="41" t="s">
        <v>1920</v>
      </c>
      <c r="Q152" s="41" t="s">
        <v>1921</v>
      </c>
      <c r="R152" s="41" t="s">
        <v>1922</v>
      </c>
      <c r="S152" s="41" t="s">
        <v>1923</v>
      </c>
    </row>
    <row r="153" spans="1:19" ht="74.099999999999994" customHeight="1">
      <c r="A153" s="40" t="s">
        <v>217</v>
      </c>
      <c r="B153" s="40" t="s">
        <v>2429</v>
      </c>
      <c r="C153" s="46">
        <v>8</v>
      </c>
      <c r="D153" s="40" t="s">
        <v>1883</v>
      </c>
      <c r="E153" s="40" t="s">
        <v>1903</v>
      </c>
      <c r="F153" s="40" t="s">
        <v>1883</v>
      </c>
      <c r="G153" s="40" t="s">
        <v>1904</v>
      </c>
      <c r="H153" s="40" t="s">
        <v>1871</v>
      </c>
      <c r="I153" s="40" t="s">
        <v>831</v>
      </c>
      <c r="J153" s="40" t="s">
        <v>2430</v>
      </c>
      <c r="K153" s="40" t="s">
        <v>2431</v>
      </c>
      <c r="L153" s="40" t="s">
        <v>2062</v>
      </c>
      <c r="M153" s="40" t="s">
        <v>1908</v>
      </c>
      <c r="N153" s="40" t="s">
        <v>1909</v>
      </c>
      <c r="O153" s="40" t="s">
        <v>1876</v>
      </c>
      <c r="P153" s="40" t="s">
        <v>1910</v>
      </c>
      <c r="Q153" s="40" t="s">
        <v>1911</v>
      </c>
      <c r="R153" s="40" t="s">
        <v>1912</v>
      </c>
      <c r="S153" s="40" t="s">
        <v>2432</v>
      </c>
    </row>
    <row r="154" spans="1:19" ht="74.099999999999994" customHeight="1">
      <c r="A154" s="41" t="s">
        <v>217</v>
      </c>
      <c r="B154" s="41" t="s">
        <v>2433</v>
      </c>
      <c r="C154" s="47">
        <v>9</v>
      </c>
      <c r="D154" s="41" t="s">
        <v>1883</v>
      </c>
      <c r="E154" s="41" t="s">
        <v>1937</v>
      </c>
      <c r="F154" s="41" t="s">
        <v>1883</v>
      </c>
      <c r="G154" s="41" t="s">
        <v>1904</v>
      </c>
      <c r="H154" s="41" t="s">
        <v>1871</v>
      </c>
      <c r="I154" s="41" t="s">
        <v>831</v>
      </c>
      <c r="J154" s="41" t="s">
        <v>2434</v>
      </c>
      <c r="K154" s="41" t="s">
        <v>2435</v>
      </c>
      <c r="L154" s="41" t="s">
        <v>1940</v>
      </c>
      <c r="M154" s="41" t="s">
        <v>1941</v>
      </c>
      <c r="N154" s="41" t="s">
        <v>2436</v>
      </c>
      <c r="O154" s="41" t="s">
        <v>1876</v>
      </c>
      <c r="P154" s="41" t="s">
        <v>1943</v>
      </c>
      <c r="Q154" s="41" t="s">
        <v>1944</v>
      </c>
      <c r="R154" s="41" t="s">
        <v>1945</v>
      </c>
      <c r="S154" s="41" t="s">
        <v>2437</v>
      </c>
    </row>
    <row r="155" spans="1:19" ht="74.099999999999994" customHeight="1">
      <c r="A155" s="40" t="s">
        <v>217</v>
      </c>
      <c r="B155" s="40" t="s">
        <v>2438</v>
      </c>
      <c r="C155" s="46">
        <v>10</v>
      </c>
      <c r="D155" s="40" t="s">
        <v>1948</v>
      </c>
      <c r="E155" s="40" t="s">
        <v>1980</v>
      </c>
      <c r="F155" s="40" t="s">
        <v>1883</v>
      </c>
      <c r="G155" s="40" t="s">
        <v>1981</v>
      </c>
      <c r="H155" s="40" t="s">
        <v>1871</v>
      </c>
      <c r="I155" s="40" t="s">
        <v>831</v>
      </c>
      <c r="J155" s="40" t="s">
        <v>2439</v>
      </c>
      <c r="K155" s="40" t="s">
        <v>2440</v>
      </c>
      <c r="L155" s="40" t="s">
        <v>1984</v>
      </c>
      <c r="M155" s="40" t="s">
        <v>1985</v>
      </c>
      <c r="N155" s="40" t="s">
        <v>1986</v>
      </c>
      <c r="O155" s="40" t="s">
        <v>1167</v>
      </c>
      <c r="P155" s="40" t="s">
        <v>1987</v>
      </c>
      <c r="Q155" s="40" t="s">
        <v>1988</v>
      </c>
      <c r="R155" s="40" t="s">
        <v>1989</v>
      </c>
      <c r="S155" s="40" t="s">
        <v>1990</v>
      </c>
    </row>
    <row r="156" spans="1:19" ht="74.099999999999994" customHeight="1">
      <c r="A156" s="41" t="s">
        <v>217</v>
      </c>
      <c r="B156" s="41" t="s">
        <v>2441</v>
      </c>
      <c r="C156" s="47">
        <v>11</v>
      </c>
      <c r="D156" s="41" t="s">
        <v>1992</v>
      </c>
      <c r="E156" s="41" t="s">
        <v>1882</v>
      </c>
      <c r="F156" s="41" t="s">
        <v>1883</v>
      </c>
      <c r="G156" s="41" t="s">
        <v>1884</v>
      </c>
      <c r="H156" s="41" t="s">
        <v>1871</v>
      </c>
      <c r="I156" s="41" t="s">
        <v>831</v>
      </c>
      <c r="J156" s="41" t="s">
        <v>2442</v>
      </c>
      <c r="K156" s="41" t="s">
        <v>1993</v>
      </c>
      <c r="L156" s="41" t="s">
        <v>2443</v>
      </c>
      <c r="M156" s="41" t="s">
        <v>1995</v>
      </c>
      <c r="N156" s="41" t="s">
        <v>1996</v>
      </c>
      <c r="O156" s="41" t="s">
        <v>1876</v>
      </c>
      <c r="P156" s="41" t="s">
        <v>1997</v>
      </c>
      <c r="Q156" s="41" t="s">
        <v>1881</v>
      </c>
      <c r="R156" s="41" t="s">
        <v>1998</v>
      </c>
      <c r="S156" s="41" t="s">
        <v>1999</v>
      </c>
    </row>
    <row r="157" spans="1:19" ht="74.099999999999994" customHeight="1">
      <c r="A157" s="40" t="s">
        <v>217</v>
      </c>
      <c r="B157" s="40" t="s">
        <v>2444</v>
      </c>
      <c r="C157" s="46">
        <v>12</v>
      </c>
      <c r="D157" s="40" t="s">
        <v>2001</v>
      </c>
      <c r="E157" s="40" t="s">
        <v>2002</v>
      </c>
      <c r="F157" s="40" t="s">
        <v>2003</v>
      </c>
      <c r="G157" s="40"/>
      <c r="H157" s="40" t="s">
        <v>1871</v>
      </c>
      <c r="I157" s="40"/>
      <c r="J157" s="40" t="s">
        <v>217</v>
      </c>
      <c r="K157" s="40" t="s">
        <v>2004</v>
      </c>
      <c r="L157" s="40" t="s">
        <v>2005</v>
      </c>
      <c r="M157" s="40" t="s">
        <v>2006</v>
      </c>
      <c r="N157" s="40" t="s">
        <v>2007</v>
      </c>
      <c r="O157" s="40" t="s">
        <v>1876</v>
      </c>
      <c r="P157" s="40" t="s">
        <v>2008</v>
      </c>
      <c r="Q157" s="40" t="s">
        <v>2001</v>
      </c>
      <c r="R157" s="40" t="s">
        <v>2009</v>
      </c>
      <c r="S157" s="40" t="s">
        <v>2010</v>
      </c>
    </row>
    <row r="158" spans="1:19" ht="74.099999999999994" customHeight="1">
      <c r="A158" s="41" t="s">
        <v>224</v>
      </c>
      <c r="B158" s="41" t="s">
        <v>2445</v>
      </c>
      <c r="C158" s="47">
        <v>1</v>
      </c>
      <c r="D158" s="41" t="s">
        <v>1868</v>
      </c>
      <c r="E158" s="41" t="s">
        <v>1869</v>
      </c>
      <c r="F158" s="41" t="s">
        <v>1870</v>
      </c>
      <c r="G158" s="41"/>
      <c r="H158" s="41" t="s">
        <v>1871</v>
      </c>
      <c r="I158" s="41" t="s">
        <v>837</v>
      </c>
      <c r="J158" s="41" t="s">
        <v>1662</v>
      </c>
      <c r="K158" s="41" t="s">
        <v>2446</v>
      </c>
      <c r="L158" s="41" t="s">
        <v>1873</v>
      </c>
      <c r="M158" s="41" t="s">
        <v>1874</v>
      </c>
      <c r="N158" s="41" t="s">
        <v>1875</v>
      </c>
      <c r="O158" s="41" t="s">
        <v>1876</v>
      </c>
      <c r="P158" s="41"/>
      <c r="Q158" s="41" t="s">
        <v>1877</v>
      </c>
      <c r="R158" s="41" t="s">
        <v>1878</v>
      </c>
      <c r="S158" s="41" t="s">
        <v>1879</v>
      </c>
    </row>
    <row r="159" spans="1:19" ht="74.099999999999994" customHeight="1">
      <c r="A159" s="40" t="s">
        <v>224</v>
      </c>
      <c r="B159" s="40" t="s">
        <v>2447</v>
      </c>
      <c r="C159" s="46">
        <v>2</v>
      </c>
      <c r="D159" s="40" t="s">
        <v>1881</v>
      </c>
      <c r="E159" s="40" t="s">
        <v>1882</v>
      </c>
      <c r="F159" s="40" t="s">
        <v>1883</v>
      </c>
      <c r="G159" s="40" t="s">
        <v>1884</v>
      </c>
      <c r="H159" s="40" t="s">
        <v>1871</v>
      </c>
      <c r="I159" s="40" t="s">
        <v>837</v>
      </c>
      <c r="J159" s="40" t="s">
        <v>2448</v>
      </c>
      <c r="K159" s="40" t="s">
        <v>1886</v>
      </c>
      <c r="L159" s="40" t="s">
        <v>2449</v>
      </c>
      <c r="M159" s="40" t="s">
        <v>1888</v>
      </c>
      <c r="N159" s="40" t="s">
        <v>1889</v>
      </c>
      <c r="O159" s="40" t="s">
        <v>1876</v>
      </c>
      <c r="P159" s="40"/>
      <c r="Q159" s="40" t="s">
        <v>1881</v>
      </c>
      <c r="R159" s="40" t="s">
        <v>1890</v>
      </c>
      <c r="S159" s="40" t="s">
        <v>1891</v>
      </c>
    </row>
    <row r="160" spans="1:19" ht="74.099999999999994" customHeight="1">
      <c r="A160" s="41" t="s">
        <v>224</v>
      </c>
      <c r="B160" s="41" t="s">
        <v>2450</v>
      </c>
      <c r="C160" s="47">
        <v>3</v>
      </c>
      <c r="D160" s="41" t="s">
        <v>1893</v>
      </c>
      <c r="E160" s="41" t="s">
        <v>1894</v>
      </c>
      <c r="F160" s="41" t="s">
        <v>1870</v>
      </c>
      <c r="G160" s="41"/>
      <c r="H160" s="41" t="s">
        <v>1871</v>
      </c>
      <c r="I160" s="41" t="s">
        <v>837</v>
      </c>
      <c r="J160" s="41" t="s">
        <v>224</v>
      </c>
      <c r="K160" s="41" t="s">
        <v>2017</v>
      </c>
      <c r="L160" s="41" t="s">
        <v>1896</v>
      </c>
      <c r="M160" s="41" t="s">
        <v>1897</v>
      </c>
      <c r="N160" s="41" t="s">
        <v>1898</v>
      </c>
      <c r="O160" s="41" t="s">
        <v>1876</v>
      </c>
      <c r="P160" s="41"/>
      <c r="Q160" s="41" t="s">
        <v>1899</v>
      </c>
      <c r="R160" s="41" t="s">
        <v>1900</v>
      </c>
      <c r="S160" s="41" t="s">
        <v>2018</v>
      </c>
    </row>
    <row r="161" spans="1:19" ht="74.099999999999994" customHeight="1">
      <c r="A161" s="40" t="s">
        <v>224</v>
      </c>
      <c r="B161" s="40" t="s">
        <v>2451</v>
      </c>
      <c r="C161" s="46">
        <v>4</v>
      </c>
      <c r="D161" s="40" t="s">
        <v>1883</v>
      </c>
      <c r="E161" s="40" t="s">
        <v>1903</v>
      </c>
      <c r="F161" s="40" t="s">
        <v>1883</v>
      </c>
      <c r="G161" s="40" t="s">
        <v>1904</v>
      </c>
      <c r="H161" s="40" t="s">
        <v>1871</v>
      </c>
      <c r="I161" s="40" t="s">
        <v>837</v>
      </c>
      <c r="J161" s="40" t="s">
        <v>2452</v>
      </c>
      <c r="K161" s="40" t="s">
        <v>2453</v>
      </c>
      <c r="L161" s="40" t="s">
        <v>2454</v>
      </c>
      <c r="M161" s="40" t="s">
        <v>1908</v>
      </c>
      <c r="N161" s="40" t="s">
        <v>1909</v>
      </c>
      <c r="O161" s="40" t="s">
        <v>1876</v>
      </c>
      <c r="P161" s="40" t="s">
        <v>1910</v>
      </c>
      <c r="Q161" s="40" t="s">
        <v>1911</v>
      </c>
      <c r="R161" s="40" t="s">
        <v>1912</v>
      </c>
      <c r="S161" s="40" t="s">
        <v>2455</v>
      </c>
    </row>
    <row r="162" spans="1:19" ht="74.099999999999994" customHeight="1">
      <c r="A162" s="41" t="s">
        <v>224</v>
      </c>
      <c r="B162" s="41" t="s">
        <v>2456</v>
      </c>
      <c r="C162" s="47">
        <v>5</v>
      </c>
      <c r="D162" s="41" t="s">
        <v>1883</v>
      </c>
      <c r="E162" s="41" t="s">
        <v>1937</v>
      </c>
      <c r="F162" s="41" t="s">
        <v>1883</v>
      </c>
      <c r="G162" s="41" t="s">
        <v>1904</v>
      </c>
      <c r="H162" s="41" t="s">
        <v>1871</v>
      </c>
      <c r="I162" s="41" t="s">
        <v>837</v>
      </c>
      <c r="J162" s="41" t="s">
        <v>2457</v>
      </c>
      <c r="K162" s="41" t="s">
        <v>2458</v>
      </c>
      <c r="L162" s="41" t="s">
        <v>1940</v>
      </c>
      <c r="M162" s="41" t="s">
        <v>1941</v>
      </c>
      <c r="N162" s="41" t="s">
        <v>2459</v>
      </c>
      <c r="O162" s="41" t="s">
        <v>1876</v>
      </c>
      <c r="P162" s="41" t="s">
        <v>1943</v>
      </c>
      <c r="Q162" s="41" t="s">
        <v>1944</v>
      </c>
      <c r="R162" s="41" t="s">
        <v>1945</v>
      </c>
      <c r="S162" s="41" t="s">
        <v>2460</v>
      </c>
    </row>
    <row r="163" spans="1:19" ht="74.099999999999994" customHeight="1">
      <c r="A163" s="40" t="s">
        <v>224</v>
      </c>
      <c r="B163" s="40" t="s">
        <v>2461</v>
      </c>
      <c r="C163" s="46">
        <v>6</v>
      </c>
      <c r="D163" s="40" t="s">
        <v>1883</v>
      </c>
      <c r="E163" s="40" t="s">
        <v>1959</v>
      </c>
      <c r="F163" s="40" t="s">
        <v>1883</v>
      </c>
      <c r="G163" s="40" t="s">
        <v>1960</v>
      </c>
      <c r="H163" s="40" t="s">
        <v>1871</v>
      </c>
      <c r="I163" s="40" t="s">
        <v>837</v>
      </c>
      <c r="J163" s="40" t="s">
        <v>2462</v>
      </c>
      <c r="K163" s="40" t="s">
        <v>2463</v>
      </c>
      <c r="L163" s="40" t="s">
        <v>2464</v>
      </c>
      <c r="M163" s="40" t="s">
        <v>1964</v>
      </c>
      <c r="N163" s="40" t="s">
        <v>1965</v>
      </c>
      <c r="O163" s="40" t="s">
        <v>1876</v>
      </c>
      <c r="P163" s="40" t="s">
        <v>1955</v>
      </c>
      <c r="Q163" s="40" t="s">
        <v>1966</v>
      </c>
      <c r="R163" s="40" t="s">
        <v>1967</v>
      </c>
      <c r="S163" s="40" t="s">
        <v>1968</v>
      </c>
    </row>
    <row r="164" spans="1:19" ht="74.099999999999994" customHeight="1">
      <c r="A164" s="41" t="s">
        <v>224</v>
      </c>
      <c r="B164" s="41" t="s">
        <v>2465</v>
      </c>
      <c r="C164" s="47">
        <v>7</v>
      </c>
      <c r="D164" s="41" t="s">
        <v>1992</v>
      </c>
      <c r="E164" s="41" t="s">
        <v>1882</v>
      </c>
      <c r="F164" s="41" t="s">
        <v>1883</v>
      </c>
      <c r="G164" s="41" t="s">
        <v>1884</v>
      </c>
      <c r="H164" s="41" t="s">
        <v>1871</v>
      </c>
      <c r="I164" s="41" t="s">
        <v>837</v>
      </c>
      <c r="J164" s="41" t="s">
        <v>2466</v>
      </c>
      <c r="K164" s="41" t="s">
        <v>1993</v>
      </c>
      <c r="L164" s="41" t="s">
        <v>2467</v>
      </c>
      <c r="M164" s="41" t="s">
        <v>1995</v>
      </c>
      <c r="N164" s="41" t="s">
        <v>1996</v>
      </c>
      <c r="O164" s="41" t="s">
        <v>1876</v>
      </c>
      <c r="P164" s="41" t="s">
        <v>1997</v>
      </c>
      <c r="Q164" s="41" t="s">
        <v>1881</v>
      </c>
      <c r="R164" s="41" t="s">
        <v>1998</v>
      </c>
      <c r="S164" s="41" t="s">
        <v>1999</v>
      </c>
    </row>
    <row r="165" spans="1:19" ht="74.099999999999994" customHeight="1">
      <c r="A165" s="40" t="s">
        <v>224</v>
      </c>
      <c r="B165" s="40" t="s">
        <v>2468</v>
      </c>
      <c r="C165" s="46">
        <v>8</v>
      </c>
      <c r="D165" s="40" t="s">
        <v>2001</v>
      </c>
      <c r="E165" s="40" t="s">
        <v>2002</v>
      </c>
      <c r="F165" s="40" t="s">
        <v>2003</v>
      </c>
      <c r="G165" s="40"/>
      <c r="H165" s="40" t="s">
        <v>1871</v>
      </c>
      <c r="I165" s="40"/>
      <c r="J165" s="40" t="s">
        <v>224</v>
      </c>
      <c r="K165" s="40" t="s">
        <v>2004</v>
      </c>
      <c r="L165" s="40" t="s">
        <v>2005</v>
      </c>
      <c r="M165" s="40" t="s">
        <v>2006</v>
      </c>
      <c r="N165" s="40" t="s">
        <v>2007</v>
      </c>
      <c r="O165" s="40" t="s">
        <v>1876</v>
      </c>
      <c r="P165" s="40" t="s">
        <v>2008</v>
      </c>
      <c r="Q165" s="40" t="s">
        <v>2001</v>
      </c>
      <c r="R165" s="40" t="s">
        <v>2009</v>
      </c>
      <c r="S165" s="40" t="s">
        <v>2010</v>
      </c>
    </row>
    <row r="166" spans="1:19" ht="74.099999999999994" customHeight="1">
      <c r="A166" s="41" t="s">
        <v>231</v>
      </c>
      <c r="B166" s="41" t="s">
        <v>2469</v>
      </c>
      <c r="C166" s="47">
        <v>1</v>
      </c>
      <c r="D166" s="41" t="s">
        <v>1868</v>
      </c>
      <c r="E166" s="41" t="s">
        <v>1869</v>
      </c>
      <c r="F166" s="41" t="s">
        <v>1870</v>
      </c>
      <c r="G166" s="41"/>
      <c r="H166" s="41" t="s">
        <v>1871</v>
      </c>
      <c r="I166" s="41" t="s">
        <v>845</v>
      </c>
      <c r="J166" s="41" t="s">
        <v>1669</v>
      </c>
      <c r="K166" s="41" t="s">
        <v>2470</v>
      </c>
      <c r="L166" s="41" t="s">
        <v>1873</v>
      </c>
      <c r="M166" s="41" t="s">
        <v>1874</v>
      </c>
      <c r="N166" s="41" t="s">
        <v>1875</v>
      </c>
      <c r="O166" s="41" t="s">
        <v>1876</v>
      </c>
      <c r="P166" s="41"/>
      <c r="Q166" s="41" t="s">
        <v>1877</v>
      </c>
      <c r="R166" s="41" t="s">
        <v>1878</v>
      </c>
      <c r="S166" s="41" t="s">
        <v>1879</v>
      </c>
    </row>
    <row r="167" spans="1:19" ht="74.099999999999994" customHeight="1">
      <c r="A167" s="40" t="s">
        <v>231</v>
      </c>
      <c r="B167" s="40" t="s">
        <v>2471</v>
      </c>
      <c r="C167" s="46">
        <v>2</v>
      </c>
      <c r="D167" s="40" t="s">
        <v>1881</v>
      </c>
      <c r="E167" s="40" t="s">
        <v>1882</v>
      </c>
      <c r="F167" s="40" t="s">
        <v>1883</v>
      </c>
      <c r="G167" s="40" t="s">
        <v>1884</v>
      </c>
      <c r="H167" s="40" t="s">
        <v>1871</v>
      </c>
      <c r="I167" s="40" t="s">
        <v>845</v>
      </c>
      <c r="J167" s="40" t="s">
        <v>2472</v>
      </c>
      <c r="K167" s="40" t="s">
        <v>1886</v>
      </c>
      <c r="L167" s="40" t="s">
        <v>2473</v>
      </c>
      <c r="M167" s="40" t="s">
        <v>1888</v>
      </c>
      <c r="N167" s="40" t="s">
        <v>1889</v>
      </c>
      <c r="O167" s="40" t="s">
        <v>1876</v>
      </c>
      <c r="P167" s="40"/>
      <c r="Q167" s="40" t="s">
        <v>1881</v>
      </c>
      <c r="R167" s="40" t="s">
        <v>1890</v>
      </c>
      <c r="S167" s="40" t="s">
        <v>1891</v>
      </c>
    </row>
    <row r="168" spans="1:19" ht="74.099999999999994" customHeight="1">
      <c r="A168" s="41" t="s">
        <v>231</v>
      </c>
      <c r="B168" s="41" t="s">
        <v>2474</v>
      </c>
      <c r="C168" s="47">
        <v>3</v>
      </c>
      <c r="D168" s="41" t="s">
        <v>1893</v>
      </c>
      <c r="E168" s="41" t="s">
        <v>1894</v>
      </c>
      <c r="F168" s="41" t="s">
        <v>1870</v>
      </c>
      <c r="G168" s="41"/>
      <c r="H168" s="41" t="s">
        <v>1871</v>
      </c>
      <c r="I168" s="41" t="s">
        <v>845</v>
      </c>
      <c r="J168" s="41" t="s">
        <v>231</v>
      </c>
      <c r="K168" s="41" t="s">
        <v>2017</v>
      </c>
      <c r="L168" s="41" t="s">
        <v>1896</v>
      </c>
      <c r="M168" s="41" t="s">
        <v>1897</v>
      </c>
      <c r="N168" s="41" t="s">
        <v>1898</v>
      </c>
      <c r="O168" s="41" t="s">
        <v>1876</v>
      </c>
      <c r="P168" s="41"/>
      <c r="Q168" s="41" t="s">
        <v>1899</v>
      </c>
      <c r="R168" s="41" t="s">
        <v>1900</v>
      </c>
      <c r="S168" s="41" t="s">
        <v>2018</v>
      </c>
    </row>
    <row r="169" spans="1:19" ht="74.099999999999994" customHeight="1">
      <c r="A169" s="40" t="s">
        <v>231</v>
      </c>
      <c r="B169" s="40" t="s">
        <v>2475</v>
      </c>
      <c r="C169" s="46">
        <v>4</v>
      </c>
      <c r="D169" s="40" t="s">
        <v>1883</v>
      </c>
      <c r="E169" s="40" t="s">
        <v>1903</v>
      </c>
      <c r="F169" s="40" t="s">
        <v>1883</v>
      </c>
      <c r="G169" s="40" t="s">
        <v>1904</v>
      </c>
      <c r="H169" s="40" t="s">
        <v>1871</v>
      </c>
      <c r="I169" s="40" t="s">
        <v>845</v>
      </c>
      <c r="J169" s="40" t="s">
        <v>2476</v>
      </c>
      <c r="K169" s="40" t="s">
        <v>2477</v>
      </c>
      <c r="L169" s="40" t="s">
        <v>2478</v>
      </c>
      <c r="M169" s="40" t="s">
        <v>1908</v>
      </c>
      <c r="N169" s="40" t="s">
        <v>1909</v>
      </c>
      <c r="O169" s="40" t="s">
        <v>1876</v>
      </c>
      <c r="P169" s="40" t="s">
        <v>1910</v>
      </c>
      <c r="Q169" s="40" t="s">
        <v>1911</v>
      </c>
      <c r="R169" s="40" t="s">
        <v>1912</v>
      </c>
      <c r="S169" s="40" t="s">
        <v>2479</v>
      </c>
    </row>
    <row r="170" spans="1:19" ht="74.099999999999994" customHeight="1">
      <c r="A170" s="41" t="s">
        <v>231</v>
      </c>
      <c r="B170" s="41" t="s">
        <v>2480</v>
      </c>
      <c r="C170" s="47">
        <v>5</v>
      </c>
      <c r="D170" s="41" t="s">
        <v>1883</v>
      </c>
      <c r="E170" s="41" t="s">
        <v>1915</v>
      </c>
      <c r="F170" s="41" t="s">
        <v>1883</v>
      </c>
      <c r="G170" s="41" t="s">
        <v>1915</v>
      </c>
      <c r="H170" s="41" t="s">
        <v>1871</v>
      </c>
      <c r="I170" s="41" t="s">
        <v>855</v>
      </c>
      <c r="J170" s="41" t="s">
        <v>855</v>
      </c>
      <c r="K170" s="41" t="s">
        <v>2481</v>
      </c>
      <c r="L170" s="41" t="s">
        <v>1917</v>
      </c>
      <c r="M170" s="41" t="s">
        <v>1918</v>
      </c>
      <c r="N170" s="41" t="s">
        <v>1919</v>
      </c>
      <c r="O170" s="41" t="s">
        <v>1876</v>
      </c>
      <c r="P170" s="41" t="s">
        <v>1920</v>
      </c>
      <c r="Q170" s="41" t="s">
        <v>1921</v>
      </c>
      <c r="R170" s="41" t="s">
        <v>1922</v>
      </c>
      <c r="S170" s="41" t="s">
        <v>1923</v>
      </c>
    </row>
    <row r="171" spans="1:19" ht="74.099999999999994" customHeight="1">
      <c r="A171" s="40" t="s">
        <v>231</v>
      </c>
      <c r="B171" s="40" t="s">
        <v>2482</v>
      </c>
      <c r="C171" s="46">
        <v>6</v>
      </c>
      <c r="D171" s="40" t="s">
        <v>1883</v>
      </c>
      <c r="E171" s="40" t="s">
        <v>1903</v>
      </c>
      <c r="F171" s="40" t="s">
        <v>1883</v>
      </c>
      <c r="G171" s="40" t="s">
        <v>1904</v>
      </c>
      <c r="H171" s="40" t="s">
        <v>1871</v>
      </c>
      <c r="I171" s="40" t="s">
        <v>855</v>
      </c>
      <c r="J171" s="40" t="s">
        <v>2483</v>
      </c>
      <c r="K171" s="40" t="s">
        <v>2484</v>
      </c>
      <c r="L171" s="40" t="s">
        <v>2485</v>
      </c>
      <c r="M171" s="40" t="s">
        <v>1908</v>
      </c>
      <c r="N171" s="40" t="s">
        <v>1909</v>
      </c>
      <c r="O171" s="40" t="s">
        <v>1876</v>
      </c>
      <c r="P171" s="40" t="s">
        <v>1910</v>
      </c>
      <c r="Q171" s="40" t="s">
        <v>1911</v>
      </c>
      <c r="R171" s="40" t="s">
        <v>1912</v>
      </c>
      <c r="S171" s="40" t="s">
        <v>2486</v>
      </c>
    </row>
    <row r="172" spans="1:19" ht="74.099999999999994" customHeight="1">
      <c r="A172" s="41" t="s">
        <v>231</v>
      </c>
      <c r="B172" s="41" t="s">
        <v>2487</v>
      </c>
      <c r="C172" s="47">
        <v>7</v>
      </c>
      <c r="D172" s="41" t="s">
        <v>1883</v>
      </c>
      <c r="E172" s="41" t="s">
        <v>1937</v>
      </c>
      <c r="F172" s="41" t="s">
        <v>1883</v>
      </c>
      <c r="G172" s="41" t="s">
        <v>1904</v>
      </c>
      <c r="H172" s="41" t="s">
        <v>1871</v>
      </c>
      <c r="I172" s="41" t="s">
        <v>855</v>
      </c>
      <c r="J172" s="41" t="s">
        <v>2488</v>
      </c>
      <c r="K172" s="41" t="s">
        <v>2489</v>
      </c>
      <c r="L172" s="41" t="s">
        <v>1940</v>
      </c>
      <c r="M172" s="41" t="s">
        <v>1941</v>
      </c>
      <c r="N172" s="41" t="s">
        <v>2490</v>
      </c>
      <c r="O172" s="41" t="s">
        <v>1876</v>
      </c>
      <c r="P172" s="41" t="s">
        <v>1943</v>
      </c>
      <c r="Q172" s="41" t="s">
        <v>1944</v>
      </c>
      <c r="R172" s="41" t="s">
        <v>1945</v>
      </c>
      <c r="S172" s="41" t="s">
        <v>2491</v>
      </c>
    </row>
    <row r="173" spans="1:19" ht="74.099999999999994" customHeight="1">
      <c r="A173" s="40" t="s">
        <v>231</v>
      </c>
      <c r="B173" s="40" t="s">
        <v>2492</v>
      </c>
      <c r="C173" s="46">
        <v>8</v>
      </c>
      <c r="D173" s="40" t="s">
        <v>1948</v>
      </c>
      <c r="E173" s="40" t="s">
        <v>1949</v>
      </c>
      <c r="F173" s="40" t="s">
        <v>1883</v>
      </c>
      <c r="G173" s="40" t="s">
        <v>1904</v>
      </c>
      <c r="H173" s="40" t="s">
        <v>1950</v>
      </c>
      <c r="I173" s="40" t="s">
        <v>855</v>
      </c>
      <c r="J173" s="40" t="s">
        <v>236</v>
      </c>
      <c r="K173" s="40" t="s">
        <v>2493</v>
      </c>
      <c r="L173" s="40" t="s">
        <v>1952</v>
      </c>
      <c r="M173" s="40" t="s">
        <v>1953</v>
      </c>
      <c r="N173" s="40" t="s">
        <v>1954</v>
      </c>
      <c r="O173" s="40" t="s">
        <v>1167</v>
      </c>
      <c r="P173" s="40" t="s">
        <v>1955</v>
      </c>
      <c r="Q173" s="40" t="s">
        <v>1949</v>
      </c>
      <c r="R173" s="40" t="s">
        <v>1956</v>
      </c>
      <c r="S173" s="40" t="s">
        <v>1957</v>
      </c>
    </row>
    <row r="174" spans="1:19" ht="74.099999999999994" customHeight="1">
      <c r="A174" s="41" t="s">
        <v>231</v>
      </c>
      <c r="B174" s="41" t="s">
        <v>2494</v>
      </c>
      <c r="C174" s="47">
        <v>9</v>
      </c>
      <c r="D174" s="41" t="s">
        <v>1883</v>
      </c>
      <c r="E174" s="41" t="s">
        <v>1970</v>
      </c>
      <c r="F174" s="41" t="s">
        <v>1883</v>
      </c>
      <c r="G174" s="41" t="s">
        <v>1884</v>
      </c>
      <c r="H174" s="41" t="s">
        <v>1871</v>
      </c>
      <c r="I174" s="41" t="s">
        <v>855</v>
      </c>
      <c r="J174" s="41" t="s">
        <v>2495</v>
      </c>
      <c r="K174" s="41" t="s">
        <v>2496</v>
      </c>
      <c r="L174" s="41" t="s">
        <v>2203</v>
      </c>
      <c r="M174" s="41" t="s">
        <v>2204</v>
      </c>
      <c r="N174" s="41" t="s">
        <v>2205</v>
      </c>
      <c r="O174" s="41" t="s">
        <v>1876</v>
      </c>
      <c r="P174" s="41" t="s">
        <v>1955</v>
      </c>
      <c r="Q174" s="41" t="s">
        <v>1976</v>
      </c>
      <c r="R174" s="41" t="s">
        <v>1977</v>
      </c>
      <c r="S174" s="41" t="s">
        <v>2206</v>
      </c>
    </row>
    <row r="175" spans="1:19" ht="74.099999999999994" customHeight="1">
      <c r="A175" s="40" t="s">
        <v>231</v>
      </c>
      <c r="B175" s="40" t="s">
        <v>2497</v>
      </c>
      <c r="C175" s="46">
        <v>10</v>
      </c>
      <c r="D175" s="40" t="s">
        <v>1992</v>
      </c>
      <c r="E175" s="40" t="s">
        <v>1882</v>
      </c>
      <c r="F175" s="40" t="s">
        <v>1883</v>
      </c>
      <c r="G175" s="40" t="s">
        <v>1884</v>
      </c>
      <c r="H175" s="40" t="s">
        <v>1871</v>
      </c>
      <c r="I175" s="40" t="s">
        <v>855</v>
      </c>
      <c r="J175" s="40" t="s">
        <v>2495</v>
      </c>
      <c r="K175" s="40" t="s">
        <v>1993</v>
      </c>
      <c r="L175" s="40" t="s">
        <v>2498</v>
      </c>
      <c r="M175" s="40" t="s">
        <v>1995</v>
      </c>
      <c r="N175" s="40" t="s">
        <v>1996</v>
      </c>
      <c r="O175" s="40" t="s">
        <v>1876</v>
      </c>
      <c r="P175" s="40" t="s">
        <v>1997</v>
      </c>
      <c r="Q175" s="40" t="s">
        <v>1881</v>
      </c>
      <c r="R175" s="40" t="s">
        <v>1998</v>
      </c>
      <c r="S175" s="40" t="s">
        <v>1999</v>
      </c>
    </row>
    <row r="176" spans="1:19" ht="74.099999999999994" customHeight="1">
      <c r="A176" s="41" t="s">
        <v>231</v>
      </c>
      <c r="B176" s="41" t="s">
        <v>2499</v>
      </c>
      <c r="C176" s="47">
        <v>11</v>
      </c>
      <c r="D176" s="41" t="s">
        <v>2001</v>
      </c>
      <c r="E176" s="41" t="s">
        <v>2002</v>
      </c>
      <c r="F176" s="41" t="s">
        <v>2003</v>
      </c>
      <c r="G176" s="41"/>
      <c r="H176" s="41" t="s">
        <v>1871</v>
      </c>
      <c r="I176" s="41"/>
      <c r="J176" s="41" t="s">
        <v>231</v>
      </c>
      <c r="K176" s="41" t="s">
        <v>2004</v>
      </c>
      <c r="L176" s="41" t="s">
        <v>2005</v>
      </c>
      <c r="M176" s="41" t="s">
        <v>2006</v>
      </c>
      <c r="N176" s="41" t="s">
        <v>2007</v>
      </c>
      <c r="O176" s="41" t="s">
        <v>1876</v>
      </c>
      <c r="P176" s="41" t="s">
        <v>2008</v>
      </c>
      <c r="Q176" s="41" t="s">
        <v>2001</v>
      </c>
      <c r="R176" s="41" t="s">
        <v>2009</v>
      </c>
      <c r="S176" s="41" t="s">
        <v>2010</v>
      </c>
    </row>
    <row r="177" spans="1:19" ht="74.099999999999994" customHeight="1">
      <c r="A177" s="40" t="s">
        <v>239</v>
      </c>
      <c r="B177" s="40" t="s">
        <v>2500</v>
      </c>
      <c r="C177" s="46">
        <v>1</v>
      </c>
      <c r="D177" s="40" t="s">
        <v>1868</v>
      </c>
      <c r="E177" s="40" t="s">
        <v>1869</v>
      </c>
      <c r="F177" s="40" t="s">
        <v>1870</v>
      </c>
      <c r="G177" s="40"/>
      <c r="H177" s="40" t="s">
        <v>1871</v>
      </c>
      <c r="I177" s="40" t="s">
        <v>863</v>
      </c>
      <c r="J177" s="40" t="s">
        <v>1677</v>
      </c>
      <c r="K177" s="40" t="s">
        <v>2501</v>
      </c>
      <c r="L177" s="40" t="s">
        <v>1873</v>
      </c>
      <c r="M177" s="40" t="s">
        <v>1874</v>
      </c>
      <c r="N177" s="40" t="s">
        <v>1875</v>
      </c>
      <c r="O177" s="40" t="s">
        <v>1876</v>
      </c>
      <c r="P177" s="40"/>
      <c r="Q177" s="40" t="s">
        <v>1877</v>
      </c>
      <c r="R177" s="40" t="s">
        <v>1878</v>
      </c>
      <c r="S177" s="40" t="s">
        <v>1879</v>
      </c>
    </row>
    <row r="178" spans="1:19" ht="74.099999999999994" customHeight="1">
      <c r="A178" s="41" t="s">
        <v>239</v>
      </c>
      <c r="B178" s="41" t="s">
        <v>2502</v>
      </c>
      <c r="C178" s="47">
        <v>2</v>
      </c>
      <c r="D178" s="41" t="s">
        <v>1881</v>
      </c>
      <c r="E178" s="41" t="s">
        <v>1882</v>
      </c>
      <c r="F178" s="41" t="s">
        <v>1883</v>
      </c>
      <c r="G178" s="41" t="s">
        <v>1884</v>
      </c>
      <c r="H178" s="41" t="s">
        <v>1871</v>
      </c>
      <c r="I178" s="41" t="s">
        <v>863</v>
      </c>
      <c r="J178" s="41" t="s">
        <v>2503</v>
      </c>
      <c r="K178" s="41" t="s">
        <v>1886</v>
      </c>
      <c r="L178" s="41" t="s">
        <v>2504</v>
      </c>
      <c r="M178" s="41" t="s">
        <v>1888</v>
      </c>
      <c r="N178" s="41" t="s">
        <v>1889</v>
      </c>
      <c r="O178" s="41" t="s">
        <v>1876</v>
      </c>
      <c r="P178" s="41"/>
      <c r="Q178" s="41" t="s">
        <v>1881</v>
      </c>
      <c r="R178" s="41" t="s">
        <v>1890</v>
      </c>
      <c r="S178" s="41" t="s">
        <v>1891</v>
      </c>
    </row>
    <row r="179" spans="1:19" ht="74.099999999999994" customHeight="1">
      <c r="A179" s="40" t="s">
        <v>239</v>
      </c>
      <c r="B179" s="40" t="s">
        <v>2505</v>
      </c>
      <c r="C179" s="46">
        <v>3</v>
      </c>
      <c r="D179" s="40" t="s">
        <v>1893</v>
      </c>
      <c r="E179" s="40" t="s">
        <v>1894</v>
      </c>
      <c r="F179" s="40" t="s">
        <v>1870</v>
      </c>
      <c r="G179" s="40"/>
      <c r="H179" s="40" t="s">
        <v>1871</v>
      </c>
      <c r="I179" s="40" t="s">
        <v>863</v>
      </c>
      <c r="J179" s="40" t="s">
        <v>239</v>
      </c>
      <c r="K179" s="40" t="s">
        <v>2017</v>
      </c>
      <c r="L179" s="40" t="s">
        <v>1896</v>
      </c>
      <c r="M179" s="40" t="s">
        <v>1897</v>
      </c>
      <c r="N179" s="40" t="s">
        <v>1898</v>
      </c>
      <c r="O179" s="40" t="s">
        <v>1876</v>
      </c>
      <c r="P179" s="40"/>
      <c r="Q179" s="40" t="s">
        <v>1899</v>
      </c>
      <c r="R179" s="40" t="s">
        <v>1900</v>
      </c>
      <c r="S179" s="40" t="s">
        <v>2018</v>
      </c>
    </row>
    <row r="180" spans="1:19" ht="74.099999999999994" customHeight="1">
      <c r="A180" s="41" t="s">
        <v>239</v>
      </c>
      <c r="B180" s="41" t="s">
        <v>2506</v>
      </c>
      <c r="C180" s="47">
        <v>4</v>
      </c>
      <c r="D180" s="41" t="s">
        <v>1883</v>
      </c>
      <c r="E180" s="41" t="s">
        <v>1903</v>
      </c>
      <c r="F180" s="41" t="s">
        <v>1883</v>
      </c>
      <c r="G180" s="41" t="s">
        <v>1904</v>
      </c>
      <c r="H180" s="41" t="s">
        <v>1871</v>
      </c>
      <c r="I180" s="41" t="s">
        <v>863</v>
      </c>
      <c r="J180" s="41" t="s">
        <v>2507</v>
      </c>
      <c r="K180" s="41" t="s">
        <v>2508</v>
      </c>
      <c r="L180" s="41" t="s">
        <v>2509</v>
      </c>
      <c r="M180" s="41" t="s">
        <v>1908</v>
      </c>
      <c r="N180" s="41" t="s">
        <v>1909</v>
      </c>
      <c r="O180" s="41" t="s">
        <v>1876</v>
      </c>
      <c r="P180" s="41" t="s">
        <v>1910</v>
      </c>
      <c r="Q180" s="41" t="s">
        <v>1911</v>
      </c>
      <c r="R180" s="41" t="s">
        <v>1912</v>
      </c>
      <c r="S180" s="41" t="s">
        <v>2510</v>
      </c>
    </row>
    <row r="181" spans="1:19" ht="74.099999999999994" customHeight="1">
      <c r="A181" s="40" t="s">
        <v>239</v>
      </c>
      <c r="B181" s="40" t="s">
        <v>2511</v>
      </c>
      <c r="C181" s="46">
        <v>5</v>
      </c>
      <c r="D181" s="40" t="s">
        <v>1883</v>
      </c>
      <c r="E181" s="40" t="s">
        <v>1915</v>
      </c>
      <c r="F181" s="40" t="s">
        <v>1883</v>
      </c>
      <c r="G181" s="40" t="s">
        <v>1915</v>
      </c>
      <c r="H181" s="40" t="s">
        <v>1871</v>
      </c>
      <c r="I181" s="40" t="s">
        <v>872</v>
      </c>
      <c r="J181" s="40" t="s">
        <v>872</v>
      </c>
      <c r="K181" s="40" t="s">
        <v>2512</v>
      </c>
      <c r="L181" s="40" t="s">
        <v>1917</v>
      </c>
      <c r="M181" s="40" t="s">
        <v>1918</v>
      </c>
      <c r="N181" s="40" t="s">
        <v>1919</v>
      </c>
      <c r="O181" s="40" t="s">
        <v>1876</v>
      </c>
      <c r="P181" s="40" t="s">
        <v>1920</v>
      </c>
      <c r="Q181" s="40" t="s">
        <v>1921</v>
      </c>
      <c r="R181" s="40" t="s">
        <v>1922</v>
      </c>
      <c r="S181" s="40" t="s">
        <v>1923</v>
      </c>
    </row>
    <row r="182" spans="1:19" ht="74.099999999999994" customHeight="1">
      <c r="A182" s="41" t="s">
        <v>239</v>
      </c>
      <c r="B182" s="41" t="s">
        <v>2513</v>
      </c>
      <c r="C182" s="47">
        <v>6</v>
      </c>
      <c r="D182" s="41" t="s">
        <v>1883</v>
      </c>
      <c r="E182" s="41" t="s">
        <v>1903</v>
      </c>
      <c r="F182" s="41" t="s">
        <v>1883</v>
      </c>
      <c r="G182" s="41" t="s">
        <v>1904</v>
      </c>
      <c r="H182" s="41" t="s">
        <v>1871</v>
      </c>
      <c r="I182" s="41" t="s">
        <v>872</v>
      </c>
      <c r="J182" s="41" t="s">
        <v>2514</v>
      </c>
      <c r="K182" s="41" t="s">
        <v>2515</v>
      </c>
      <c r="L182" s="41" t="s">
        <v>2069</v>
      </c>
      <c r="M182" s="41" t="s">
        <v>1908</v>
      </c>
      <c r="N182" s="41" t="s">
        <v>1909</v>
      </c>
      <c r="O182" s="41" t="s">
        <v>1876</v>
      </c>
      <c r="P182" s="41" t="s">
        <v>1910</v>
      </c>
      <c r="Q182" s="41" t="s">
        <v>1911</v>
      </c>
      <c r="R182" s="41" t="s">
        <v>1912</v>
      </c>
      <c r="S182" s="41" t="s">
        <v>2516</v>
      </c>
    </row>
    <row r="183" spans="1:19" ht="74.099999999999994" customHeight="1">
      <c r="A183" s="40" t="s">
        <v>239</v>
      </c>
      <c r="B183" s="40" t="s">
        <v>2517</v>
      </c>
      <c r="C183" s="46">
        <v>7</v>
      </c>
      <c r="D183" s="40" t="s">
        <v>1883</v>
      </c>
      <c r="E183" s="40" t="s">
        <v>1915</v>
      </c>
      <c r="F183" s="40" t="s">
        <v>1883</v>
      </c>
      <c r="G183" s="40" t="s">
        <v>1915</v>
      </c>
      <c r="H183" s="40" t="s">
        <v>1871</v>
      </c>
      <c r="I183" s="40" t="s">
        <v>878</v>
      </c>
      <c r="J183" s="40" t="s">
        <v>878</v>
      </c>
      <c r="K183" s="40" t="s">
        <v>2518</v>
      </c>
      <c r="L183" s="40" t="s">
        <v>1917</v>
      </c>
      <c r="M183" s="40" t="s">
        <v>1918</v>
      </c>
      <c r="N183" s="40" t="s">
        <v>1919</v>
      </c>
      <c r="O183" s="40" t="s">
        <v>1876</v>
      </c>
      <c r="P183" s="40" t="s">
        <v>1920</v>
      </c>
      <c r="Q183" s="40" t="s">
        <v>1921</v>
      </c>
      <c r="R183" s="40" t="s">
        <v>1922</v>
      </c>
      <c r="S183" s="40" t="s">
        <v>1923</v>
      </c>
    </row>
    <row r="184" spans="1:19" ht="74.099999999999994" customHeight="1">
      <c r="A184" s="41" t="s">
        <v>239</v>
      </c>
      <c r="B184" s="41" t="s">
        <v>2519</v>
      </c>
      <c r="C184" s="47">
        <v>8</v>
      </c>
      <c r="D184" s="41" t="s">
        <v>1883</v>
      </c>
      <c r="E184" s="41" t="s">
        <v>1903</v>
      </c>
      <c r="F184" s="41" t="s">
        <v>1883</v>
      </c>
      <c r="G184" s="41" t="s">
        <v>1904</v>
      </c>
      <c r="H184" s="41" t="s">
        <v>1871</v>
      </c>
      <c r="I184" s="41" t="s">
        <v>878</v>
      </c>
      <c r="J184" s="41" t="s">
        <v>2520</v>
      </c>
      <c r="K184" s="41" t="s">
        <v>2521</v>
      </c>
      <c r="L184" s="41" t="s">
        <v>2522</v>
      </c>
      <c r="M184" s="41" t="s">
        <v>1908</v>
      </c>
      <c r="N184" s="41" t="s">
        <v>1909</v>
      </c>
      <c r="O184" s="41" t="s">
        <v>1876</v>
      </c>
      <c r="P184" s="41" t="s">
        <v>1910</v>
      </c>
      <c r="Q184" s="41" t="s">
        <v>1911</v>
      </c>
      <c r="R184" s="41" t="s">
        <v>1912</v>
      </c>
      <c r="S184" s="41" t="s">
        <v>2523</v>
      </c>
    </row>
    <row r="185" spans="1:19" ht="74.099999999999994" customHeight="1">
      <c r="A185" s="40" t="s">
        <v>239</v>
      </c>
      <c r="B185" s="40" t="s">
        <v>2524</v>
      </c>
      <c r="C185" s="46">
        <v>9</v>
      </c>
      <c r="D185" s="40" t="s">
        <v>1883</v>
      </c>
      <c r="E185" s="40" t="s">
        <v>2072</v>
      </c>
      <c r="F185" s="40" t="s">
        <v>1883</v>
      </c>
      <c r="G185" s="40" t="s">
        <v>1915</v>
      </c>
      <c r="H185" s="40" t="s">
        <v>2073</v>
      </c>
      <c r="I185" s="40" t="s">
        <v>878</v>
      </c>
      <c r="J185" s="40" t="s">
        <v>2525</v>
      </c>
      <c r="K185" s="40" t="s">
        <v>2526</v>
      </c>
      <c r="L185" s="40" t="s">
        <v>2527</v>
      </c>
      <c r="M185" s="40" t="s">
        <v>2077</v>
      </c>
      <c r="N185" s="40" t="s">
        <v>2528</v>
      </c>
      <c r="O185" s="40" t="s">
        <v>1876</v>
      </c>
      <c r="P185" s="40" t="s">
        <v>2079</v>
      </c>
      <c r="Q185" s="40" t="s">
        <v>2080</v>
      </c>
      <c r="R185" s="40" t="s">
        <v>2081</v>
      </c>
      <c r="S185" s="40" t="s">
        <v>2529</v>
      </c>
    </row>
    <row r="186" spans="1:19" ht="74.099999999999994" customHeight="1">
      <c r="A186" s="41" t="s">
        <v>239</v>
      </c>
      <c r="B186" s="41" t="s">
        <v>2530</v>
      </c>
      <c r="C186" s="47">
        <v>10</v>
      </c>
      <c r="D186" s="41" t="s">
        <v>1883</v>
      </c>
      <c r="E186" s="41" t="s">
        <v>1915</v>
      </c>
      <c r="F186" s="41" t="s">
        <v>1883</v>
      </c>
      <c r="G186" s="41" t="s">
        <v>1915</v>
      </c>
      <c r="H186" s="41" t="s">
        <v>1871</v>
      </c>
      <c r="I186" s="41" t="s">
        <v>885</v>
      </c>
      <c r="J186" s="41" t="s">
        <v>885</v>
      </c>
      <c r="K186" s="41" t="s">
        <v>2531</v>
      </c>
      <c r="L186" s="41" t="s">
        <v>1917</v>
      </c>
      <c r="M186" s="41" t="s">
        <v>1918</v>
      </c>
      <c r="N186" s="41" t="s">
        <v>1919</v>
      </c>
      <c r="O186" s="41" t="s">
        <v>1876</v>
      </c>
      <c r="P186" s="41" t="s">
        <v>1920</v>
      </c>
      <c r="Q186" s="41" t="s">
        <v>1921</v>
      </c>
      <c r="R186" s="41" t="s">
        <v>1922</v>
      </c>
      <c r="S186" s="41" t="s">
        <v>1923</v>
      </c>
    </row>
    <row r="187" spans="1:19" ht="74.099999999999994" customHeight="1">
      <c r="A187" s="40" t="s">
        <v>239</v>
      </c>
      <c r="B187" s="40" t="s">
        <v>2532</v>
      </c>
      <c r="C187" s="46">
        <v>11</v>
      </c>
      <c r="D187" s="40" t="s">
        <v>1883</v>
      </c>
      <c r="E187" s="40" t="s">
        <v>1903</v>
      </c>
      <c r="F187" s="40" t="s">
        <v>1883</v>
      </c>
      <c r="G187" s="40" t="s">
        <v>1904</v>
      </c>
      <c r="H187" s="40" t="s">
        <v>1871</v>
      </c>
      <c r="I187" s="40" t="s">
        <v>885</v>
      </c>
      <c r="J187" s="40" t="s">
        <v>2533</v>
      </c>
      <c r="K187" s="40" t="s">
        <v>2534</v>
      </c>
      <c r="L187" s="40" t="s">
        <v>2535</v>
      </c>
      <c r="M187" s="40" t="s">
        <v>1908</v>
      </c>
      <c r="N187" s="40" t="s">
        <v>1909</v>
      </c>
      <c r="O187" s="40" t="s">
        <v>1876</v>
      </c>
      <c r="P187" s="40" t="s">
        <v>1910</v>
      </c>
      <c r="Q187" s="40" t="s">
        <v>1911</v>
      </c>
      <c r="R187" s="40" t="s">
        <v>1912</v>
      </c>
      <c r="S187" s="40" t="s">
        <v>2536</v>
      </c>
    </row>
    <row r="188" spans="1:19" ht="74.099999999999994" customHeight="1">
      <c r="A188" s="41" t="s">
        <v>239</v>
      </c>
      <c r="B188" s="41" t="s">
        <v>2537</v>
      </c>
      <c r="C188" s="47">
        <v>12</v>
      </c>
      <c r="D188" s="41" t="s">
        <v>1883</v>
      </c>
      <c r="E188" s="41" t="s">
        <v>1915</v>
      </c>
      <c r="F188" s="41" t="s">
        <v>1883</v>
      </c>
      <c r="G188" s="41" t="s">
        <v>1915</v>
      </c>
      <c r="H188" s="41" t="s">
        <v>1871</v>
      </c>
      <c r="I188" s="41" t="s">
        <v>892</v>
      </c>
      <c r="J188" s="41" t="s">
        <v>892</v>
      </c>
      <c r="K188" s="41" t="s">
        <v>2538</v>
      </c>
      <c r="L188" s="41" t="s">
        <v>1917</v>
      </c>
      <c r="M188" s="41" t="s">
        <v>1918</v>
      </c>
      <c r="N188" s="41" t="s">
        <v>1919</v>
      </c>
      <c r="O188" s="41" t="s">
        <v>1876</v>
      </c>
      <c r="P188" s="41" t="s">
        <v>1920</v>
      </c>
      <c r="Q188" s="41" t="s">
        <v>1921</v>
      </c>
      <c r="R188" s="41" t="s">
        <v>1922</v>
      </c>
      <c r="S188" s="41" t="s">
        <v>1923</v>
      </c>
    </row>
    <row r="189" spans="1:19" ht="74.099999999999994" customHeight="1">
      <c r="A189" s="40" t="s">
        <v>239</v>
      </c>
      <c r="B189" s="40" t="s">
        <v>2539</v>
      </c>
      <c r="C189" s="46">
        <v>13</v>
      </c>
      <c r="D189" s="40" t="s">
        <v>1883</v>
      </c>
      <c r="E189" s="40" t="s">
        <v>1903</v>
      </c>
      <c r="F189" s="40" t="s">
        <v>1883</v>
      </c>
      <c r="G189" s="40" t="s">
        <v>1904</v>
      </c>
      <c r="H189" s="40" t="s">
        <v>1871</v>
      </c>
      <c r="I189" s="40" t="s">
        <v>892</v>
      </c>
      <c r="J189" s="40" t="s">
        <v>2540</v>
      </c>
      <c r="K189" s="40" t="s">
        <v>2541</v>
      </c>
      <c r="L189" s="40" t="s">
        <v>2542</v>
      </c>
      <c r="M189" s="40" t="s">
        <v>1908</v>
      </c>
      <c r="N189" s="40" t="s">
        <v>1909</v>
      </c>
      <c r="O189" s="40" t="s">
        <v>1876</v>
      </c>
      <c r="P189" s="40" t="s">
        <v>1910</v>
      </c>
      <c r="Q189" s="40" t="s">
        <v>1911</v>
      </c>
      <c r="R189" s="40" t="s">
        <v>1912</v>
      </c>
      <c r="S189" s="40" t="s">
        <v>2543</v>
      </c>
    </row>
    <row r="190" spans="1:19" ht="74.099999999999994" customHeight="1">
      <c r="A190" s="41" t="s">
        <v>239</v>
      </c>
      <c r="B190" s="41" t="s">
        <v>2544</v>
      </c>
      <c r="C190" s="47">
        <v>14</v>
      </c>
      <c r="D190" s="41" t="s">
        <v>1883</v>
      </c>
      <c r="E190" s="41" t="s">
        <v>1937</v>
      </c>
      <c r="F190" s="41" t="s">
        <v>1883</v>
      </c>
      <c r="G190" s="41" t="s">
        <v>1904</v>
      </c>
      <c r="H190" s="41" t="s">
        <v>1871</v>
      </c>
      <c r="I190" s="41" t="s">
        <v>892</v>
      </c>
      <c r="J190" s="41" t="s">
        <v>2545</v>
      </c>
      <c r="K190" s="41" t="s">
        <v>2546</v>
      </c>
      <c r="L190" s="41" t="s">
        <v>1940</v>
      </c>
      <c r="M190" s="41" t="s">
        <v>1941</v>
      </c>
      <c r="N190" s="41" t="s">
        <v>2547</v>
      </c>
      <c r="O190" s="41" t="s">
        <v>1876</v>
      </c>
      <c r="P190" s="41" t="s">
        <v>1943</v>
      </c>
      <c r="Q190" s="41" t="s">
        <v>1944</v>
      </c>
      <c r="R190" s="41" t="s">
        <v>1945</v>
      </c>
      <c r="S190" s="41" t="s">
        <v>2548</v>
      </c>
    </row>
    <row r="191" spans="1:19" ht="74.099999999999994" customHeight="1">
      <c r="A191" s="40" t="s">
        <v>239</v>
      </c>
      <c r="B191" s="40" t="s">
        <v>2549</v>
      </c>
      <c r="C191" s="46">
        <v>15</v>
      </c>
      <c r="D191" s="40" t="s">
        <v>1883</v>
      </c>
      <c r="E191" s="40" t="s">
        <v>1980</v>
      </c>
      <c r="F191" s="40" t="s">
        <v>1883</v>
      </c>
      <c r="G191" s="40" t="s">
        <v>1981</v>
      </c>
      <c r="H191" s="40" t="s">
        <v>1871</v>
      </c>
      <c r="I191" s="40" t="s">
        <v>892</v>
      </c>
      <c r="J191" s="40" t="s">
        <v>2550</v>
      </c>
      <c r="K191" s="40" t="s">
        <v>2551</v>
      </c>
      <c r="L191" s="40" t="s">
        <v>1984</v>
      </c>
      <c r="M191" s="40" t="s">
        <v>1985</v>
      </c>
      <c r="N191" s="40" t="s">
        <v>2048</v>
      </c>
      <c r="O191" s="40" t="s">
        <v>1876</v>
      </c>
      <c r="P191" s="40" t="s">
        <v>1955</v>
      </c>
      <c r="Q191" s="40" t="s">
        <v>1988</v>
      </c>
      <c r="R191" s="40" t="s">
        <v>1989</v>
      </c>
      <c r="S191" s="40" t="s">
        <v>1990</v>
      </c>
    </row>
    <row r="192" spans="1:19" ht="74.099999999999994" customHeight="1">
      <c r="A192" s="41" t="s">
        <v>239</v>
      </c>
      <c r="B192" s="41" t="s">
        <v>2552</v>
      </c>
      <c r="C192" s="47">
        <v>16</v>
      </c>
      <c r="D192" s="41" t="s">
        <v>1992</v>
      </c>
      <c r="E192" s="41" t="s">
        <v>1882</v>
      </c>
      <c r="F192" s="41" t="s">
        <v>1883</v>
      </c>
      <c r="G192" s="41" t="s">
        <v>1884</v>
      </c>
      <c r="H192" s="41" t="s">
        <v>1871</v>
      </c>
      <c r="I192" s="41" t="s">
        <v>892</v>
      </c>
      <c r="J192" s="41" t="s">
        <v>2553</v>
      </c>
      <c r="K192" s="41" t="s">
        <v>1993</v>
      </c>
      <c r="L192" s="41" t="s">
        <v>2554</v>
      </c>
      <c r="M192" s="41" t="s">
        <v>1995</v>
      </c>
      <c r="N192" s="41" t="s">
        <v>1996</v>
      </c>
      <c r="O192" s="41" t="s">
        <v>1876</v>
      </c>
      <c r="P192" s="41" t="s">
        <v>1997</v>
      </c>
      <c r="Q192" s="41" t="s">
        <v>1881</v>
      </c>
      <c r="R192" s="41" t="s">
        <v>1998</v>
      </c>
      <c r="S192" s="41" t="s">
        <v>1999</v>
      </c>
    </row>
    <row r="193" spans="1:19" ht="74.099999999999994" customHeight="1">
      <c r="A193" s="40" t="s">
        <v>239</v>
      </c>
      <c r="B193" s="40" t="s">
        <v>2555</v>
      </c>
      <c r="C193" s="46">
        <v>17</v>
      </c>
      <c r="D193" s="40" t="s">
        <v>2001</v>
      </c>
      <c r="E193" s="40" t="s">
        <v>2002</v>
      </c>
      <c r="F193" s="40" t="s">
        <v>2003</v>
      </c>
      <c r="G193" s="40"/>
      <c r="H193" s="40" t="s">
        <v>1871</v>
      </c>
      <c r="I193" s="40"/>
      <c r="J193" s="40" t="s">
        <v>239</v>
      </c>
      <c r="K193" s="40" t="s">
        <v>2004</v>
      </c>
      <c r="L193" s="40" t="s">
        <v>2005</v>
      </c>
      <c r="M193" s="40" t="s">
        <v>2006</v>
      </c>
      <c r="N193" s="40" t="s">
        <v>2007</v>
      </c>
      <c r="O193" s="40" t="s">
        <v>1876</v>
      </c>
      <c r="P193" s="40" t="s">
        <v>2008</v>
      </c>
      <c r="Q193" s="40" t="s">
        <v>2001</v>
      </c>
      <c r="R193" s="40" t="s">
        <v>2009</v>
      </c>
      <c r="S193" s="40" t="s">
        <v>2010</v>
      </c>
    </row>
    <row r="194" spans="1:19" ht="74.099999999999994" customHeight="1">
      <c r="A194" s="41" t="s">
        <v>247</v>
      </c>
      <c r="B194" s="41" t="s">
        <v>2556</v>
      </c>
      <c r="C194" s="47">
        <v>1</v>
      </c>
      <c r="D194" s="41" t="s">
        <v>1868</v>
      </c>
      <c r="E194" s="41" t="s">
        <v>1869</v>
      </c>
      <c r="F194" s="41" t="s">
        <v>1870</v>
      </c>
      <c r="G194" s="41"/>
      <c r="H194" s="41" t="s">
        <v>1871</v>
      </c>
      <c r="I194" s="41" t="s">
        <v>899</v>
      </c>
      <c r="J194" s="41" t="s">
        <v>1685</v>
      </c>
      <c r="K194" s="41" t="s">
        <v>2557</v>
      </c>
      <c r="L194" s="41" t="s">
        <v>1873</v>
      </c>
      <c r="M194" s="41" t="s">
        <v>1874</v>
      </c>
      <c r="N194" s="41" t="s">
        <v>1875</v>
      </c>
      <c r="O194" s="41" t="s">
        <v>1876</v>
      </c>
      <c r="P194" s="41"/>
      <c r="Q194" s="41" t="s">
        <v>1877</v>
      </c>
      <c r="R194" s="41" t="s">
        <v>1878</v>
      </c>
      <c r="S194" s="41" t="s">
        <v>1879</v>
      </c>
    </row>
    <row r="195" spans="1:19" ht="74.099999999999994" customHeight="1">
      <c r="A195" s="40" t="s">
        <v>247</v>
      </c>
      <c r="B195" s="40" t="s">
        <v>2558</v>
      </c>
      <c r="C195" s="46">
        <v>2</v>
      </c>
      <c r="D195" s="40" t="s">
        <v>1881</v>
      </c>
      <c r="E195" s="40" t="s">
        <v>1882</v>
      </c>
      <c r="F195" s="40" t="s">
        <v>1883</v>
      </c>
      <c r="G195" s="40" t="s">
        <v>1884</v>
      </c>
      <c r="H195" s="40" t="s">
        <v>1871</v>
      </c>
      <c r="I195" s="40" t="s">
        <v>899</v>
      </c>
      <c r="J195" s="40" t="s">
        <v>2559</v>
      </c>
      <c r="K195" s="40" t="s">
        <v>1886</v>
      </c>
      <c r="L195" s="40" t="s">
        <v>2560</v>
      </c>
      <c r="M195" s="40" t="s">
        <v>1888</v>
      </c>
      <c r="N195" s="40" t="s">
        <v>1889</v>
      </c>
      <c r="O195" s="40" t="s">
        <v>1876</v>
      </c>
      <c r="P195" s="40"/>
      <c r="Q195" s="40" t="s">
        <v>1881</v>
      </c>
      <c r="R195" s="40" t="s">
        <v>1890</v>
      </c>
      <c r="S195" s="40" t="s">
        <v>1891</v>
      </c>
    </row>
    <row r="196" spans="1:19" ht="74.099999999999994" customHeight="1">
      <c r="A196" s="41" t="s">
        <v>247</v>
      </c>
      <c r="B196" s="41" t="s">
        <v>2561</v>
      </c>
      <c r="C196" s="47">
        <v>3</v>
      </c>
      <c r="D196" s="41" t="s">
        <v>1893</v>
      </c>
      <c r="E196" s="41" t="s">
        <v>1894</v>
      </c>
      <c r="F196" s="41" t="s">
        <v>1870</v>
      </c>
      <c r="G196" s="41"/>
      <c r="H196" s="41" t="s">
        <v>1871</v>
      </c>
      <c r="I196" s="41" t="s">
        <v>899</v>
      </c>
      <c r="J196" s="41" t="s">
        <v>247</v>
      </c>
      <c r="K196" s="41" t="s">
        <v>2017</v>
      </c>
      <c r="L196" s="41" t="s">
        <v>1896</v>
      </c>
      <c r="M196" s="41" t="s">
        <v>1897</v>
      </c>
      <c r="N196" s="41" t="s">
        <v>1898</v>
      </c>
      <c r="O196" s="41" t="s">
        <v>1876</v>
      </c>
      <c r="P196" s="41"/>
      <c r="Q196" s="41" t="s">
        <v>1899</v>
      </c>
      <c r="R196" s="41" t="s">
        <v>1900</v>
      </c>
      <c r="S196" s="41" t="s">
        <v>2018</v>
      </c>
    </row>
    <row r="197" spans="1:19" ht="74.099999999999994" customHeight="1">
      <c r="A197" s="40" t="s">
        <v>247</v>
      </c>
      <c r="B197" s="40" t="s">
        <v>2562</v>
      </c>
      <c r="C197" s="46">
        <v>4</v>
      </c>
      <c r="D197" s="40" t="s">
        <v>1883</v>
      </c>
      <c r="E197" s="40" t="s">
        <v>1903</v>
      </c>
      <c r="F197" s="40" t="s">
        <v>1883</v>
      </c>
      <c r="G197" s="40" t="s">
        <v>1904</v>
      </c>
      <c r="H197" s="40" t="s">
        <v>1871</v>
      </c>
      <c r="I197" s="40" t="s">
        <v>899</v>
      </c>
      <c r="J197" s="40" t="s">
        <v>2563</v>
      </c>
      <c r="K197" s="40" t="s">
        <v>2564</v>
      </c>
      <c r="L197" s="40" t="s">
        <v>2565</v>
      </c>
      <c r="M197" s="40" t="s">
        <v>1908</v>
      </c>
      <c r="N197" s="40" t="s">
        <v>1909</v>
      </c>
      <c r="O197" s="40" t="s">
        <v>1876</v>
      </c>
      <c r="P197" s="40" t="s">
        <v>1910</v>
      </c>
      <c r="Q197" s="40" t="s">
        <v>1911</v>
      </c>
      <c r="R197" s="40" t="s">
        <v>1912</v>
      </c>
      <c r="S197" s="40" t="s">
        <v>2566</v>
      </c>
    </row>
    <row r="198" spans="1:19" ht="74.099999999999994" customHeight="1">
      <c r="A198" s="41" t="s">
        <v>247</v>
      </c>
      <c r="B198" s="41" t="s">
        <v>2567</v>
      </c>
      <c r="C198" s="47">
        <v>5</v>
      </c>
      <c r="D198" s="41" t="s">
        <v>1883</v>
      </c>
      <c r="E198" s="41" t="s">
        <v>1915</v>
      </c>
      <c r="F198" s="41" t="s">
        <v>1883</v>
      </c>
      <c r="G198" s="41" t="s">
        <v>1915</v>
      </c>
      <c r="H198" s="41" t="s">
        <v>1871</v>
      </c>
      <c r="I198" s="41" t="s">
        <v>907</v>
      </c>
      <c r="J198" s="41" t="s">
        <v>907</v>
      </c>
      <c r="K198" s="41" t="s">
        <v>2568</v>
      </c>
      <c r="L198" s="41" t="s">
        <v>1917</v>
      </c>
      <c r="M198" s="41" t="s">
        <v>1918</v>
      </c>
      <c r="N198" s="41" t="s">
        <v>1919</v>
      </c>
      <c r="O198" s="41" t="s">
        <v>1876</v>
      </c>
      <c r="P198" s="41" t="s">
        <v>1920</v>
      </c>
      <c r="Q198" s="41" t="s">
        <v>1921</v>
      </c>
      <c r="R198" s="41" t="s">
        <v>1922</v>
      </c>
      <c r="S198" s="41" t="s">
        <v>1923</v>
      </c>
    </row>
    <row r="199" spans="1:19" ht="74.099999999999994" customHeight="1">
      <c r="A199" s="40" t="s">
        <v>247</v>
      </c>
      <c r="B199" s="40" t="s">
        <v>2569</v>
      </c>
      <c r="C199" s="46">
        <v>6</v>
      </c>
      <c r="D199" s="40" t="s">
        <v>1883</v>
      </c>
      <c r="E199" s="40" t="s">
        <v>1903</v>
      </c>
      <c r="F199" s="40" t="s">
        <v>1883</v>
      </c>
      <c r="G199" s="40" t="s">
        <v>1904</v>
      </c>
      <c r="H199" s="40" t="s">
        <v>1871</v>
      </c>
      <c r="I199" s="40" t="s">
        <v>907</v>
      </c>
      <c r="J199" s="40" t="s">
        <v>2570</v>
      </c>
      <c r="K199" s="40" t="s">
        <v>2571</v>
      </c>
      <c r="L199" s="40" t="s">
        <v>2572</v>
      </c>
      <c r="M199" s="40" t="s">
        <v>1908</v>
      </c>
      <c r="N199" s="40" t="s">
        <v>1909</v>
      </c>
      <c r="O199" s="40" t="s">
        <v>1876</v>
      </c>
      <c r="P199" s="40" t="s">
        <v>1910</v>
      </c>
      <c r="Q199" s="40" t="s">
        <v>1911</v>
      </c>
      <c r="R199" s="40" t="s">
        <v>1912</v>
      </c>
      <c r="S199" s="40" t="s">
        <v>2573</v>
      </c>
    </row>
    <row r="200" spans="1:19" ht="74.099999999999994" customHeight="1">
      <c r="A200" s="41" t="s">
        <v>247</v>
      </c>
      <c r="B200" s="41" t="s">
        <v>2574</v>
      </c>
      <c r="C200" s="47">
        <v>7</v>
      </c>
      <c r="D200" s="41" t="s">
        <v>1883</v>
      </c>
      <c r="E200" s="41" t="s">
        <v>1937</v>
      </c>
      <c r="F200" s="41" t="s">
        <v>1883</v>
      </c>
      <c r="G200" s="41" t="s">
        <v>1904</v>
      </c>
      <c r="H200" s="41" t="s">
        <v>1871</v>
      </c>
      <c r="I200" s="41" t="s">
        <v>907</v>
      </c>
      <c r="J200" s="41" t="s">
        <v>2575</v>
      </c>
      <c r="K200" s="41" t="s">
        <v>2576</v>
      </c>
      <c r="L200" s="41" t="s">
        <v>1940</v>
      </c>
      <c r="M200" s="41" t="s">
        <v>1941</v>
      </c>
      <c r="N200" s="41" t="s">
        <v>2577</v>
      </c>
      <c r="O200" s="41" t="s">
        <v>1876</v>
      </c>
      <c r="P200" s="41" t="s">
        <v>1943</v>
      </c>
      <c r="Q200" s="41" t="s">
        <v>1944</v>
      </c>
      <c r="R200" s="41" t="s">
        <v>1945</v>
      </c>
      <c r="S200" s="41" t="s">
        <v>2578</v>
      </c>
    </row>
    <row r="201" spans="1:19" ht="74.099999999999994" customHeight="1">
      <c r="A201" s="40" t="s">
        <v>247</v>
      </c>
      <c r="B201" s="40" t="s">
        <v>2579</v>
      </c>
      <c r="C201" s="46">
        <v>8</v>
      </c>
      <c r="D201" s="40" t="s">
        <v>1992</v>
      </c>
      <c r="E201" s="40" t="s">
        <v>1882</v>
      </c>
      <c r="F201" s="40" t="s">
        <v>1883</v>
      </c>
      <c r="G201" s="40" t="s">
        <v>1884</v>
      </c>
      <c r="H201" s="40" t="s">
        <v>1871</v>
      </c>
      <c r="I201" s="40" t="s">
        <v>907</v>
      </c>
      <c r="J201" s="40" t="s">
        <v>2580</v>
      </c>
      <c r="K201" s="40" t="s">
        <v>1993</v>
      </c>
      <c r="L201" s="40" t="s">
        <v>2581</v>
      </c>
      <c r="M201" s="40" t="s">
        <v>1995</v>
      </c>
      <c r="N201" s="40" t="s">
        <v>1996</v>
      </c>
      <c r="O201" s="40" t="s">
        <v>1876</v>
      </c>
      <c r="P201" s="40" t="s">
        <v>1997</v>
      </c>
      <c r="Q201" s="40" t="s">
        <v>1881</v>
      </c>
      <c r="R201" s="40" t="s">
        <v>1998</v>
      </c>
      <c r="S201" s="40" t="s">
        <v>1999</v>
      </c>
    </row>
    <row r="202" spans="1:19" ht="74.099999999999994" customHeight="1">
      <c r="A202" s="41" t="s">
        <v>247</v>
      </c>
      <c r="B202" s="41" t="s">
        <v>2582</v>
      </c>
      <c r="C202" s="47">
        <v>9</v>
      </c>
      <c r="D202" s="41" t="s">
        <v>2001</v>
      </c>
      <c r="E202" s="41" t="s">
        <v>2002</v>
      </c>
      <c r="F202" s="41" t="s">
        <v>2003</v>
      </c>
      <c r="G202" s="41"/>
      <c r="H202" s="41" t="s">
        <v>1871</v>
      </c>
      <c r="I202" s="41"/>
      <c r="J202" s="41" t="s">
        <v>247</v>
      </c>
      <c r="K202" s="41" t="s">
        <v>2004</v>
      </c>
      <c r="L202" s="41" t="s">
        <v>2005</v>
      </c>
      <c r="M202" s="41" t="s">
        <v>2006</v>
      </c>
      <c r="N202" s="41" t="s">
        <v>2007</v>
      </c>
      <c r="O202" s="41" t="s">
        <v>1876</v>
      </c>
      <c r="P202" s="41" t="s">
        <v>2008</v>
      </c>
      <c r="Q202" s="41" t="s">
        <v>2001</v>
      </c>
      <c r="R202" s="41" t="s">
        <v>2009</v>
      </c>
      <c r="S202" s="41" t="s">
        <v>2010</v>
      </c>
    </row>
    <row r="203" spans="1:19" ht="74.099999999999994" customHeight="1">
      <c r="A203" s="40" t="s">
        <v>255</v>
      </c>
      <c r="B203" s="40" t="s">
        <v>2583</v>
      </c>
      <c r="C203" s="46">
        <v>1</v>
      </c>
      <c r="D203" s="40" t="s">
        <v>1868</v>
      </c>
      <c r="E203" s="40" t="s">
        <v>1869</v>
      </c>
      <c r="F203" s="40" t="s">
        <v>1870</v>
      </c>
      <c r="G203" s="40"/>
      <c r="H203" s="40" t="s">
        <v>1871</v>
      </c>
      <c r="I203" s="40" t="s">
        <v>916</v>
      </c>
      <c r="J203" s="40" t="s">
        <v>1694</v>
      </c>
      <c r="K203" s="40" t="s">
        <v>2584</v>
      </c>
      <c r="L203" s="40" t="s">
        <v>1873</v>
      </c>
      <c r="M203" s="40" t="s">
        <v>1874</v>
      </c>
      <c r="N203" s="40" t="s">
        <v>1875</v>
      </c>
      <c r="O203" s="40" t="s">
        <v>1876</v>
      </c>
      <c r="P203" s="40"/>
      <c r="Q203" s="40" t="s">
        <v>1877</v>
      </c>
      <c r="R203" s="40" t="s">
        <v>1878</v>
      </c>
      <c r="S203" s="40" t="s">
        <v>1879</v>
      </c>
    </row>
    <row r="204" spans="1:19" ht="74.099999999999994" customHeight="1">
      <c r="A204" s="41" t="s">
        <v>255</v>
      </c>
      <c r="B204" s="41" t="s">
        <v>2585</v>
      </c>
      <c r="C204" s="47">
        <v>2</v>
      </c>
      <c r="D204" s="41" t="s">
        <v>1881</v>
      </c>
      <c r="E204" s="41" t="s">
        <v>1882</v>
      </c>
      <c r="F204" s="41" t="s">
        <v>1883</v>
      </c>
      <c r="G204" s="41" t="s">
        <v>1884</v>
      </c>
      <c r="H204" s="41" t="s">
        <v>1871</v>
      </c>
      <c r="I204" s="41" t="s">
        <v>916</v>
      </c>
      <c r="J204" s="41" t="s">
        <v>2586</v>
      </c>
      <c r="K204" s="41" t="s">
        <v>1886</v>
      </c>
      <c r="L204" s="41" t="s">
        <v>2587</v>
      </c>
      <c r="M204" s="41" t="s">
        <v>1888</v>
      </c>
      <c r="N204" s="41" t="s">
        <v>1889</v>
      </c>
      <c r="O204" s="41" t="s">
        <v>1876</v>
      </c>
      <c r="P204" s="41"/>
      <c r="Q204" s="41" t="s">
        <v>1881</v>
      </c>
      <c r="R204" s="41" t="s">
        <v>1890</v>
      </c>
      <c r="S204" s="41" t="s">
        <v>1891</v>
      </c>
    </row>
    <row r="205" spans="1:19" ht="74.099999999999994" customHeight="1">
      <c r="A205" s="40" t="s">
        <v>255</v>
      </c>
      <c r="B205" s="40" t="s">
        <v>2588</v>
      </c>
      <c r="C205" s="46">
        <v>3</v>
      </c>
      <c r="D205" s="40" t="s">
        <v>1893</v>
      </c>
      <c r="E205" s="40" t="s">
        <v>1894</v>
      </c>
      <c r="F205" s="40" t="s">
        <v>1870</v>
      </c>
      <c r="G205" s="40"/>
      <c r="H205" s="40" t="s">
        <v>1871</v>
      </c>
      <c r="I205" s="40" t="s">
        <v>916</v>
      </c>
      <c r="J205" s="40" t="s">
        <v>255</v>
      </c>
      <c r="K205" s="40" t="s">
        <v>2017</v>
      </c>
      <c r="L205" s="40" t="s">
        <v>1896</v>
      </c>
      <c r="M205" s="40" t="s">
        <v>1897</v>
      </c>
      <c r="N205" s="40" t="s">
        <v>1898</v>
      </c>
      <c r="O205" s="40" t="s">
        <v>1876</v>
      </c>
      <c r="P205" s="40"/>
      <c r="Q205" s="40" t="s">
        <v>1899</v>
      </c>
      <c r="R205" s="40" t="s">
        <v>1900</v>
      </c>
      <c r="S205" s="40" t="s">
        <v>2018</v>
      </c>
    </row>
    <row r="206" spans="1:19" ht="74.099999999999994" customHeight="1">
      <c r="A206" s="41" t="s">
        <v>255</v>
      </c>
      <c r="B206" s="41" t="s">
        <v>2589</v>
      </c>
      <c r="C206" s="47">
        <v>4</v>
      </c>
      <c r="D206" s="41" t="s">
        <v>1883</v>
      </c>
      <c r="E206" s="41" t="s">
        <v>1903</v>
      </c>
      <c r="F206" s="41" t="s">
        <v>1883</v>
      </c>
      <c r="G206" s="41" t="s">
        <v>1904</v>
      </c>
      <c r="H206" s="41" t="s">
        <v>1871</v>
      </c>
      <c r="I206" s="41" t="s">
        <v>916</v>
      </c>
      <c r="J206" s="41" t="s">
        <v>2590</v>
      </c>
      <c r="K206" s="41" t="s">
        <v>2591</v>
      </c>
      <c r="L206" s="41" t="s">
        <v>2062</v>
      </c>
      <c r="M206" s="41" t="s">
        <v>1908</v>
      </c>
      <c r="N206" s="41" t="s">
        <v>1909</v>
      </c>
      <c r="O206" s="41" t="s">
        <v>1876</v>
      </c>
      <c r="P206" s="41" t="s">
        <v>1910</v>
      </c>
      <c r="Q206" s="41" t="s">
        <v>1911</v>
      </c>
      <c r="R206" s="41" t="s">
        <v>1912</v>
      </c>
      <c r="S206" s="41" t="s">
        <v>2592</v>
      </c>
    </row>
    <row r="207" spans="1:19" ht="74.099999999999994" customHeight="1">
      <c r="A207" s="40" t="s">
        <v>255</v>
      </c>
      <c r="B207" s="40" t="s">
        <v>2593</v>
      </c>
      <c r="C207" s="46">
        <v>5</v>
      </c>
      <c r="D207" s="40" t="s">
        <v>1883</v>
      </c>
      <c r="E207" s="40" t="s">
        <v>1937</v>
      </c>
      <c r="F207" s="40" t="s">
        <v>1883</v>
      </c>
      <c r="G207" s="40" t="s">
        <v>1904</v>
      </c>
      <c r="H207" s="40" t="s">
        <v>1871</v>
      </c>
      <c r="I207" s="40" t="s">
        <v>916</v>
      </c>
      <c r="J207" s="40" t="s">
        <v>2594</v>
      </c>
      <c r="K207" s="40" t="s">
        <v>2595</v>
      </c>
      <c r="L207" s="40" t="s">
        <v>1940</v>
      </c>
      <c r="M207" s="40" t="s">
        <v>1941</v>
      </c>
      <c r="N207" s="40" t="s">
        <v>2596</v>
      </c>
      <c r="O207" s="40" t="s">
        <v>1876</v>
      </c>
      <c r="P207" s="40" t="s">
        <v>1943</v>
      </c>
      <c r="Q207" s="40" t="s">
        <v>1944</v>
      </c>
      <c r="R207" s="40" t="s">
        <v>1945</v>
      </c>
      <c r="S207" s="40" t="s">
        <v>2597</v>
      </c>
    </row>
    <row r="208" spans="1:19" ht="74.099999999999994" customHeight="1">
      <c r="A208" s="41" t="s">
        <v>255</v>
      </c>
      <c r="B208" s="41" t="s">
        <v>2598</v>
      </c>
      <c r="C208" s="47">
        <v>6</v>
      </c>
      <c r="D208" s="41" t="s">
        <v>1992</v>
      </c>
      <c r="E208" s="41" t="s">
        <v>1882</v>
      </c>
      <c r="F208" s="41" t="s">
        <v>1883</v>
      </c>
      <c r="G208" s="41" t="s">
        <v>1884</v>
      </c>
      <c r="H208" s="41" t="s">
        <v>1871</v>
      </c>
      <c r="I208" s="41" t="s">
        <v>916</v>
      </c>
      <c r="J208" s="41" t="s">
        <v>2599</v>
      </c>
      <c r="K208" s="41" t="s">
        <v>1993</v>
      </c>
      <c r="L208" s="41" t="s">
        <v>2600</v>
      </c>
      <c r="M208" s="41" t="s">
        <v>1995</v>
      </c>
      <c r="N208" s="41" t="s">
        <v>1996</v>
      </c>
      <c r="O208" s="41" t="s">
        <v>1876</v>
      </c>
      <c r="P208" s="41" t="s">
        <v>1997</v>
      </c>
      <c r="Q208" s="41" t="s">
        <v>1881</v>
      </c>
      <c r="R208" s="41" t="s">
        <v>1998</v>
      </c>
      <c r="S208" s="41" t="s">
        <v>1999</v>
      </c>
    </row>
    <row r="209" spans="1:19" ht="74.099999999999994" customHeight="1">
      <c r="A209" s="40" t="s">
        <v>255</v>
      </c>
      <c r="B209" s="40" t="s">
        <v>2601</v>
      </c>
      <c r="C209" s="46">
        <v>7</v>
      </c>
      <c r="D209" s="40" t="s">
        <v>2001</v>
      </c>
      <c r="E209" s="40" t="s">
        <v>2002</v>
      </c>
      <c r="F209" s="40" t="s">
        <v>2003</v>
      </c>
      <c r="G209" s="40"/>
      <c r="H209" s="40" t="s">
        <v>1871</v>
      </c>
      <c r="I209" s="40"/>
      <c r="J209" s="40" t="s">
        <v>255</v>
      </c>
      <c r="K209" s="40" t="s">
        <v>2004</v>
      </c>
      <c r="L209" s="40" t="s">
        <v>2005</v>
      </c>
      <c r="M209" s="40" t="s">
        <v>2006</v>
      </c>
      <c r="N209" s="40" t="s">
        <v>2007</v>
      </c>
      <c r="O209" s="40" t="s">
        <v>1876</v>
      </c>
      <c r="P209" s="40" t="s">
        <v>2008</v>
      </c>
      <c r="Q209" s="40" t="s">
        <v>2001</v>
      </c>
      <c r="R209" s="40" t="s">
        <v>2009</v>
      </c>
      <c r="S209" s="40" t="s">
        <v>2010</v>
      </c>
    </row>
    <row r="210" spans="1:19" ht="74.099999999999994" customHeight="1">
      <c r="A210" s="41" t="s">
        <v>262</v>
      </c>
      <c r="B210" s="41" t="s">
        <v>2602</v>
      </c>
      <c r="C210" s="47">
        <v>1</v>
      </c>
      <c r="D210" s="41" t="s">
        <v>1868</v>
      </c>
      <c r="E210" s="41" t="s">
        <v>1869</v>
      </c>
      <c r="F210" s="41" t="s">
        <v>1870</v>
      </c>
      <c r="G210" s="41"/>
      <c r="H210" s="41" t="s">
        <v>1871</v>
      </c>
      <c r="I210" s="41" t="s">
        <v>922</v>
      </c>
      <c r="J210" s="41" t="s">
        <v>1700</v>
      </c>
      <c r="K210" s="41" t="s">
        <v>2603</v>
      </c>
      <c r="L210" s="41" t="s">
        <v>1873</v>
      </c>
      <c r="M210" s="41" t="s">
        <v>1874</v>
      </c>
      <c r="N210" s="41" t="s">
        <v>1875</v>
      </c>
      <c r="O210" s="41" t="s">
        <v>1876</v>
      </c>
      <c r="P210" s="41"/>
      <c r="Q210" s="41" t="s">
        <v>1877</v>
      </c>
      <c r="R210" s="41" t="s">
        <v>1878</v>
      </c>
      <c r="S210" s="41" t="s">
        <v>1879</v>
      </c>
    </row>
    <row r="211" spans="1:19" ht="74.099999999999994" customHeight="1">
      <c r="A211" s="40" t="s">
        <v>262</v>
      </c>
      <c r="B211" s="40" t="s">
        <v>2604</v>
      </c>
      <c r="C211" s="46">
        <v>2</v>
      </c>
      <c r="D211" s="40" t="s">
        <v>1881</v>
      </c>
      <c r="E211" s="40" t="s">
        <v>1882</v>
      </c>
      <c r="F211" s="40" t="s">
        <v>1883</v>
      </c>
      <c r="G211" s="40" t="s">
        <v>1884</v>
      </c>
      <c r="H211" s="40" t="s">
        <v>1871</v>
      </c>
      <c r="I211" s="40" t="s">
        <v>922</v>
      </c>
      <c r="J211" s="40" t="s">
        <v>2605</v>
      </c>
      <c r="K211" s="40" t="s">
        <v>1886</v>
      </c>
      <c r="L211" s="40" t="s">
        <v>2606</v>
      </c>
      <c r="M211" s="40" t="s">
        <v>1888</v>
      </c>
      <c r="N211" s="40" t="s">
        <v>1889</v>
      </c>
      <c r="O211" s="40" t="s">
        <v>1876</v>
      </c>
      <c r="P211" s="40"/>
      <c r="Q211" s="40" t="s">
        <v>1881</v>
      </c>
      <c r="R211" s="40" t="s">
        <v>1890</v>
      </c>
      <c r="S211" s="40" t="s">
        <v>1891</v>
      </c>
    </row>
    <row r="212" spans="1:19" ht="74.099999999999994" customHeight="1">
      <c r="A212" s="41" t="s">
        <v>262</v>
      </c>
      <c r="B212" s="41" t="s">
        <v>2607</v>
      </c>
      <c r="C212" s="47">
        <v>3</v>
      </c>
      <c r="D212" s="41" t="s">
        <v>1893</v>
      </c>
      <c r="E212" s="41" t="s">
        <v>1894</v>
      </c>
      <c r="F212" s="41" t="s">
        <v>1870</v>
      </c>
      <c r="G212" s="41"/>
      <c r="H212" s="41" t="s">
        <v>1871</v>
      </c>
      <c r="I212" s="41" t="s">
        <v>922</v>
      </c>
      <c r="J212" s="41" t="s">
        <v>262</v>
      </c>
      <c r="K212" s="41" t="s">
        <v>2017</v>
      </c>
      <c r="L212" s="41" t="s">
        <v>1896</v>
      </c>
      <c r="M212" s="41" t="s">
        <v>1897</v>
      </c>
      <c r="N212" s="41" t="s">
        <v>1898</v>
      </c>
      <c r="O212" s="41" t="s">
        <v>1876</v>
      </c>
      <c r="P212" s="41"/>
      <c r="Q212" s="41" t="s">
        <v>1899</v>
      </c>
      <c r="R212" s="41" t="s">
        <v>1900</v>
      </c>
      <c r="S212" s="41" t="s">
        <v>2018</v>
      </c>
    </row>
    <row r="213" spans="1:19" ht="74.099999999999994" customHeight="1">
      <c r="A213" s="40" t="s">
        <v>262</v>
      </c>
      <c r="B213" s="40" t="s">
        <v>2608</v>
      </c>
      <c r="C213" s="46">
        <v>4</v>
      </c>
      <c r="D213" s="40" t="s">
        <v>1883</v>
      </c>
      <c r="E213" s="40" t="s">
        <v>1903</v>
      </c>
      <c r="F213" s="40" t="s">
        <v>1883</v>
      </c>
      <c r="G213" s="40" t="s">
        <v>1904</v>
      </c>
      <c r="H213" s="40" t="s">
        <v>1871</v>
      </c>
      <c r="I213" s="40" t="s">
        <v>922</v>
      </c>
      <c r="J213" s="40" t="s">
        <v>2609</v>
      </c>
      <c r="K213" s="40" t="s">
        <v>2610</v>
      </c>
      <c r="L213" s="40" t="s">
        <v>2088</v>
      </c>
      <c r="M213" s="40" t="s">
        <v>1908</v>
      </c>
      <c r="N213" s="40" t="s">
        <v>1909</v>
      </c>
      <c r="O213" s="40" t="s">
        <v>1876</v>
      </c>
      <c r="P213" s="40" t="s">
        <v>1910</v>
      </c>
      <c r="Q213" s="40" t="s">
        <v>1911</v>
      </c>
      <c r="R213" s="40" t="s">
        <v>1912</v>
      </c>
      <c r="S213" s="40" t="s">
        <v>2611</v>
      </c>
    </row>
    <row r="214" spans="1:19" ht="74.099999999999994" customHeight="1">
      <c r="A214" s="41" t="s">
        <v>262</v>
      </c>
      <c r="B214" s="41" t="s">
        <v>2612</v>
      </c>
      <c r="C214" s="47">
        <v>5</v>
      </c>
      <c r="D214" s="41" t="s">
        <v>1883</v>
      </c>
      <c r="E214" s="41" t="s">
        <v>1915</v>
      </c>
      <c r="F214" s="41" t="s">
        <v>1883</v>
      </c>
      <c r="G214" s="41" t="s">
        <v>1915</v>
      </c>
      <c r="H214" s="41" t="s">
        <v>1871</v>
      </c>
      <c r="I214" s="41" t="s">
        <v>929</v>
      </c>
      <c r="J214" s="41" t="s">
        <v>929</v>
      </c>
      <c r="K214" s="41" t="s">
        <v>2613</v>
      </c>
      <c r="L214" s="41" t="s">
        <v>1917</v>
      </c>
      <c r="M214" s="41" t="s">
        <v>1918</v>
      </c>
      <c r="N214" s="41" t="s">
        <v>1919</v>
      </c>
      <c r="O214" s="41" t="s">
        <v>1876</v>
      </c>
      <c r="P214" s="41" t="s">
        <v>1920</v>
      </c>
      <c r="Q214" s="41" t="s">
        <v>1921</v>
      </c>
      <c r="R214" s="41" t="s">
        <v>1922</v>
      </c>
      <c r="S214" s="41" t="s">
        <v>1923</v>
      </c>
    </row>
    <row r="215" spans="1:19" ht="74.099999999999994" customHeight="1">
      <c r="A215" s="40" t="s">
        <v>262</v>
      </c>
      <c r="B215" s="40" t="s">
        <v>2614</v>
      </c>
      <c r="C215" s="46">
        <v>6</v>
      </c>
      <c r="D215" s="40" t="s">
        <v>1883</v>
      </c>
      <c r="E215" s="40" t="s">
        <v>1903</v>
      </c>
      <c r="F215" s="40" t="s">
        <v>1883</v>
      </c>
      <c r="G215" s="40" t="s">
        <v>1904</v>
      </c>
      <c r="H215" s="40" t="s">
        <v>1871</v>
      </c>
      <c r="I215" s="40" t="s">
        <v>929</v>
      </c>
      <c r="J215" s="40" t="s">
        <v>2615</v>
      </c>
      <c r="K215" s="40" t="s">
        <v>2616</v>
      </c>
      <c r="L215" s="40" t="s">
        <v>2088</v>
      </c>
      <c r="M215" s="40" t="s">
        <v>1908</v>
      </c>
      <c r="N215" s="40" t="s">
        <v>1909</v>
      </c>
      <c r="O215" s="40" t="s">
        <v>1876</v>
      </c>
      <c r="P215" s="40" t="s">
        <v>1910</v>
      </c>
      <c r="Q215" s="40" t="s">
        <v>1911</v>
      </c>
      <c r="R215" s="40" t="s">
        <v>1912</v>
      </c>
      <c r="S215" s="40" t="s">
        <v>2617</v>
      </c>
    </row>
    <row r="216" spans="1:19" ht="74.099999999999994" customHeight="1">
      <c r="A216" s="41" t="s">
        <v>262</v>
      </c>
      <c r="B216" s="41" t="s">
        <v>2618</v>
      </c>
      <c r="C216" s="47">
        <v>7</v>
      </c>
      <c r="D216" s="41" t="s">
        <v>1883</v>
      </c>
      <c r="E216" s="41" t="s">
        <v>1915</v>
      </c>
      <c r="F216" s="41" t="s">
        <v>1883</v>
      </c>
      <c r="G216" s="41" t="s">
        <v>1915</v>
      </c>
      <c r="H216" s="41" t="s">
        <v>1871</v>
      </c>
      <c r="I216" s="41" t="s">
        <v>935</v>
      </c>
      <c r="J216" s="41" t="s">
        <v>935</v>
      </c>
      <c r="K216" s="41" t="s">
        <v>2619</v>
      </c>
      <c r="L216" s="41" t="s">
        <v>1917</v>
      </c>
      <c r="M216" s="41" t="s">
        <v>1918</v>
      </c>
      <c r="N216" s="41" t="s">
        <v>1919</v>
      </c>
      <c r="O216" s="41" t="s">
        <v>1876</v>
      </c>
      <c r="P216" s="41" t="s">
        <v>1920</v>
      </c>
      <c r="Q216" s="41" t="s">
        <v>1921</v>
      </c>
      <c r="R216" s="41" t="s">
        <v>1922</v>
      </c>
      <c r="S216" s="41" t="s">
        <v>1923</v>
      </c>
    </row>
    <row r="217" spans="1:19" ht="74.099999999999994" customHeight="1">
      <c r="A217" s="40" t="s">
        <v>262</v>
      </c>
      <c r="B217" s="40" t="s">
        <v>2620</v>
      </c>
      <c r="C217" s="46">
        <v>8</v>
      </c>
      <c r="D217" s="40" t="s">
        <v>1883</v>
      </c>
      <c r="E217" s="40" t="s">
        <v>1903</v>
      </c>
      <c r="F217" s="40" t="s">
        <v>1883</v>
      </c>
      <c r="G217" s="40" t="s">
        <v>1904</v>
      </c>
      <c r="H217" s="40" t="s">
        <v>1871</v>
      </c>
      <c r="I217" s="40" t="s">
        <v>935</v>
      </c>
      <c r="J217" s="40" t="s">
        <v>2621</v>
      </c>
      <c r="K217" s="40" t="s">
        <v>2622</v>
      </c>
      <c r="L217" s="40" t="s">
        <v>2623</v>
      </c>
      <c r="M217" s="40" t="s">
        <v>1908</v>
      </c>
      <c r="N217" s="40" t="s">
        <v>1909</v>
      </c>
      <c r="O217" s="40" t="s">
        <v>1876</v>
      </c>
      <c r="P217" s="40" t="s">
        <v>1910</v>
      </c>
      <c r="Q217" s="40" t="s">
        <v>1911</v>
      </c>
      <c r="R217" s="40" t="s">
        <v>1912</v>
      </c>
      <c r="S217" s="40" t="s">
        <v>2624</v>
      </c>
    </row>
    <row r="218" spans="1:19" ht="74.099999999999994" customHeight="1">
      <c r="A218" s="41" t="s">
        <v>262</v>
      </c>
      <c r="B218" s="41" t="s">
        <v>2625</v>
      </c>
      <c r="C218" s="47">
        <v>9</v>
      </c>
      <c r="D218" s="41" t="s">
        <v>1883</v>
      </c>
      <c r="E218" s="41" t="s">
        <v>1937</v>
      </c>
      <c r="F218" s="41" t="s">
        <v>1883</v>
      </c>
      <c r="G218" s="41" t="s">
        <v>1904</v>
      </c>
      <c r="H218" s="41" t="s">
        <v>1871</v>
      </c>
      <c r="I218" s="41" t="s">
        <v>935</v>
      </c>
      <c r="J218" s="41" t="s">
        <v>2626</v>
      </c>
      <c r="K218" s="41" t="s">
        <v>2627</v>
      </c>
      <c r="L218" s="41" t="s">
        <v>1940</v>
      </c>
      <c r="M218" s="41" t="s">
        <v>1941</v>
      </c>
      <c r="N218" s="41" t="s">
        <v>2628</v>
      </c>
      <c r="O218" s="41" t="s">
        <v>1876</v>
      </c>
      <c r="P218" s="41" t="s">
        <v>1943</v>
      </c>
      <c r="Q218" s="41" t="s">
        <v>1944</v>
      </c>
      <c r="R218" s="41" t="s">
        <v>1945</v>
      </c>
      <c r="S218" s="41" t="s">
        <v>2629</v>
      </c>
    </row>
    <row r="219" spans="1:19" ht="74.099999999999994" customHeight="1">
      <c r="A219" s="40" t="s">
        <v>262</v>
      </c>
      <c r="B219" s="40" t="s">
        <v>2630</v>
      </c>
      <c r="C219" s="46">
        <v>10</v>
      </c>
      <c r="D219" s="40" t="s">
        <v>1883</v>
      </c>
      <c r="E219" s="40" t="s">
        <v>1980</v>
      </c>
      <c r="F219" s="40" t="s">
        <v>1883</v>
      </c>
      <c r="G219" s="40" t="s">
        <v>1981</v>
      </c>
      <c r="H219" s="40" t="s">
        <v>1871</v>
      </c>
      <c r="I219" s="40" t="s">
        <v>935</v>
      </c>
      <c r="J219" s="40" t="s">
        <v>2631</v>
      </c>
      <c r="K219" s="40" t="s">
        <v>2632</v>
      </c>
      <c r="L219" s="40" t="s">
        <v>1984</v>
      </c>
      <c r="M219" s="40" t="s">
        <v>1985</v>
      </c>
      <c r="N219" s="40" t="s">
        <v>2048</v>
      </c>
      <c r="O219" s="40" t="s">
        <v>1876</v>
      </c>
      <c r="P219" s="40" t="s">
        <v>1955</v>
      </c>
      <c r="Q219" s="40" t="s">
        <v>1988</v>
      </c>
      <c r="R219" s="40" t="s">
        <v>1989</v>
      </c>
      <c r="S219" s="40" t="s">
        <v>1990</v>
      </c>
    </row>
    <row r="220" spans="1:19" ht="74.099999999999994" customHeight="1">
      <c r="A220" s="41" t="s">
        <v>262</v>
      </c>
      <c r="B220" s="41" t="s">
        <v>2633</v>
      </c>
      <c r="C220" s="47">
        <v>11</v>
      </c>
      <c r="D220" s="41" t="s">
        <v>1992</v>
      </c>
      <c r="E220" s="41" t="s">
        <v>1882</v>
      </c>
      <c r="F220" s="41" t="s">
        <v>1883</v>
      </c>
      <c r="G220" s="41" t="s">
        <v>1884</v>
      </c>
      <c r="H220" s="41" t="s">
        <v>1871</v>
      </c>
      <c r="I220" s="41" t="s">
        <v>935</v>
      </c>
      <c r="J220" s="41" t="s">
        <v>2634</v>
      </c>
      <c r="K220" s="41" t="s">
        <v>1993</v>
      </c>
      <c r="L220" s="41" t="s">
        <v>2635</v>
      </c>
      <c r="M220" s="41" t="s">
        <v>1995</v>
      </c>
      <c r="N220" s="41" t="s">
        <v>1996</v>
      </c>
      <c r="O220" s="41" t="s">
        <v>1876</v>
      </c>
      <c r="P220" s="41" t="s">
        <v>1997</v>
      </c>
      <c r="Q220" s="41" t="s">
        <v>1881</v>
      </c>
      <c r="R220" s="41" t="s">
        <v>1998</v>
      </c>
      <c r="S220" s="41" t="s">
        <v>1999</v>
      </c>
    </row>
    <row r="221" spans="1:19" ht="74.099999999999994" customHeight="1">
      <c r="A221" s="40" t="s">
        <v>262</v>
      </c>
      <c r="B221" s="40" t="s">
        <v>2636</v>
      </c>
      <c r="C221" s="46">
        <v>12</v>
      </c>
      <c r="D221" s="40" t="s">
        <v>2001</v>
      </c>
      <c r="E221" s="40" t="s">
        <v>2002</v>
      </c>
      <c r="F221" s="40" t="s">
        <v>2003</v>
      </c>
      <c r="G221" s="40"/>
      <c r="H221" s="40" t="s">
        <v>1871</v>
      </c>
      <c r="I221" s="40"/>
      <c r="J221" s="40" t="s">
        <v>262</v>
      </c>
      <c r="K221" s="40" t="s">
        <v>2004</v>
      </c>
      <c r="L221" s="40" t="s">
        <v>2005</v>
      </c>
      <c r="M221" s="40" t="s">
        <v>2006</v>
      </c>
      <c r="N221" s="40" t="s">
        <v>2007</v>
      </c>
      <c r="O221" s="40" t="s">
        <v>1876</v>
      </c>
      <c r="P221" s="40" t="s">
        <v>2008</v>
      </c>
      <c r="Q221" s="40" t="s">
        <v>2001</v>
      </c>
      <c r="R221" s="40" t="s">
        <v>2009</v>
      </c>
      <c r="S221" s="40" t="s">
        <v>2010</v>
      </c>
    </row>
    <row r="222" spans="1:19" ht="74.099999999999994" customHeight="1">
      <c r="A222" s="41" t="s">
        <v>270</v>
      </c>
      <c r="B222" s="41" t="s">
        <v>2637</v>
      </c>
      <c r="C222" s="47">
        <v>1</v>
      </c>
      <c r="D222" s="41" t="s">
        <v>1868</v>
      </c>
      <c r="E222" s="41" t="s">
        <v>1869</v>
      </c>
      <c r="F222" s="41" t="s">
        <v>1870</v>
      </c>
      <c r="G222" s="41"/>
      <c r="H222" s="41" t="s">
        <v>1871</v>
      </c>
      <c r="I222" s="41" t="s">
        <v>943</v>
      </c>
      <c r="J222" s="41" t="s">
        <v>1708</v>
      </c>
      <c r="K222" s="41" t="s">
        <v>2638</v>
      </c>
      <c r="L222" s="41" t="s">
        <v>1873</v>
      </c>
      <c r="M222" s="41" t="s">
        <v>1874</v>
      </c>
      <c r="N222" s="41" t="s">
        <v>1875</v>
      </c>
      <c r="O222" s="41" t="s">
        <v>1876</v>
      </c>
      <c r="P222" s="41"/>
      <c r="Q222" s="41" t="s">
        <v>1877</v>
      </c>
      <c r="R222" s="41" t="s">
        <v>1878</v>
      </c>
      <c r="S222" s="41" t="s">
        <v>1879</v>
      </c>
    </row>
    <row r="223" spans="1:19" ht="74.099999999999994" customHeight="1">
      <c r="A223" s="40" t="s">
        <v>270</v>
      </c>
      <c r="B223" s="40" t="s">
        <v>2639</v>
      </c>
      <c r="C223" s="46">
        <v>2</v>
      </c>
      <c r="D223" s="40" t="s">
        <v>1881</v>
      </c>
      <c r="E223" s="40" t="s">
        <v>1882</v>
      </c>
      <c r="F223" s="40" t="s">
        <v>1883</v>
      </c>
      <c r="G223" s="40" t="s">
        <v>1884</v>
      </c>
      <c r="H223" s="40" t="s">
        <v>1871</v>
      </c>
      <c r="I223" s="40" t="s">
        <v>943</v>
      </c>
      <c r="J223" s="40" t="s">
        <v>2640</v>
      </c>
      <c r="K223" s="40" t="s">
        <v>1886</v>
      </c>
      <c r="L223" s="40" t="s">
        <v>2641</v>
      </c>
      <c r="M223" s="40" t="s">
        <v>1888</v>
      </c>
      <c r="N223" s="40" t="s">
        <v>1889</v>
      </c>
      <c r="O223" s="40" t="s">
        <v>1876</v>
      </c>
      <c r="P223" s="40"/>
      <c r="Q223" s="40" t="s">
        <v>1881</v>
      </c>
      <c r="R223" s="40" t="s">
        <v>1890</v>
      </c>
      <c r="S223" s="40" t="s">
        <v>1891</v>
      </c>
    </row>
    <row r="224" spans="1:19" ht="74.099999999999994" customHeight="1">
      <c r="A224" s="41" t="s">
        <v>270</v>
      </c>
      <c r="B224" s="41" t="s">
        <v>2642</v>
      </c>
      <c r="C224" s="47">
        <v>3</v>
      </c>
      <c r="D224" s="41" t="s">
        <v>1893</v>
      </c>
      <c r="E224" s="41" t="s">
        <v>1894</v>
      </c>
      <c r="F224" s="41" t="s">
        <v>1870</v>
      </c>
      <c r="G224" s="41"/>
      <c r="H224" s="41" t="s">
        <v>1871</v>
      </c>
      <c r="I224" s="41" t="s">
        <v>943</v>
      </c>
      <c r="J224" s="41" t="s">
        <v>270</v>
      </c>
      <c r="K224" s="41" t="s">
        <v>2643</v>
      </c>
      <c r="L224" s="41" t="s">
        <v>1896</v>
      </c>
      <c r="M224" s="41" t="s">
        <v>1897</v>
      </c>
      <c r="N224" s="41" t="s">
        <v>1898</v>
      </c>
      <c r="O224" s="41" t="s">
        <v>1876</v>
      </c>
      <c r="P224" s="41"/>
      <c r="Q224" s="41" t="s">
        <v>1899</v>
      </c>
      <c r="R224" s="41" t="s">
        <v>1900</v>
      </c>
      <c r="S224" s="41" t="s">
        <v>2644</v>
      </c>
    </row>
    <row r="225" spans="1:19" ht="74.099999999999994" customHeight="1">
      <c r="A225" s="40" t="s">
        <v>270</v>
      </c>
      <c r="B225" s="40" t="s">
        <v>2645</v>
      </c>
      <c r="C225" s="46">
        <v>4</v>
      </c>
      <c r="D225" s="40" t="s">
        <v>1883</v>
      </c>
      <c r="E225" s="40" t="s">
        <v>1903</v>
      </c>
      <c r="F225" s="40" t="s">
        <v>1883</v>
      </c>
      <c r="G225" s="40" t="s">
        <v>1904</v>
      </c>
      <c r="H225" s="40" t="s">
        <v>1871</v>
      </c>
      <c r="I225" s="40" t="s">
        <v>943</v>
      </c>
      <c r="J225" s="40" t="s">
        <v>2646</v>
      </c>
      <c r="K225" s="40" t="s">
        <v>2647</v>
      </c>
      <c r="L225" s="40" t="s">
        <v>2648</v>
      </c>
      <c r="M225" s="40" t="s">
        <v>1908</v>
      </c>
      <c r="N225" s="40" t="s">
        <v>1909</v>
      </c>
      <c r="O225" s="40" t="s">
        <v>1876</v>
      </c>
      <c r="P225" s="40" t="s">
        <v>1910</v>
      </c>
      <c r="Q225" s="40" t="s">
        <v>1911</v>
      </c>
      <c r="R225" s="40" t="s">
        <v>1912</v>
      </c>
      <c r="S225" s="40" t="s">
        <v>2649</v>
      </c>
    </row>
    <row r="226" spans="1:19" ht="74.099999999999994" customHeight="1">
      <c r="A226" s="41" t="s">
        <v>270</v>
      </c>
      <c r="B226" s="41" t="s">
        <v>2650</v>
      </c>
      <c r="C226" s="47">
        <v>5</v>
      </c>
      <c r="D226" s="41" t="s">
        <v>1883</v>
      </c>
      <c r="E226" s="41" t="s">
        <v>1915</v>
      </c>
      <c r="F226" s="41" t="s">
        <v>1883</v>
      </c>
      <c r="G226" s="41" t="s">
        <v>1915</v>
      </c>
      <c r="H226" s="41" t="s">
        <v>1871</v>
      </c>
      <c r="I226" s="41" t="s">
        <v>953</v>
      </c>
      <c r="J226" s="41" t="s">
        <v>953</v>
      </c>
      <c r="K226" s="41" t="s">
        <v>2651</v>
      </c>
      <c r="L226" s="41" t="s">
        <v>1917</v>
      </c>
      <c r="M226" s="41" t="s">
        <v>1918</v>
      </c>
      <c r="N226" s="41" t="s">
        <v>1919</v>
      </c>
      <c r="O226" s="41" t="s">
        <v>1876</v>
      </c>
      <c r="P226" s="41" t="s">
        <v>1920</v>
      </c>
      <c r="Q226" s="41" t="s">
        <v>1921</v>
      </c>
      <c r="R226" s="41" t="s">
        <v>1922</v>
      </c>
      <c r="S226" s="41" t="s">
        <v>1923</v>
      </c>
    </row>
    <row r="227" spans="1:19" ht="74.099999999999994" customHeight="1">
      <c r="A227" s="40" t="s">
        <v>270</v>
      </c>
      <c r="B227" s="40" t="s">
        <v>2652</v>
      </c>
      <c r="C227" s="46">
        <v>6</v>
      </c>
      <c r="D227" s="40" t="s">
        <v>1883</v>
      </c>
      <c r="E227" s="40" t="s">
        <v>1903</v>
      </c>
      <c r="F227" s="40" t="s">
        <v>1883</v>
      </c>
      <c r="G227" s="40" t="s">
        <v>1904</v>
      </c>
      <c r="H227" s="40" t="s">
        <v>1871</v>
      </c>
      <c r="I227" s="40" t="s">
        <v>953</v>
      </c>
      <c r="J227" s="40" t="s">
        <v>2653</v>
      </c>
      <c r="K227" s="40" t="s">
        <v>2654</v>
      </c>
      <c r="L227" s="40" t="s">
        <v>2655</v>
      </c>
      <c r="M227" s="40" t="s">
        <v>1908</v>
      </c>
      <c r="N227" s="40" t="s">
        <v>1909</v>
      </c>
      <c r="O227" s="40" t="s">
        <v>1876</v>
      </c>
      <c r="P227" s="40" t="s">
        <v>1910</v>
      </c>
      <c r="Q227" s="40" t="s">
        <v>1911</v>
      </c>
      <c r="R227" s="40" t="s">
        <v>1912</v>
      </c>
      <c r="S227" s="40" t="s">
        <v>2656</v>
      </c>
    </row>
    <row r="228" spans="1:19" ht="74.099999999999994" customHeight="1">
      <c r="A228" s="41" t="s">
        <v>270</v>
      </c>
      <c r="B228" s="41" t="s">
        <v>2657</v>
      </c>
      <c r="C228" s="47">
        <v>7</v>
      </c>
      <c r="D228" s="41" t="s">
        <v>1883</v>
      </c>
      <c r="E228" s="41" t="s">
        <v>1915</v>
      </c>
      <c r="F228" s="41" t="s">
        <v>1883</v>
      </c>
      <c r="G228" s="41" t="s">
        <v>1915</v>
      </c>
      <c r="H228" s="41" t="s">
        <v>1871</v>
      </c>
      <c r="I228" s="41" t="s">
        <v>960</v>
      </c>
      <c r="J228" s="41" t="s">
        <v>960</v>
      </c>
      <c r="K228" s="41" t="s">
        <v>2658</v>
      </c>
      <c r="L228" s="41" t="s">
        <v>1917</v>
      </c>
      <c r="M228" s="41" t="s">
        <v>1918</v>
      </c>
      <c r="N228" s="41" t="s">
        <v>1919</v>
      </c>
      <c r="O228" s="41" t="s">
        <v>1876</v>
      </c>
      <c r="P228" s="41" t="s">
        <v>1920</v>
      </c>
      <c r="Q228" s="41" t="s">
        <v>1921</v>
      </c>
      <c r="R228" s="41" t="s">
        <v>1922</v>
      </c>
      <c r="S228" s="41" t="s">
        <v>1923</v>
      </c>
    </row>
    <row r="229" spans="1:19" ht="74.099999999999994" customHeight="1">
      <c r="A229" s="40" t="s">
        <v>270</v>
      </c>
      <c r="B229" s="40" t="s">
        <v>2659</v>
      </c>
      <c r="C229" s="46">
        <v>8</v>
      </c>
      <c r="D229" s="40" t="s">
        <v>1883</v>
      </c>
      <c r="E229" s="40" t="s">
        <v>1903</v>
      </c>
      <c r="F229" s="40" t="s">
        <v>1883</v>
      </c>
      <c r="G229" s="40" t="s">
        <v>1904</v>
      </c>
      <c r="H229" s="40" t="s">
        <v>1871</v>
      </c>
      <c r="I229" s="40" t="s">
        <v>960</v>
      </c>
      <c r="J229" s="40" t="s">
        <v>2660</v>
      </c>
      <c r="K229" s="40" t="s">
        <v>2661</v>
      </c>
      <c r="L229" s="40" t="s">
        <v>2662</v>
      </c>
      <c r="M229" s="40" t="s">
        <v>1908</v>
      </c>
      <c r="N229" s="40" t="s">
        <v>1909</v>
      </c>
      <c r="O229" s="40" t="s">
        <v>1876</v>
      </c>
      <c r="P229" s="40" t="s">
        <v>1910</v>
      </c>
      <c r="Q229" s="40" t="s">
        <v>1911</v>
      </c>
      <c r="R229" s="40" t="s">
        <v>1912</v>
      </c>
      <c r="S229" s="40" t="s">
        <v>2663</v>
      </c>
    </row>
    <row r="230" spans="1:19" ht="74.099999999999994" customHeight="1">
      <c r="A230" s="41" t="s">
        <v>270</v>
      </c>
      <c r="B230" s="41" t="s">
        <v>2664</v>
      </c>
      <c r="C230" s="47">
        <v>9</v>
      </c>
      <c r="D230" s="41" t="s">
        <v>1883</v>
      </c>
      <c r="E230" s="41" t="s">
        <v>1915</v>
      </c>
      <c r="F230" s="41" t="s">
        <v>1883</v>
      </c>
      <c r="G230" s="41" t="s">
        <v>1915</v>
      </c>
      <c r="H230" s="41" t="s">
        <v>1871</v>
      </c>
      <c r="I230" s="41" t="s">
        <v>967</v>
      </c>
      <c r="J230" s="41" t="s">
        <v>967</v>
      </c>
      <c r="K230" s="41" t="s">
        <v>2665</v>
      </c>
      <c r="L230" s="41" t="s">
        <v>1917</v>
      </c>
      <c r="M230" s="41" t="s">
        <v>1918</v>
      </c>
      <c r="N230" s="41" t="s">
        <v>1919</v>
      </c>
      <c r="O230" s="41" t="s">
        <v>1876</v>
      </c>
      <c r="P230" s="41" t="s">
        <v>1920</v>
      </c>
      <c r="Q230" s="41" t="s">
        <v>1921</v>
      </c>
      <c r="R230" s="41" t="s">
        <v>1922</v>
      </c>
      <c r="S230" s="41" t="s">
        <v>1923</v>
      </c>
    </row>
    <row r="231" spans="1:19" ht="74.099999999999994" customHeight="1">
      <c r="A231" s="40" t="s">
        <v>270</v>
      </c>
      <c r="B231" s="40" t="s">
        <v>2666</v>
      </c>
      <c r="C231" s="46">
        <v>10</v>
      </c>
      <c r="D231" s="40" t="s">
        <v>1883</v>
      </c>
      <c r="E231" s="40" t="s">
        <v>1903</v>
      </c>
      <c r="F231" s="40" t="s">
        <v>1883</v>
      </c>
      <c r="G231" s="40" t="s">
        <v>1904</v>
      </c>
      <c r="H231" s="40" t="s">
        <v>1871</v>
      </c>
      <c r="I231" s="40" t="s">
        <v>967</v>
      </c>
      <c r="J231" s="40" t="s">
        <v>2667</v>
      </c>
      <c r="K231" s="40" t="s">
        <v>2668</v>
      </c>
      <c r="L231" s="40" t="s">
        <v>2069</v>
      </c>
      <c r="M231" s="40" t="s">
        <v>1908</v>
      </c>
      <c r="N231" s="40" t="s">
        <v>1909</v>
      </c>
      <c r="O231" s="40" t="s">
        <v>1876</v>
      </c>
      <c r="P231" s="40" t="s">
        <v>1910</v>
      </c>
      <c r="Q231" s="40" t="s">
        <v>1911</v>
      </c>
      <c r="R231" s="40" t="s">
        <v>1912</v>
      </c>
      <c r="S231" s="40" t="s">
        <v>2669</v>
      </c>
    </row>
    <row r="232" spans="1:19" ht="74.099999999999994" customHeight="1">
      <c r="A232" s="41" t="s">
        <v>270</v>
      </c>
      <c r="B232" s="41" t="s">
        <v>2670</v>
      </c>
      <c r="C232" s="47">
        <v>11</v>
      </c>
      <c r="D232" s="41" t="s">
        <v>1883</v>
      </c>
      <c r="E232" s="41" t="s">
        <v>1937</v>
      </c>
      <c r="F232" s="41" t="s">
        <v>1883</v>
      </c>
      <c r="G232" s="41" t="s">
        <v>1904</v>
      </c>
      <c r="H232" s="41" t="s">
        <v>1871</v>
      </c>
      <c r="I232" s="41" t="s">
        <v>967</v>
      </c>
      <c r="J232" s="41" t="s">
        <v>2671</v>
      </c>
      <c r="K232" s="41" t="s">
        <v>2672</v>
      </c>
      <c r="L232" s="41" t="s">
        <v>1940</v>
      </c>
      <c r="M232" s="41" t="s">
        <v>2673</v>
      </c>
      <c r="N232" s="41" t="s">
        <v>2674</v>
      </c>
      <c r="O232" s="41" t="s">
        <v>1876</v>
      </c>
      <c r="P232" s="41" t="s">
        <v>1943</v>
      </c>
      <c r="Q232" s="41" t="s">
        <v>1944</v>
      </c>
      <c r="R232" s="41" t="s">
        <v>1945</v>
      </c>
      <c r="S232" s="41" t="s">
        <v>2675</v>
      </c>
    </row>
    <row r="233" spans="1:19" ht="74.099999999999994" customHeight="1">
      <c r="A233" s="40" t="s">
        <v>270</v>
      </c>
      <c r="B233" s="40" t="s">
        <v>2676</v>
      </c>
      <c r="C233" s="46">
        <v>12</v>
      </c>
      <c r="D233" s="40" t="s">
        <v>1948</v>
      </c>
      <c r="E233" s="40" t="s">
        <v>1980</v>
      </c>
      <c r="F233" s="40" t="s">
        <v>1883</v>
      </c>
      <c r="G233" s="40" t="s">
        <v>1981</v>
      </c>
      <c r="H233" s="40" t="s">
        <v>1871</v>
      </c>
      <c r="I233" s="40" t="s">
        <v>967</v>
      </c>
      <c r="J233" s="40" t="s">
        <v>2677</v>
      </c>
      <c r="K233" s="40" t="s">
        <v>2678</v>
      </c>
      <c r="L233" s="40" t="s">
        <v>1984</v>
      </c>
      <c r="M233" s="40" t="s">
        <v>1985</v>
      </c>
      <c r="N233" s="40" t="s">
        <v>1986</v>
      </c>
      <c r="O233" s="40" t="s">
        <v>1167</v>
      </c>
      <c r="P233" s="40" t="s">
        <v>1987</v>
      </c>
      <c r="Q233" s="40" t="s">
        <v>1988</v>
      </c>
      <c r="R233" s="40" t="s">
        <v>1989</v>
      </c>
      <c r="S233" s="40" t="s">
        <v>1990</v>
      </c>
    </row>
    <row r="234" spans="1:19" ht="74.099999999999994" customHeight="1">
      <c r="A234" s="41" t="s">
        <v>270</v>
      </c>
      <c r="B234" s="41" t="s">
        <v>2679</v>
      </c>
      <c r="C234" s="47">
        <v>13</v>
      </c>
      <c r="D234" s="41" t="s">
        <v>1992</v>
      </c>
      <c r="E234" s="41" t="s">
        <v>1882</v>
      </c>
      <c r="F234" s="41" t="s">
        <v>1883</v>
      </c>
      <c r="G234" s="41" t="s">
        <v>1884</v>
      </c>
      <c r="H234" s="41" t="s">
        <v>1871</v>
      </c>
      <c r="I234" s="41" t="s">
        <v>967</v>
      </c>
      <c r="J234" s="41" t="s">
        <v>2680</v>
      </c>
      <c r="K234" s="41" t="s">
        <v>1993</v>
      </c>
      <c r="L234" s="41" t="s">
        <v>2681</v>
      </c>
      <c r="M234" s="41" t="s">
        <v>1995</v>
      </c>
      <c r="N234" s="41" t="s">
        <v>1996</v>
      </c>
      <c r="O234" s="41" t="s">
        <v>1876</v>
      </c>
      <c r="P234" s="41" t="s">
        <v>1997</v>
      </c>
      <c r="Q234" s="41" t="s">
        <v>1881</v>
      </c>
      <c r="R234" s="41" t="s">
        <v>1998</v>
      </c>
      <c r="S234" s="41" t="s">
        <v>1999</v>
      </c>
    </row>
    <row r="235" spans="1:19" ht="74.099999999999994" customHeight="1">
      <c r="A235" s="40" t="s">
        <v>270</v>
      </c>
      <c r="B235" s="40" t="s">
        <v>2682</v>
      </c>
      <c r="C235" s="46">
        <v>14</v>
      </c>
      <c r="D235" s="40" t="s">
        <v>2001</v>
      </c>
      <c r="E235" s="40" t="s">
        <v>2002</v>
      </c>
      <c r="F235" s="40" t="s">
        <v>2003</v>
      </c>
      <c r="G235" s="40"/>
      <c r="H235" s="40" t="s">
        <v>1871</v>
      </c>
      <c r="I235" s="40"/>
      <c r="J235" s="40" t="s">
        <v>270</v>
      </c>
      <c r="K235" s="40" t="s">
        <v>2004</v>
      </c>
      <c r="L235" s="40" t="s">
        <v>2005</v>
      </c>
      <c r="M235" s="40" t="s">
        <v>2006</v>
      </c>
      <c r="N235" s="40" t="s">
        <v>2007</v>
      </c>
      <c r="O235" s="40" t="s">
        <v>1876</v>
      </c>
      <c r="P235" s="40" t="s">
        <v>2008</v>
      </c>
      <c r="Q235" s="40" t="s">
        <v>2001</v>
      </c>
      <c r="R235" s="40" t="s">
        <v>2009</v>
      </c>
      <c r="S235" s="40" t="s">
        <v>2010</v>
      </c>
    </row>
    <row r="236" spans="1:19" ht="74.099999999999994" customHeight="1">
      <c r="A236" s="41" t="s">
        <v>278</v>
      </c>
      <c r="B236" s="41" t="s">
        <v>2683</v>
      </c>
      <c r="C236" s="47">
        <v>1</v>
      </c>
      <c r="D236" s="41" t="s">
        <v>1868</v>
      </c>
      <c r="E236" s="41" t="s">
        <v>1869</v>
      </c>
      <c r="F236" s="41" t="s">
        <v>1870</v>
      </c>
      <c r="G236" s="41"/>
      <c r="H236" s="41" t="s">
        <v>1871</v>
      </c>
      <c r="I236" s="41" t="s">
        <v>973</v>
      </c>
      <c r="J236" s="41" t="s">
        <v>1716</v>
      </c>
      <c r="K236" s="41" t="s">
        <v>2684</v>
      </c>
      <c r="L236" s="41" t="s">
        <v>1873</v>
      </c>
      <c r="M236" s="41" t="s">
        <v>1874</v>
      </c>
      <c r="N236" s="41" t="s">
        <v>1875</v>
      </c>
      <c r="O236" s="41" t="s">
        <v>1876</v>
      </c>
      <c r="P236" s="41"/>
      <c r="Q236" s="41" t="s">
        <v>1877</v>
      </c>
      <c r="R236" s="41" t="s">
        <v>1878</v>
      </c>
      <c r="S236" s="41" t="s">
        <v>1879</v>
      </c>
    </row>
    <row r="237" spans="1:19" ht="74.099999999999994" customHeight="1">
      <c r="A237" s="40" t="s">
        <v>278</v>
      </c>
      <c r="B237" s="40" t="s">
        <v>2685</v>
      </c>
      <c r="C237" s="46">
        <v>2</v>
      </c>
      <c r="D237" s="40" t="s">
        <v>1881</v>
      </c>
      <c r="E237" s="40" t="s">
        <v>1882</v>
      </c>
      <c r="F237" s="40" t="s">
        <v>1883</v>
      </c>
      <c r="G237" s="40" t="s">
        <v>1884</v>
      </c>
      <c r="H237" s="40" t="s">
        <v>1871</v>
      </c>
      <c r="I237" s="40" t="s">
        <v>973</v>
      </c>
      <c r="J237" s="40" t="s">
        <v>2686</v>
      </c>
      <c r="K237" s="40" t="s">
        <v>1886</v>
      </c>
      <c r="L237" s="40" t="s">
        <v>2687</v>
      </c>
      <c r="M237" s="40" t="s">
        <v>1888</v>
      </c>
      <c r="N237" s="40" t="s">
        <v>1889</v>
      </c>
      <c r="O237" s="40" t="s">
        <v>1876</v>
      </c>
      <c r="P237" s="40"/>
      <c r="Q237" s="40" t="s">
        <v>1881</v>
      </c>
      <c r="R237" s="40" t="s">
        <v>1890</v>
      </c>
      <c r="S237" s="40" t="s">
        <v>1891</v>
      </c>
    </row>
    <row r="238" spans="1:19" ht="74.099999999999994" customHeight="1">
      <c r="A238" s="41" t="s">
        <v>278</v>
      </c>
      <c r="B238" s="41" t="s">
        <v>2688</v>
      </c>
      <c r="C238" s="47">
        <v>3</v>
      </c>
      <c r="D238" s="41" t="s">
        <v>1893</v>
      </c>
      <c r="E238" s="41" t="s">
        <v>1894</v>
      </c>
      <c r="F238" s="41" t="s">
        <v>1870</v>
      </c>
      <c r="G238" s="41"/>
      <c r="H238" s="41" t="s">
        <v>1871</v>
      </c>
      <c r="I238" s="41" t="s">
        <v>973</v>
      </c>
      <c r="J238" s="41" t="s">
        <v>278</v>
      </c>
      <c r="K238" s="41" t="s">
        <v>2017</v>
      </c>
      <c r="L238" s="41" t="s">
        <v>1896</v>
      </c>
      <c r="M238" s="41" t="s">
        <v>1897</v>
      </c>
      <c r="N238" s="41" t="s">
        <v>1898</v>
      </c>
      <c r="O238" s="41" t="s">
        <v>1876</v>
      </c>
      <c r="P238" s="41"/>
      <c r="Q238" s="41" t="s">
        <v>1899</v>
      </c>
      <c r="R238" s="41" t="s">
        <v>1900</v>
      </c>
      <c r="S238" s="41" t="s">
        <v>2018</v>
      </c>
    </row>
    <row r="239" spans="1:19" ht="74.099999999999994" customHeight="1">
      <c r="A239" s="40" t="s">
        <v>278</v>
      </c>
      <c r="B239" s="40" t="s">
        <v>2689</v>
      </c>
      <c r="C239" s="46">
        <v>4</v>
      </c>
      <c r="D239" s="40" t="s">
        <v>1883</v>
      </c>
      <c r="E239" s="40" t="s">
        <v>1903</v>
      </c>
      <c r="F239" s="40" t="s">
        <v>1883</v>
      </c>
      <c r="G239" s="40" t="s">
        <v>1904</v>
      </c>
      <c r="H239" s="40" t="s">
        <v>1871</v>
      </c>
      <c r="I239" s="40" t="s">
        <v>973</v>
      </c>
      <c r="J239" s="40" t="s">
        <v>2690</v>
      </c>
      <c r="K239" s="40" t="s">
        <v>2691</v>
      </c>
      <c r="L239" s="40" t="s">
        <v>2062</v>
      </c>
      <c r="M239" s="40" t="s">
        <v>1908</v>
      </c>
      <c r="N239" s="40" t="s">
        <v>1909</v>
      </c>
      <c r="O239" s="40" t="s">
        <v>1876</v>
      </c>
      <c r="P239" s="40" t="s">
        <v>1910</v>
      </c>
      <c r="Q239" s="40" t="s">
        <v>1911</v>
      </c>
      <c r="R239" s="40" t="s">
        <v>1912</v>
      </c>
      <c r="S239" s="40" t="s">
        <v>2692</v>
      </c>
    </row>
    <row r="240" spans="1:19" ht="74.099999999999994" customHeight="1">
      <c r="A240" s="41" t="s">
        <v>278</v>
      </c>
      <c r="B240" s="41" t="s">
        <v>2693</v>
      </c>
      <c r="C240" s="47">
        <v>5</v>
      </c>
      <c r="D240" s="41" t="s">
        <v>1883</v>
      </c>
      <c r="E240" s="41" t="s">
        <v>1915</v>
      </c>
      <c r="F240" s="41" t="s">
        <v>1883</v>
      </c>
      <c r="G240" s="41" t="s">
        <v>1915</v>
      </c>
      <c r="H240" s="41" t="s">
        <v>1871</v>
      </c>
      <c r="I240" s="41" t="s">
        <v>978</v>
      </c>
      <c r="J240" s="41" t="s">
        <v>978</v>
      </c>
      <c r="K240" s="41" t="s">
        <v>2694</v>
      </c>
      <c r="L240" s="41" t="s">
        <v>1917</v>
      </c>
      <c r="M240" s="41" t="s">
        <v>1918</v>
      </c>
      <c r="N240" s="41" t="s">
        <v>1919</v>
      </c>
      <c r="O240" s="41" t="s">
        <v>1876</v>
      </c>
      <c r="P240" s="41" t="s">
        <v>1920</v>
      </c>
      <c r="Q240" s="41" t="s">
        <v>1921</v>
      </c>
      <c r="R240" s="41" t="s">
        <v>1922</v>
      </c>
      <c r="S240" s="41" t="s">
        <v>1923</v>
      </c>
    </row>
    <row r="241" spans="1:19" ht="74.099999999999994" customHeight="1">
      <c r="A241" s="40" t="s">
        <v>278</v>
      </c>
      <c r="B241" s="40" t="s">
        <v>2695</v>
      </c>
      <c r="C241" s="46">
        <v>6</v>
      </c>
      <c r="D241" s="40" t="s">
        <v>1883</v>
      </c>
      <c r="E241" s="40" t="s">
        <v>1903</v>
      </c>
      <c r="F241" s="40" t="s">
        <v>1883</v>
      </c>
      <c r="G241" s="40" t="s">
        <v>1904</v>
      </c>
      <c r="H241" s="40" t="s">
        <v>1871</v>
      </c>
      <c r="I241" s="40" t="s">
        <v>978</v>
      </c>
      <c r="J241" s="40" t="s">
        <v>2696</v>
      </c>
      <c r="K241" s="40" t="s">
        <v>2697</v>
      </c>
      <c r="L241" s="40" t="s">
        <v>2698</v>
      </c>
      <c r="M241" s="40" t="s">
        <v>1908</v>
      </c>
      <c r="N241" s="40" t="s">
        <v>1909</v>
      </c>
      <c r="O241" s="40" t="s">
        <v>1876</v>
      </c>
      <c r="P241" s="40" t="s">
        <v>1910</v>
      </c>
      <c r="Q241" s="40" t="s">
        <v>1911</v>
      </c>
      <c r="R241" s="40" t="s">
        <v>1912</v>
      </c>
      <c r="S241" s="40" t="s">
        <v>2699</v>
      </c>
    </row>
    <row r="242" spans="1:19" ht="74.099999999999994" customHeight="1">
      <c r="A242" s="41" t="s">
        <v>278</v>
      </c>
      <c r="B242" s="41" t="s">
        <v>2700</v>
      </c>
      <c r="C242" s="47">
        <v>7</v>
      </c>
      <c r="D242" s="41" t="s">
        <v>1883</v>
      </c>
      <c r="E242" s="41" t="s">
        <v>1915</v>
      </c>
      <c r="F242" s="41" t="s">
        <v>1883</v>
      </c>
      <c r="G242" s="41" t="s">
        <v>1915</v>
      </c>
      <c r="H242" s="41" t="s">
        <v>1871</v>
      </c>
      <c r="I242" s="41" t="s">
        <v>986</v>
      </c>
      <c r="J242" s="41" t="s">
        <v>986</v>
      </c>
      <c r="K242" s="41" t="s">
        <v>2701</v>
      </c>
      <c r="L242" s="41" t="s">
        <v>1917</v>
      </c>
      <c r="M242" s="41" t="s">
        <v>1918</v>
      </c>
      <c r="N242" s="41" t="s">
        <v>1919</v>
      </c>
      <c r="O242" s="41" t="s">
        <v>1876</v>
      </c>
      <c r="P242" s="41" t="s">
        <v>1920</v>
      </c>
      <c r="Q242" s="41" t="s">
        <v>1921</v>
      </c>
      <c r="R242" s="41" t="s">
        <v>1922</v>
      </c>
      <c r="S242" s="41" t="s">
        <v>1923</v>
      </c>
    </row>
    <row r="243" spans="1:19" ht="74.099999999999994" customHeight="1">
      <c r="A243" s="40" t="s">
        <v>278</v>
      </c>
      <c r="B243" s="40" t="s">
        <v>2702</v>
      </c>
      <c r="C243" s="46">
        <v>8</v>
      </c>
      <c r="D243" s="40" t="s">
        <v>1883</v>
      </c>
      <c r="E243" s="40" t="s">
        <v>1903</v>
      </c>
      <c r="F243" s="40" t="s">
        <v>1883</v>
      </c>
      <c r="G243" s="40" t="s">
        <v>1904</v>
      </c>
      <c r="H243" s="40" t="s">
        <v>1871</v>
      </c>
      <c r="I243" s="40" t="s">
        <v>986</v>
      </c>
      <c r="J243" s="40" t="s">
        <v>2703</v>
      </c>
      <c r="K243" s="40" t="s">
        <v>2704</v>
      </c>
      <c r="L243" s="40" t="s">
        <v>2705</v>
      </c>
      <c r="M243" s="40" t="s">
        <v>1908</v>
      </c>
      <c r="N243" s="40" t="s">
        <v>1909</v>
      </c>
      <c r="O243" s="40" t="s">
        <v>1876</v>
      </c>
      <c r="P243" s="40" t="s">
        <v>1910</v>
      </c>
      <c r="Q243" s="40" t="s">
        <v>1911</v>
      </c>
      <c r="R243" s="40" t="s">
        <v>1912</v>
      </c>
      <c r="S243" s="40" t="s">
        <v>2706</v>
      </c>
    </row>
    <row r="244" spans="1:19" ht="74.099999999999994" customHeight="1">
      <c r="A244" s="41" t="s">
        <v>278</v>
      </c>
      <c r="B244" s="41" t="s">
        <v>2707</v>
      </c>
      <c r="C244" s="47">
        <v>9</v>
      </c>
      <c r="D244" s="41" t="s">
        <v>1883</v>
      </c>
      <c r="E244" s="41" t="s">
        <v>1937</v>
      </c>
      <c r="F244" s="41" t="s">
        <v>1883</v>
      </c>
      <c r="G244" s="41" t="s">
        <v>1904</v>
      </c>
      <c r="H244" s="41" t="s">
        <v>1871</v>
      </c>
      <c r="I244" s="41" t="s">
        <v>986</v>
      </c>
      <c r="J244" s="41" t="s">
        <v>2708</v>
      </c>
      <c r="K244" s="41" t="s">
        <v>2709</v>
      </c>
      <c r="L244" s="41" t="s">
        <v>1940</v>
      </c>
      <c r="M244" s="41" t="s">
        <v>1941</v>
      </c>
      <c r="N244" s="41" t="s">
        <v>2710</v>
      </c>
      <c r="O244" s="41" t="s">
        <v>1876</v>
      </c>
      <c r="P244" s="41" t="s">
        <v>1943</v>
      </c>
      <c r="Q244" s="41" t="s">
        <v>1944</v>
      </c>
      <c r="R244" s="41" t="s">
        <v>1945</v>
      </c>
      <c r="S244" s="41" t="s">
        <v>2711</v>
      </c>
    </row>
    <row r="245" spans="1:19" ht="74.099999999999994" customHeight="1">
      <c r="A245" s="40" t="s">
        <v>278</v>
      </c>
      <c r="B245" s="40" t="s">
        <v>2712</v>
      </c>
      <c r="C245" s="46">
        <v>10</v>
      </c>
      <c r="D245" s="40" t="s">
        <v>1948</v>
      </c>
      <c r="E245" s="40" t="s">
        <v>1980</v>
      </c>
      <c r="F245" s="40" t="s">
        <v>1883</v>
      </c>
      <c r="G245" s="40" t="s">
        <v>1981</v>
      </c>
      <c r="H245" s="40" t="s">
        <v>1871</v>
      </c>
      <c r="I245" s="40" t="s">
        <v>986</v>
      </c>
      <c r="J245" s="40" t="s">
        <v>2713</v>
      </c>
      <c r="K245" s="40" t="s">
        <v>2714</v>
      </c>
      <c r="L245" s="40" t="s">
        <v>1984</v>
      </c>
      <c r="M245" s="40" t="s">
        <v>1985</v>
      </c>
      <c r="N245" s="40" t="s">
        <v>1986</v>
      </c>
      <c r="O245" s="40" t="s">
        <v>1167</v>
      </c>
      <c r="P245" s="40" t="s">
        <v>1987</v>
      </c>
      <c r="Q245" s="40" t="s">
        <v>1988</v>
      </c>
      <c r="R245" s="40" t="s">
        <v>1989</v>
      </c>
      <c r="S245" s="40" t="s">
        <v>1990</v>
      </c>
    </row>
    <row r="246" spans="1:19" ht="74.099999999999994" customHeight="1">
      <c r="A246" s="41" t="s">
        <v>278</v>
      </c>
      <c r="B246" s="41" t="s">
        <v>2715</v>
      </c>
      <c r="C246" s="47">
        <v>11</v>
      </c>
      <c r="D246" s="41" t="s">
        <v>1992</v>
      </c>
      <c r="E246" s="41" t="s">
        <v>1882</v>
      </c>
      <c r="F246" s="41" t="s">
        <v>1883</v>
      </c>
      <c r="G246" s="41" t="s">
        <v>1884</v>
      </c>
      <c r="H246" s="41" t="s">
        <v>1871</v>
      </c>
      <c r="I246" s="41" t="s">
        <v>986</v>
      </c>
      <c r="J246" s="41" t="s">
        <v>2716</v>
      </c>
      <c r="K246" s="41" t="s">
        <v>1993</v>
      </c>
      <c r="L246" s="41" t="s">
        <v>2717</v>
      </c>
      <c r="M246" s="41" t="s">
        <v>1995</v>
      </c>
      <c r="N246" s="41" t="s">
        <v>1996</v>
      </c>
      <c r="O246" s="41" t="s">
        <v>1876</v>
      </c>
      <c r="P246" s="41" t="s">
        <v>1997</v>
      </c>
      <c r="Q246" s="41" t="s">
        <v>1881</v>
      </c>
      <c r="R246" s="41" t="s">
        <v>1998</v>
      </c>
      <c r="S246" s="41" t="s">
        <v>1999</v>
      </c>
    </row>
    <row r="247" spans="1:19" ht="74.099999999999994" customHeight="1">
      <c r="A247" s="40" t="s">
        <v>278</v>
      </c>
      <c r="B247" s="40" t="s">
        <v>2718</v>
      </c>
      <c r="C247" s="46">
        <v>12</v>
      </c>
      <c r="D247" s="40" t="s">
        <v>2001</v>
      </c>
      <c r="E247" s="40" t="s">
        <v>2002</v>
      </c>
      <c r="F247" s="40" t="s">
        <v>2003</v>
      </c>
      <c r="G247" s="40"/>
      <c r="H247" s="40" t="s">
        <v>1871</v>
      </c>
      <c r="I247" s="40"/>
      <c r="J247" s="40" t="s">
        <v>278</v>
      </c>
      <c r="K247" s="40" t="s">
        <v>2004</v>
      </c>
      <c r="L247" s="40" t="s">
        <v>2005</v>
      </c>
      <c r="M247" s="40" t="s">
        <v>2006</v>
      </c>
      <c r="N247" s="40" t="s">
        <v>2007</v>
      </c>
      <c r="O247" s="40" t="s">
        <v>1876</v>
      </c>
      <c r="P247" s="40" t="s">
        <v>2008</v>
      </c>
      <c r="Q247" s="40" t="s">
        <v>2001</v>
      </c>
      <c r="R247" s="40" t="s">
        <v>2009</v>
      </c>
      <c r="S247" s="40" t="s">
        <v>2010</v>
      </c>
    </row>
    <row r="248" spans="1:19" ht="74.099999999999994" customHeight="1">
      <c r="A248" s="41" t="s">
        <v>286</v>
      </c>
      <c r="B248" s="41" t="s">
        <v>2719</v>
      </c>
      <c r="C248" s="47">
        <v>1</v>
      </c>
      <c r="D248" s="41" t="s">
        <v>1868</v>
      </c>
      <c r="E248" s="41" t="s">
        <v>1869</v>
      </c>
      <c r="F248" s="41" t="s">
        <v>1870</v>
      </c>
      <c r="G248" s="41"/>
      <c r="H248" s="41" t="s">
        <v>1871</v>
      </c>
      <c r="I248" s="41" t="s">
        <v>993</v>
      </c>
      <c r="J248" s="41" t="s">
        <v>1724</v>
      </c>
      <c r="K248" s="41" t="s">
        <v>2720</v>
      </c>
      <c r="L248" s="41" t="s">
        <v>1873</v>
      </c>
      <c r="M248" s="41" t="s">
        <v>1874</v>
      </c>
      <c r="N248" s="41" t="s">
        <v>1875</v>
      </c>
      <c r="O248" s="41" t="s">
        <v>1876</v>
      </c>
      <c r="P248" s="41"/>
      <c r="Q248" s="41" t="s">
        <v>1877</v>
      </c>
      <c r="R248" s="41" t="s">
        <v>1878</v>
      </c>
      <c r="S248" s="41" t="s">
        <v>1879</v>
      </c>
    </row>
    <row r="249" spans="1:19" ht="74.099999999999994" customHeight="1">
      <c r="A249" s="40" t="s">
        <v>286</v>
      </c>
      <c r="B249" s="40" t="s">
        <v>2721</v>
      </c>
      <c r="C249" s="46">
        <v>2</v>
      </c>
      <c r="D249" s="40" t="s">
        <v>1881</v>
      </c>
      <c r="E249" s="40" t="s">
        <v>1882</v>
      </c>
      <c r="F249" s="40" t="s">
        <v>1883</v>
      </c>
      <c r="G249" s="40" t="s">
        <v>1884</v>
      </c>
      <c r="H249" s="40" t="s">
        <v>1871</v>
      </c>
      <c r="I249" s="40" t="s">
        <v>993</v>
      </c>
      <c r="J249" s="40" t="s">
        <v>2722</v>
      </c>
      <c r="K249" s="40" t="s">
        <v>1886</v>
      </c>
      <c r="L249" s="40" t="s">
        <v>2723</v>
      </c>
      <c r="M249" s="40" t="s">
        <v>1888</v>
      </c>
      <c r="N249" s="40" t="s">
        <v>1889</v>
      </c>
      <c r="O249" s="40" t="s">
        <v>1876</v>
      </c>
      <c r="P249" s="40"/>
      <c r="Q249" s="40" t="s">
        <v>1881</v>
      </c>
      <c r="R249" s="40" t="s">
        <v>1890</v>
      </c>
      <c r="S249" s="40" t="s">
        <v>1891</v>
      </c>
    </row>
    <row r="250" spans="1:19" ht="74.099999999999994" customHeight="1">
      <c r="A250" s="41" t="s">
        <v>286</v>
      </c>
      <c r="B250" s="41" t="s">
        <v>2724</v>
      </c>
      <c r="C250" s="47">
        <v>3</v>
      </c>
      <c r="D250" s="41" t="s">
        <v>1893</v>
      </c>
      <c r="E250" s="41" t="s">
        <v>1894</v>
      </c>
      <c r="F250" s="41" t="s">
        <v>1870</v>
      </c>
      <c r="G250" s="41"/>
      <c r="H250" s="41" t="s">
        <v>1871</v>
      </c>
      <c r="I250" s="41" t="s">
        <v>993</v>
      </c>
      <c r="J250" s="41" t="s">
        <v>286</v>
      </c>
      <c r="K250" s="41" t="s">
        <v>2017</v>
      </c>
      <c r="L250" s="41" t="s">
        <v>1896</v>
      </c>
      <c r="M250" s="41" t="s">
        <v>1897</v>
      </c>
      <c r="N250" s="41" t="s">
        <v>1898</v>
      </c>
      <c r="O250" s="41" t="s">
        <v>1876</v>
      </c>
      <c r="P250" s="41"/>
      <c r="Q250" s="41" t="s">
        <v>1899</v>
      </c>
      <c r="R250" s="41" t="s">
        <v>1900</v>
      </c>
      <c r="S250" s="41" t="s">
        <v>2018</v>
      </c>
    </row>
    <row r="251" spans="1:19" ht="74.099999999999994" customHeight="1">
      <c r="A251" s="40" t="s">
        <v>286</v>
      </c>
      <c r="B251" s="40" t="s">
        <v>2725</v>
      </c>
      <c r="C251" s="46">
        <v>4</v>
      </c>
      <c r="D251" s="40" t="s">
        <v>1883</v>
      </c>
      <c r="E251" s="40" t="s">
        <v>1903</v>
      </c>
      <c r="F251" s="40" t="s">
        <v>1883</v>
      </c>
      <c r="G251" s="40" t="s">
        <v>1904</v>
      </c>
      <c r="H251" s="40" t="s">
        <v>1871</v>
      </c>
      <c r="I251" s="40" t="s">
        <v>993</v>
      </c>
      <c r="J251" s="40" t="s">
        <v>2726</v>
      </c>
      <c r="K251" s="40" t="s">
        <v>2727</v>
      </c>
      <c r="L251" s="40" t="s">
        <v>2728</v>
      </c>
      <c r="M251" s="40" t="s">
        <v>1908</v>
      </c>
      <c r="N251" s="40" t="s">
        <v>1909</v>
      </c>
      <c r="O251" s="40" t="s">
        <v>1876</v>
      </c>
      <c r="P251" s="40" t="s">
        <v>1910</v>
      </c>
      <c r="Q251" s="40" t="s">
        <v>1911</v>
      </c>
      <c r="R251" s="40" t="s">
        <v>1912</v>
      </c>
      <c r="S251" s="40" t="s">
        <v>2729</v>
      </c>
    </row>
    <row r="252" spans="1:19" ht="74.099999999999994" customHeight="1">
      <c r="A252" s="41" t="s">
        <v>286</v>
      </c>
      <c r="B252" s="41" t="s">
        <v>2730</v>
      </c>
      <c r="C252" s="47">
        <v>5</v>
      </c>
      <c r="D252" s="41" t="s">
        <v>1883</v>
      </c>
      <c r="E252" s="41" t="s">
        <v>1937</v>
      </c>
      <c r="F252" s="41" t="s">
        <v>1883</v>
      </c>
      <c r="G252" s="41" t="s">
        <v>1904</v>
      </c>
      <c r="H252" s="41" t="s">
        <v>1871</v>
      </c>
      <c r="I252" s="41" t="s">
        <v>993</v>
      </c>
      <c r="J252" s="41" t="s">
        <v>2731</v>
      </c>
      <c r="K252" s="41" t="s">
        <v>995</v>
      </c>
      <c r="L252" s="41" t="s">
        <v>1940</v>
      </c>
      <c r="M252" s="41" t="s">
        <v>1941</v>
      </c>
      <c r="N252" s="41" t="s">
        <v>2732</v>
      </c>
      <c r="O252" s="41" t="s">
        <v>1876</v>
      </c>
      <c r="P252" s="41" t="s">
        <v>1943</v>
      </c>
      <c r="Q252" s="41" t="s">
        <v>1944</v>
      </c>
      <c r="R252" s="41" t="s">
        <v>1945</v>
      </c>
      <c r="S252" s="41" t="s">
        <v>2094</v>
      </c>
    </row>
    <row r="253" spans="1:19" ht="74.099999999999994" customHeight="1">
      <c r="A253" s="40" t="s">
        <v>286</v>
      </c>
      <c r="B253" s="40" t="s">
        <v>2733</v>
      </c>
      <c r="C253" s="46">
        <v>6</v>
      </c>
      <c r="D253" s="40" t="s">
        <v>1992</v>
      </c>
      <c r="E253" s="40" t="s">
        <v>1882</v>
      </c>
      <c r="F253" s="40" t="s">
        <v>1883</v>
      </c>
      <c r="G253" s="40" t="s">
        <v>1884</v>
      </c>
      <c r="H253" s="40" t="s">
        <v>1871</v>
      </c>
      <c r="I253" s="40" t="s">
        <v>993</v>
      </c>
      <c r="J253" s="40" t="s">
        <v>2734</v>
      </c>
      <c r="K253" s="40" t="s">
        <v>1993</v>
      </c>
      <c r="L253" s="40" t="s">
        <v>2735</v>
      </c>
      <c r="M253" s="40" t="s">
        <v>1995</v>
      </c>
      <c r="N253" s="40" t="s">
        <v>1996</v>
      </c>
      <c r="O253" s="40" t="s">
        <v>1876</v>
      </c>
      <c r="P253" s="40" t="s">
        <v>1997</v>
      </c>
      <c r="Q253" s="40" t="s">
        <v>1881</v>
      </c>
      <c r="R253" s="40" t="s">
        <v>1998</v>
      </c>
      <c r="S253" s="40" t="s">
        <v>1999</v>
      </c>
    </row>
    <row r="254" spans="1:19" ht="74.099999999999994" customHeight="1">
      <c r="A254" s="41" t="s">
        <v>286</v>
      </c>
      <c r="B254" s="41" t="s">
        <v>2736</v>
      </c>
      <c r="C254" s="47">
        <v>7</v>
      </c>
      <c r="D254" s="41" t="s">
        <v>2001</v>
      </c>
      <c r="E254" s="41" t="s">
        <v>2002</v>
      </c>
      <c r="F254" s="41" t="s">
        <v>2003</v>
      </c>
      <c r="G254" s="41"/>
      <c r="H254" s="41" t="s">
        <v>1871</v>
      </c>
      <c r="I254" s="41"/>
      <c r="J254" s="41" t="s">
        <v>286</v>
      </c>
      <c r="K254" s="41" t="s">
        <v>2004</v>
      </c>
      <c r="L254" s="41" t="s">
        <v>2005</v>
      </c>
      <c r="M254" s="41" t="s">
        <v>2006</v>
      </c>
      <c r="N254" s="41" t="s">
        <v>2007</v>
      </c>
      <c r="O254" s="41" t="s">
        <v>1876</v>
      </c>
      <c r="P254" s="41" t="s">
        <v>2008</v>
      </c>
      <c r="Q254" s="41" t="s">
        <v>2001</v>
      </c>
      <c r="R254" s="41" t="s">
        <v>2009</v>
      </c>
      <c r="S254" s="41" t="s">
        <v>2010</v>
      </c>
    </row>
    <row r="255" spans="1:19" ht="74.099999999999994" customHeight="1">
      <c r="A255" s="40" t="s">
        <v>292</v>
      </c>
      <c r="B255" s="40" t="s">
        <v>2737</v>
      </c>
      <c r="C255" s="46">
        <v>1</v>
      </c>
      <c r="D255" s="40" t="s">
        <v>1868</v>
      </c>
      <c r="E255" s="40" t="s">
        <v>1869</v>
      </c>
      <c r="F255" s="40" t="s">
        <v>1870</v>
      </c>
      <c r="G255" s="40"/>
      <c r="H255" s="40" t="s">
        <v>1871</v>
      </c>
      <c r="I255" s="40" t="s">
        <v>999</v>
      </c>
      <c r="J255" s="40" t="s">
        <v>1730</v>
      </c>
      <c r="K255" s="40" t="s">
        <v>2738</v>
      </c>
      <c r="L255" s="40" t="s">
        <v>1873</v>
      </c>
      <c r="M255" s="40" t="s">
        <v>1874</v>
      </c>
      <c r="N255" s="40" t="s">
        <v>1875</v>
      </c>
      <c r="O255" s="40" t="s">
        <v>1876</v>
      </c>
      <c r="P255" s="40"/>
      <c r="Q255" s="40" t="s">
        <v>1877</v>
      </c>
      <c r="R255" s="40" t="s">
        <v>1878</v>
      </c>
      <c r="S255" s="40" t="s">
        <v>1879</v>
      </c>
    </row>
    <row r="256" spans="1:19" ht="74.099999999999994" customHeight="1">
      <c r="A256" s="41" t="s">
        <v>292</v>
      </c>
      <c r="B256" s="41" t="s">
        <v>2739</v>
      </c>
      <c r="C256" s="47">
        <v>2</v>
      </c>
      <c r="D256" s="41" t="s">
        <v>1881</v>
      </c>
      <c r="E256" s="41" t="s">
        <v>1882</v>
      </c>
      <c r="F256" s="41" t="s">
        <v>1883</v>
      </c>
      <c r="G256" s="41" t="s">
        <v>1884</v>
      </c>
      <c r="H256" s="41" t="s">
        <v>1871</v>
      </c>
      <c r="I256" s="41" t="s">
        <v>999</v>
      </c>
      <c r="J256" s="41" t="s">
        <v>2740</v>
      </c>
      <c r="K256" s="41" t="s">
        <v>1886</v>
      </c>
      <c r="L256" s="41" t="s">
        <v>2741</v>
      </c>
      <c r="M256" s="41" t="s">
        <v>1888</v>
      </c>
      <c r="N256" s="41" t="s">
        <v>1889</v>
      </c>
      <c r="O256" s="41" t="s">
        <v>1876</v>
      </c>
      <c r="P256" s="41"/>
      <c r="Q256" s="41" t="s">
        <v>1881</v>
      </c>
      <c r="R256" s="41" t="s">
        <v>1890</v>
      </c>
      <c r="S256" s="41" t="s">
        <v>1891</v>
      </c>
    </row>
    <row r="257" spans="1:19" ht="74.099999999999994" customHeight="1">
      <c r="A257" s="40" t="s">
        <v>292</v>
      </c>
      <c r="B257" s="40" t="s">
        <v>2742</v>
      </c>
      <c r="C257" s="46">
        <v>3</v>
      </c>
      <c r="D257" s="40" t="s">
        <v>1893</v>
      </c>
      <c r="E257" s="40" t="s">
        <v>1894</v>
      </c>
      <c r="F257" s="40" t="s">
        <v>1870</v>
      </c>
      <c r="G257" s="40"/>
      <c r="H257" s="40" t="s">
        <v>1871</v>
      </c>
      <c r="I257" s="40" t="s">
        <v>999</v>
      </c>
      <c r="J257" s="40" t="s">
        <v>292</v>
      </c>
      <c r="K257" s="40" t="s">
        <v>2017</v>
      </c>
      <c r="L257" s="40" t="s">
        <v>1896</v>
      </c>
      <c r="M257" s="40" t="s">
        <v>1897</v>
      </c>
      <c r="N257" s="40" t="s">
        <v>1898</v>
      </c>
      <c r="O257" s="40" t="s">
        <v>1876</v>
      </c>
      <c r="P257" s="40"/>
      <c r="Q257" s="40" t="s">
        <v>1899</v>
      </c>
      <c r="R257" s="40" t="s">
        <v>1900</v>
      </c>
      <c r="S257" s="40" t="s">
        <v>2018</v>
      </c>
    </row>
    <row r="258" spans="1:19" ht="74.099999999999994" customHeight="1">
      <c r="A258" s="41" t="s">
        <v>292</v>
      </c>
      <c r="B258" s="41" t="s">
        <v>2743</v>
      </c>
      <c r="C258" s="47">
        <v>4</v>
      </c>
      <c r="D258" s="41" t="s">
        <v>1883</v>
      </c>
      <c r="E258" s="41" t="s">
        <v>1903</v>
      </c>
      <c r="F258" s="41" t="s">
        <v>1883</v>
      </c>
      <c r="G258" s="41" t="s">
        <v>1904</v>
      </c>
      <c r="H258" s="41" t="s">
        <v>1871</v>
      </c>
      <c r="I258" s="41" t="s">
        <v>999</v>
      </c>
      <c r="J258" s="41" t="s">
        <v>2744</v>
      </c>
      <c r="K258" s="41" t="s">
        <v>2745</v>
      </c>
      <c r="L258" s="41" t="s">
        <v>2746</v>
      </c>
      <c r="M258" s="41" t="s">
        <v>1908</v>
      </c>
      <c r="N258" s="41" t="s">
        <v>1909</v>
      </c>
      <c r="O258" s="41" t="s">
        <v>1876</v>
      </c>
      <c r="P258" s="41" t="s">
        <v>1910</v>
      </c>
      <c r="Q258" s="41" t="s">
        <v>1911</v>
      </c>
      <c r="R258" s="41" t="s">
        <v>1912</v>
      </c>
      <c r="S258" s="41" t="s">
        <v>2747</v>
      </c>
    </row>
    <row r="259" spans="1:19" ht="74.099999999999994" customHeight="1">
      <c r="A259" s="40" t="s">
        <v>292</v>
      </c>
      <c r="B259" s="40" t="s">
        <v>2748</v>
      </c>
      <c r="C259" s="46">
        <v>5</v>
      </c>
      <c r="D259" s="40" t="s">
        <v>1883</v>
      </c>
      <c r="E259" s="40" t="s">
        <v>1915</v>
      </c>
      <c r="F259" s="40" t="s">
        <v>1883</v>
      </c>
      <c r="G259" s="40" t="s">
        <v>1915</v>
      </c>
      <c r="H259" s="40" t="s">
        <v>1871</v>
      </c>
      <c r="I259" s="40" t="s">
        <v>1008</v>
      </c>
      <c r="J259" s="40" t="s">
        <v>1008</v>
      </c>
      <c r="K259" s="40" t="s">
        <v>2749</v>
      </c>
      <c r="L259" s="40" t="s">
        <v>1917</v>
      </c>
      <c r="M259" s="40" t="s">
        <v>1918</v>
      </c>
      <c r="N259" s="40" t="s">
        <v>1919</v>
      </c>
      <c r="O259" s="40" t="s">
        <v>1876</v>
      </c>
      <c r="P259" s="40" t="s">
        <v>1920</v>
      </c>
      <c r="Q259" s="40" t="s">
        <v>1921</v>
      </c>
      <c r="R259" s="40" t="s">
        <v>1922</v>
      </c>
      <c r="S259" s="40" t="s">
        <v>1923</v>
      </c>
    </row>
    <row r="260" spans="1:19" ht="74.099999999999994" customHeight="1">
      <c r="A260" s="41" t="s">
        <v>292</v>
      </c>
      <c r="B260" s="41" t="s">
        <v>2750</v>
      </c>
      <c r="C260" s="47">
        <v>6</v>
      </c>
      <c r="D260" s="41" t="s">
        <v>1883</v>
      </c>
      <c r="E260" s="41" t="s">
        <v>1903</v>
      </c>
      <c r="F260" s="41" t="s">
        <v>1883</v>
      </c>
      <c r="G260" s="41" t="s">
        <v>1904</v>
      </c>
      <c r="H260" s="41" t="s">
        <v>1871</v>
      </c>
      <c r="I260" s="41" t="s">
        <v>1008</v>
      </c>
      <c r="J260" s="41" t="s">
        <v>2751</v>
      </c>
      <c r="K260" s="41" t="s">
        <v>2752</v>
      </c>
      <c r="L260" s="41" t="s">
        <v>2253</v>
      </c>
      <c r="M260" s="41" t="s">
        <v>1908</v>
      </c>
      <c r="N260" s="41" t="s">
        <v>1909</v>
      </c>
      <c r="O260" s="41" t="s">
        <v>1876</v>
      </c>
      <c r="P260" s="41" t="s">
        <v>1910</v>
      </c>
      <c r="Q260" s="41" t="s">
        <v>1911</v>
      </c>
      <c r="R260" s="41" t="s">
        <v>1912</v>
      </c>
      <c r="S260" s="41" t="s">
        <v>2753</v>
      </c>
    </row>
    <row r="261" spans="1:19" ht="74.099999999999994" customHeight="1">
      <c r="A261" s="40" t="s">
        <v>292</v>
      </c>
      <c r="B261" s="40" t="s">
        <v>2754</v>
      </c>
      <c r="C261" s="46">
        <v>7</v>
      </c>
      <c r="D261" s="40" t="s">
        <v>1883</v>
      </c>
      <c r="E261" s="40" t="s">
        <v>1915</v>
      </c>
      <c r="F261" s="40" t="s">
        <v>1883</v>
      </c>
      <c r="G261" s="40" t="s">
        <v>1915</v>
      </c>
      <c r="H261" s="40" t="s">
        <v>1871</v>
      </c>
      <c r="I261" s="40" t="s">
        <v>1014</v>
      </c>
      <c r="J261" s="40" t="s">
        <v>1014</v>
      </c>
      <c r="K261" s="40" t="s">
        <v>2755</v>
      </c>
      <c r="L261" s="40" t="s">
        <v>1917</v>
      </c>
      <c r="M261" s="40" t="s">
        <v>1918</v>
      </c>
      <c r="N261" s="40" t="s">
        <v>1919</v>
      </c>
      <c r="O261" s="40" t="s">
        <v>1876</v>
      </c>
      <c r="P261" s="40" t="s">
        <v>1920</v>
      </c>
      <c r="Q261" s="40" t="s">
        <v>1921</v>
      </c>
      <c r="R261" s="40" t="s">
        <v>1922</v>
      </c>
      <c r="S261" s="40" t="s">
        <v>1923</v>
      </c>
    </row>
    <row r="262" spans="1:19" ht="74.099999999999994" customHeight="1">
      <c r="A262" s="41" t="s">
        <v>292</v>
      </c>
      <c r="B262" s="41" t="s">
        <v>2756</v>
      </c>
      <c r="C262" s="47">
        <v>8</v>
      </c>
      <c r="D262" s="41" t="s">
        <v>1883</v>
      </c>
      <c r="E262" s="41" t="s">
        <v>1903</v>
      </c>
      <c r="F262" s="41" t="s">
        <v>1883</v>
      </c>
      <c r="G262" s="41" t="s">
        <v>1904</v>
      </c>
      <c r="H262" s="41" t="s">
        <v>1871</v>
      </c>
      <c r="I262" s="41" t="s">
        <v>1014</v>
      </c>
      <c r="J262" s="41" t="s">
        <v>2757</v>
      </c>
      <c r="K262" s="41" t="s">
        <v>2758</v>
      </c>
      <c r="L262" s="41" t="s">
        <v>2088</v>
      </c>
      <c r="M262" s="41" t="s">
        <v>1908</v>
      </c>
      <c r="N262" s="41" t="s">
        <v>1909</v>
      </c>
      <c r="O262" s="41" t="s">
        <v>1876</v>
      </c>
      <c r="P262" s="41" t="s">
        <v>1910</v>
      </c>
      <c r="Q262" s="41" t="s">
        <v>1911</v>
      </c>
      <c r="R262" s="41" t="s">
        <v>1912</v>
      </c>
      <c r="S262" s="41" t="s">
        <v>2759</v>
      </c>
    </row>
    <row r="263" spans="1:19" ht="74.099999999999994" customHeight="1">
      <c r="A263" s="40" t="s">
        <v>292</v>
      </c>
      <c r="B263" s="40" t="s">
        <v>2760</v>
      </c>
      <c r="C263" s="46">
        <v>9</v>
      </c>
      <c r="D263" s="40" t="s">
        <v>1883</v>
      </c>
      <c r="E263" s="40" t="s">
        <v>1937</v>
      </c>
      <c r="F263" s="40" t="s">
        <v>1883</v>
      </c>
      <c r="G263" s="40" t="s">
        <v>1904</v>
      </c>
      <c r="H263" s="40" t="s">
        <v>1871</v>
      </c>
      <c r="I263" s="40" t="s">
        <v>1014</v>
      </c>
      <c r="J263" s="40" t="s">
        <v>2761</v>
      </c>
      <c r="K263" s="40" t="s">
        <v>2762</v>
      </c>
      <c r="L263" s="40" t="s">
        <v>1940</v>
      </c>
      <c r="M263" s="40" t="s">
        <v>1941</v>
      </c>
      <c r="N263" s="40" t="s">
        <v>2763</v>
      </c>
      <c r="O263" s="40" t="s">
        <v>1876</v>
      </c>
      <c r="P263" s="40" t="s">
        <v>1943</v>
      </c>
      <c r="Q263" s="40" t="s">
        <v>1944</v>
      </c>
      <c r="R263" s="40" t="s">
        <v>1945</v>
      </c>
      <c r="S263" s="40" t="s">
        <v>2764</v>
      </c>
    </row>
    <row r="264" spans="1:19" ht="74.099999999999994" customHeight="1">
      <c r="A264" s="41" t="s">
        <v>292</v>
      </c>
      <c r="B264" s="41" t="s">
        <v>2765</v>
      </c>
      <c r="C264" s="47">
        <v>10</v>
      </c>
      <c r="D264" s="41" t="s">
        <v>1883</v>
      </c>
      <c r="E264" s="41" t="s">
        <v>1970</v>
      </c>
      <c r="F264" s="41" t="s">
        <v>1883</v>
      </c>
      <c r="G264" s="41" t="s">
        <v>1884</v>
      </c>
      <c r="H264" s="41" t="s">
        <v>1871</v>
      </c>
      <c r="I264" s="41" t="s">
        <v>1014</v>
      </c>
      <c r="J264" s="41" t="s">
        <v>2766</v>
      </c>
      <c r="K264" s="41" t="s">
        <v>2767</v>
      </c>
      <c r="L264" s="41" t="s">
        <v>2203</v>
      </c>
      <c r="M264" s="41" t="s">
        <v>2204</v>
      </c>
      <c r="N264" s="41" t="s">
        <v>2205</v>
      </c>
      <c r="O264" s="41" t="s">
        <v>1876</v>
      </c>
      <c r="P264" s="41" t="s">
        <v>1955</v>
      </c>
      <c r="Q264" s="41" t="s">
        <v>1976</v>
      </c>
      <c r="R264" s="41" t="s">
        <v>1977</v>
      </c>
      <c r="S264" s="41" t="s">
        <v>2206</v>
      </c>
    </row>
    <row r="265" spans="1:19" ht="74.099999999999994" customHeight="1">
      <c r="A265" s="40" t="s">
        <v>292</v>
      </c>
      <c r="B265" s="40" t="s">
        <v>2768</v>
      </c>
      <c r="C265" s="46">
        <v>11</v>
      </c>
      <c r="D265" s="40" t="s">
        <v>1992</v>
      </c>
      <c r="E265" s="40" t="s">
        <v>1882</v>
      </c>
      <c r="F265" s="40" t="s">
        <v>1883</v>
      </c>
      <c r="G265" s="40" t="s">
        <v>1884</v>
      </c>
      <c r="H265" s="40" t="s">
        <v>1871</v>
      </c>
      <c r="I265" s="40" t="s">
        <v>1014</v>
      </c>
      <c r="J265" s="40" t="s">
        <v>2766</v>
      </c>
      <c r="K265" s="40" t="s">
        <v>1993</v>
      </c>
      <c r="L265" s="40" t="s">
        <v>2769</v>
      </c>
      <c r="M265" s="40" t="s">
        <v>1995</v>
      </c>
      <c r="N265" s="40" t="s">
        <v>1996</v>
      </c>
      <c r="O265" s="40" t="s">
        <v>1876</v>
      </c>
      <c r="P265" s="40" t="s">
        <v>1997</v>
      </c>
      <c r="Q265" s="40" t="s">
        <v>1881</v>
      </c>
      <c r="R265" s="40" t="s">
        <v>1998</v>
      </c>
      <c r="S265" s="40" t="s">
        <v>1999</v>
      </c>
    </row>
    <row r="266" spans="1:19" ht="74.099999999999994" customHeight="1">
      <c r="A266" s="41" t="s">
        <v>292</v>
      </c>
      <c r="B266" s="41" t="s">
        <v>2770</v>
      </c>
      <c r="C266" s="47">
        <v>12</v>
      </c>
      <c r="D266" s="41" t="s">
        <v>2001</v>
      </c>
      <c r="E266" s="41" t="s">
        <v>2002</v>
      </c>
      <c r="F266" s="41" t="s">
        <v>2003</v>
      </c>
      <c r="G266" s="41"/>
      <c r="H266" s="41" t="s">
        <v>1871</v>
      </c>
      <c r="I266" s="41"/>
      <c r="J266" s="41" t="s">
        <v>292</v>
      </c>
      <c r="K266" s="41" t="s">
        <v>2004</v>
      </c>
      <c r="L266" s="41" t="s">
        <v>2005</v>
      </c>
      <c r="M266" s="41" t="s">
        <v>2006</v>
      </c>
      <c r="N266" s="41" t="s">
        <v>2007</v>
      </c>
      <c r="O266" s="41" t="s">
        <v>1876</v>
      </c>
      <c r="P266" s="41" t="s">
        <v>2008</v>
      </c>
      <c r="Q266" s="41" t="s">
        <v>2001</v>
      </c>
      <c r="R266" s="41" t="s">
        <v>2009</v>
      </c>
      <c r="S266" s="41" t="s">
        <v>2010</v>
      </c>
    </row>
    <row r="267" spans="1:19" ht="74.099999999999994" customHeight="1">
      <c r="A267" s="40" t="s">
        <v>298</v>
      </c>
      <c r="B267" s="40" t="s">
        <v>2771</v>
      </c>
      <c r="C267" s="46">
        <v>1</v>
      </c>
      <c r="D267" s="40" t="s">
        <v>1868</v>
      </c>
      <c r="E267" s="40" t="s">
        <v>1869</v>
      </c>
      <c r="F267" s="40" t="s">
        <v>1870</v>
      </c>
      <c r="G267" s="40"/>
      <c r="H267" s="40" t="s">
        <v>1871</v>
      </c>
      <c r="I267" s="40" t="s">
        <v>1022</v>
      </c>
      <c r="J267" s="40" t="s">
        <v>1738</v>
      </c>
      <c r="K267" s="40" t="s">
        <v>2772</v>
      </c>
      <c r="L267" s="40" t="s">
        <v>1873</v>
      </c>
      <c r="M267" s="40" t="s">
        <v>1874</v>
      </c>
      <c r="N267" s="40" t="s">
        <v>1875</v>
      </c>
      <c r="O267" s="40" t="s">
        <v>1876</v>
      </c>
      <c r="P267" s="40"/>
      <c r="Q267" s="40" t="s">
        <v>1877</v>
      </c>
      <c r="R267" s="40" t="s">
        <v>1878</v>
      </c>
      <c r="S267" s="40" t="s">
        <v>1879</v>
      </c>
    </row>
    <row r="268" spans="1:19" ht="74.099999999999994" customHeight="1">
      <c r="A268" s="41" t="s">
        <v>298</v>
      </c>
      <c r="B268" s="41" t="s">
        <v>2773</v>
      </c>
      <c r="C268" s="47">
        <v>2</v>
      </c>
      <c r="D268" s="41" t="s">
        <v>1881</v>
      </c>
      <c r="E268" s="41" t="s">
        <v>1882</v>
      </c>
      <c r="F268" s="41" t="s">
        <v>1883</v>
      </c>
      <c r="G268" s="41" t="s">
        <v>1884</v>
      </c>
      <c r="H268" s="41" t="s">
        <v>1871</v>
      </c>
      <c r="I268" s="41" t="s">
        <v>1022</v>
      </c>
      <c r="J268" s="41" t="s">
        <v>2774</v>
      </c>
      <c r="K268" s="41" t="s">
        <v>1886</v>
      </c>
      <c r="L268" s="41" t="s">
        <v>2775</v>
      </c>
      <c r="M268" s="41" t="s">
        <v>1888</v>
      </c>
      <c r="N268" s="41" t="s">
        <v>1889</v>
      </c>
      <c r="O268" s="41" t="s">
        <v>1876</v>
      </c>
      <c r="P268" s="41"/>
      <c r="Q268" s="41" t="s">
        <v>1881</v>
      </c>
      <c r="R268" s="41" t="s">
        <v>1890</v>
      </c>
      <c r="S268" s="41" t="s">
        <v>1891</v>
      </c>
    </row>
    <row r="269" spans="1:19" ht="74.099999999999994" customHeight="1">
      <c r="A269" s="40" t="s">
        <v>298</v>
      </c>
      <c r="B269" s="40" t="s">
        <v>2776</v>
      </c>
      <c r="C269" s="46">
        <v>3</v>
      </c>
      <c r="D269" s="40" t="s">
        <v>1893</v>
      </c>
      <c r="E269" s="40" t="s">
        <v>1894</v>
      </c>
      <c r="F269" s="40" t="s">
        <v>1870</v>
      </c>
      <c r="G269" s="40"/>
      <c r="H269" s="40" t="s">
        <v>1871</v>
      </c>
      <c r="I269" s="40" t="s">
        <v>1022</v>
      </c>
      <c r="J269" s="40" t="s">
        <v>298</v>
      </c>
      <c r="K269" s="40" t="s">
        <v>2017</v>
      </c>
      <c r="L269" s="40" t="s">
        <v>1896</v>
      </c>
      <c r="M269" s="40" t="s">
        <v>1897</v>
      </c>
      <c r="N269" s="40" t="s">
        <v>1898</v>
      </c>
      <c r="O269" s="40" t="s">
        <v>1876</v>
      </c>
      <c r="P269" s="40"/>
      <c r="Q269" s="40" t="s">
        <v>1899</v>
      </c>
      <c r="R269" s="40" t="s">
        <v>1900</v>
      </c>
      <c r="S269" s="40" t="s">
        <v>2018</v>
      </c>
    </row>
    <row r="270" spans="1:19" ht="74.099999999999994" customHeight="1">
      <c r="A270" s="41" t="s">
        <v>298</v>
      </c>
      <c r="B270" s="41" t="s">
        <v>2777</v>
      </c>
      <c r="C270" s="47">
        <v>4</v>
      </c>
      <c r="D270" s="41" t="s">
        <v>1883</v>
      </c>
      <c r="E270" s="41" t="s">
        <v>1903</v>
      </c>
      <c r="F270" s="41" t="s">
        <v>1883</v>
      </c>
      <c r="G270" s="41" t="s">
        <v>1904</v>
      </c>
      <c r="H270" s="41" t="s">
        <v>1871</v>
      </c>
      <c r="I270" s="41" t="s">
        <v>1022</v>
      </c>
      <c r="J270" s="41" t="s">
        <v>2778</v>
      </c>
      <c r="K270" s="41" t="s">
        <v>2779</v>
      </c>
      <c r="L270" s="41" t="s">
        <v>2062</v>
      </c>
      <c r="M270" s="41" t="s">
        <v>1908</v>
      </c>
      <c r="N270" s="41" t="s">
        <v>1909</v>
      </c>
      <c r="O270" s="41" t="s">
        <v>1876</v>
      </c>
      <c r="P270" s="41" t="s">
        <v>1910</v>
      </c>
      <c r="Q270" s="41" t="s">
        <v>1911</v>
      </c>
      <c r="R270" s="41" t="s">
        <v>1912</v>
      </c>
      <c r="S270" s="41" t="s">
        <v>2780</v>
      </c>
    </row>
    <row r="271" spans="1:19" ht="74.099999999999994" customHeight="1">
      <c r="A271" s="40" t="s">
        <v>298</v>
      </c>
      <c r="B271" s="40" t="s">
        <v>2781</v>
      </c>
      <c r="C271" s="46">
        <v>5</v>
      </c>
      <c r="D271" s="40" t="s">
        <v>1883</v>
      </c>
      <c r="E271" s="40" t="s">
        <v>2072</v>
      </c>
      <c r="F271" s="40" t="s">
        <v>1883</v>
      </c>
      <c r="G271" s="40" t="s">
        <v>1915</v>
      </c>
      <c r="H271" s="40" t="s">
        <v>2073</v>
      </c>
      <c r="I271" s="40" t="s">
        <v>1022</v>
      </c>
      <c r="J271" s="40" t="s">
        <v>2782</v>
      </c>
      <c r="K271" s="40" t="s">
        <v>2783</v>
      </c>
      <c r="L271" s="40" t="s">
        <v>2784</v>
      </c>
      <c r="M271" s="40" t="s">
        <v>2077</v>
      </c>
      <c r="N271" s="40" t="s">
        <v>2785</v>
      </c>
      <c r="O271" s="40" t="s">
        <v>1876</v>
      </c>
      <c r="P271" s="40" t="s">
        <v>2079</v>
      </c>
      <c r="Q271" s="40" t="s">
        <v>2080</v>
      </c>
      <c r="R271" s="40" t="s">
        <v>2081</v>
      </c>
      <c r="S271" s="40" t="s">
        <v>2786</v>
      </c>
    </row>
    <row r="272" spans="1:19" ht="74.099999999999994" customHeight="1">
      <c r="A272" s="41" t="s">
        <v>298</v>
      </c>
      <c r="B272" s="41" t="s">
        <v>2787</v>
      </c>
      <c r="C272" s="47">
        <v>6</v>
      </c>
      <c r="D272" s="41" t="s">
        <v>1883</v>
      </c>
      <c r="E272" s="41" t="s">
        <v>1915</v>
      </c>
      <c r="F272" s="41" t="s">
        <v>1883</v>
      </c>
      <c r="G272" s="41" t="s">
        <v>1915</v>
      </c>
      <c r="H272" s="41" t="s">
        <v>1871</v>
      </c>
      <c r="I272" s="41" t="s">
        <v>1028</v>
      </c>
      <c r="J272" s="41" t="s">
        <v>1028</v>
      </c>
      <c r="K272" s="41" t="s">
        <v>2788</v>
      </c>
      <c r="L272" s="41" t="s">
        <v>1917</v>
      </c>
      <c r="M272" s="41" t="s">
        <v>1918</v>
      </c>
      <c r="N272" s="41" t="s">
        <v>1919</v>
      </c>
      <c r="O272" s="41" t="s">
        <v>1876</v>
      </c>
      <c r="P272" s="41" t="s">
        <v>1920</v>
      </c>
      <c r="Q272" s="41" t="s">
        <v>1921</v>
      </c>
      <c r="R272" s="41" t="s">
        <v>1922</v>
      </c>
      <c r="S272" s="41" t="s">
        <v>1923</v>
      </c>
    </row>
    <row r="273" spans="1:19" ht="74.099999999999994" customHeight="1">
      <c r="A273" s="40" t="s">
        <v>298</v>
      </c>
      <c r="B273" s="40" t="s">
        <v>2789</v>
      </c>
      <c r="C273" s="46">
        <v>7</v>
      </c>
      <c r="D273" s="40" t="s">
        <v>1883</v>
      </c>
      <c r="E273" s="40" t="s">
        <v>1903</v>
      </c>
      <c r="F273" s="40" t="s">
        <v>1883</v>
      </c>
      <c r="G273" s="40" t="s">
        <v>1904</v>
      </c>
      <c r="H273" s="40" t="s">
        <v>1871</v>
      </c>
      <c r="I273" s="40" t="s">
        <v>1028</v>
      </c>
      <c r="J273" s="40" t="s">
        <v>2790</v>
      </c>
      <c r="K273" s="40" t="s">
        <v>2791</v>
      </c>
      <c r="L273" s="40" t="s">
        <v>2792</v>
      </c>
      <c r="M273" s="40" t="s">
        <v>1908</v>
      </c>
      <c r="N273" s="40" t="s">
        <v>1909</v>
      </c>
      <c r="O273" s="40" t="s">
        <v>1876</v>
      </c>
      <c r="P273" s="40" t="s">
        <v>1910</v>
      </c>
      <c r="Q273" s="40" t="s">
        <v>1911</v>
      </c>
      <c r="R273" s="40" t="s">
        <v>1912</v>
      </c>
      <c r="S273" s="40" t="s">
        <v>2793</v>
      </c>
    </row>
    <row r="274" spans="1:19" ht="74.099999999999994" customHeight="1">
      <c r="A274" s="41" t="s">
        <v>298</v>
      </c>
      <c r="B274" s="41" t="s">
        <v>2794</v>
      </c>
      <c r="C274" s="47">
        <v>8</v>
      </c>
      <c r="D274" s="41" t="s">
        <v>1883</v>
      </c>
      <c r="E274" s="41" t="s">
        <v>1937</v>
      </c>
      <c r="F274" s="41" t="s">
        <v>1883</v>
      </c>
      <c r="G274" s="41" t="s">
        <v>1904</v>
      </c>
      <c r="H274" s="41" t="s">
        <v>1871</v>
      </c>
      <c r="I274" s="41" t="s">
        <v>1028</v>
      </c>
      <c r="J274" s="41" t="s">
        <v>2795</v>
      </c>
      <c r="K274" s="41" t="s">
        <v>2796</v>
      </c>
      <c r="L274" s="41" t="s">
        <v>1940</v>
      </c>
      <c r="M274" s="41" t="s">
        <v>1941</v>
      </c>
      <c r="N274" s="41" t="s">
        <v>2797</v>
      </c>
      <c r="O274" s="41" t="s">
        <v>1876</v>
      </c>
      <c r="P274" s="41" t="s">
        <v>1943</v>
      </c>
      <c r="Q274" s="41" t="s">
        <v>1944</v>
      </c>
      <c r="R274" s="41" t="s">
        <v>1945</v>
      </c>
      <c r="S274" s="41" t="s">
        <v>2798</v>
      </c>
    </row>
    <row r="275" spans="1:19" ht="74.099999999999994" customHeight="1">
      <c r="A275" s="40" t="s">
        <v>298</v>
      </c>
      <c r="B275" s="40" t="s">
        <v>2799</v>
      </c>
      <c r="C275" s="46">
        <v>9</v>
      </c>
      <c r="D275" s="40" t="s">
        <v>1948</v>
      </c>
      <c r="E275" s="40" t="s">
        <v>1980</v>
      </c>
      <c r="F275" s="40" t="s">
        <v>1883</v>
      </c>
      <c r="G275" s="40" t="s">
        <v>1981</v>
      </c>
      <c r="H275" s="40" t="s">
        <v>1871</v>
      </c>
      <c r="I275" s="40" t="s">
        <v>1028</v>
      </c>
      <c r="J275" s="40" t="s">
        <v>2800</v>
      </c>
      <c r="K275" s="40" t="s">
        <v>2801</v>
      </c>
      <c r="L275" s="40" t="s">
        <v>1984</v>
      </c>
      <c r="M275" s="40" t="s">
        <v>1985</v>
      </c>
      <c r="N275" s="40" t="s">
        <v>1986</v>
      </c>
      <c r="O275" s="40" t="s">
        <v>1167</v>
      </c>
      <c r="P275" s="40" t="s">
        <v>1987</v>
      </c>
      <c r="Q275" s="40" t="s">
        <v>1988</v>
      </c>
      <c r="R275" s="40" t="s">
        <v>1989</v>
      </c>
      <c r="S275" s="40" t="s">
        <v>1990</v>
      </c>
    </row>
    <row r="276" spans="1:19" ht="74.099999999999994" customHeight="1">
      <c r="A276" s="41" t="s">
        <v>298</v>
      </c>
      <c r="B276" s="41" t="s">
        <v>2802</v>
      </c>
      <c r="C276" s="47">
        <v>10</v>
      </c>
      <c r="D276" s="41" t="s">
        <v>1992</v>
      </c>
      <c r="E276" s="41" t="s">
        <v>1882</v>
      </c>
      <c r="F276" s="41" t="s">
        <v>1883</v>
      </c>
      <c r="G276" s="41" t="s">
        <v>1884</v>
      </c>
      <c r="H276" s="41" t="s">
        <v>1871</v>
      </c>
      <c r="I276" s="41" t="s">
        <v>1028</v>
      </c>
      <c r="J276" s="41" t="s">
        <v>2803</v>
      </c>
      <c r="K276" s="41" t="s">
        <v>1993</v>
      </c>
      <c r="L276" s="41" t="s">
        <v>2804</v>
      </c>
      <c r="M276" s="41" t="s">
        <v>1995</v>
      </c>
      <c r="N276" s="41" t="s">
        <v>1996</v>
      </c>
      <c r="O276" s="41" t="s">
        <v>1876</v>
      </c>
      <c r="P276" s="41" t="s">
        <v>1997</v>
      </c>
      <c r="Q276" s="41" t="s">
        <v>1881</v>
      </c>
      <c r="R276" s="41" t="s">
        <v>1998</v>
      </c>
      <c r="S276" s="41" t="s">
        <v>1999</v>
      </c>
    </row>
    <row r="277" spans="1:19" ht="74.099999999999994" customHeight="1">
      <c r="A277" s="40" t="s">
        <v>298</v>
      </c>
      <c r="B277" s="40" t="s">
        <v>2805</v>
      </c>
      <c r="C277" s="46">
        <v>11</v>
      </c>
      <c r="D277" s="40" t="s">
        <v>2001</v>
      </c>
      <c r="E277" s="40" t="s">
        <v>2002</v>
      </c>
      <c r="F277" s="40" t="s">
        <v>2003</v>
      </c>
      <c r="G277" s="40"/>
      <c r="H277" s="40" t="s">
        <v>1871</v>
      </c>
      <c r="I277" s="40"/>
      <c r="J277" s="40" t="s">
        <v>298</v>
      </c>
      <c r="K277" s="40" t="s">
        <v>2004</v>
      </c>
      <c r="L277" s="40" t="s">
        <v>2005</v>
      </c>
      <c r="M277" s="40" t="s">
        <v>2006</v>
      </c>
      <c r="N277" s="40" t="s">
        <v>2007</v>
      </c>
      <c r="O277" s="40" t="s">
        <v>1876</v>
      </c>
      <c r="P277" s="40" t="s">
        <v>2008</v>
      </c>
      <c r="Q277" s="40" t="s">
        <v>2001</v>
      </c>
      <c r="R277" s="40" t="s">
        <v>2009</v>
      </c>
      <c r="S277" s="40" t="s">
        <v>2010</v>
      </c>
    </row>
    <row r="278" spans="1:19" ht="74.099999999999994" customHeight="1">
      <c r="A278" s="41" t="s">
        <v>305</v>
      </c>
      <c r="B278" s="41" t="s">
        <v>2806</v>
      </c>
      <c r="C278" s="47">
        <v>1</v>
      </c>
      <c r="D278" s="41" t="s">
        <v>1868</v>
      </c>
      <c r="E278" s="41" t="s">
        <v>1869</v>
      </c>
      <c r="F278" s="41" t="s">
        <v>1870</v>
      </c>
      <c r="G278" s="41"/>
      <c r="H278" s="41" t="s">
        <v>1871</v>
      </c>
      <c r="I278" s="41" t="s">
        <v>1037</v>
      </c>
      <c r="J278" s="41" t="s">
        <v>1746</v>
      </c>
      <c r="K278" s="41" t="s">
        <v>2807</v>
      </c>
      <c r="L278" s="41" t="s">
        <v>1873</v>
      </c>
      <c r="M278" s="41" t="s">
        <v>1874</v>
      </c>
      <c r="N278" s="41" t="s">
        <v>1875</v>
      </c>
      <c r="O278" s="41" t="s">
        <v>1876</v>
      </c>
      <c r="P278" s="41"/>
      <c r="Q278" s="41" t="s">
        <v>1877</v>
      </c>
      <c r="R278" s="41" t="s">
        <v>1878</v>
      </c>
      <c r="S278" s="41" t="s">
        <v>1879</v>
      </c>
    </row>
    <row r="279" spans="1:19" ht="74.099999999999994" customHeight="1">
      <c r="A279" s="40" t="s">
        <v>305</v>
      </c>
      <c r="B279" s="40" t="s">
        <v>2808</v>
      </c>
      <c r="C279" s="46">
        <v>2</v>
      </c>
      <c r="D279" s="40" t="s">
        <v>1881</v>
      </c>
      <c r="E279" s="40" t="s">
        <v>1882</v>
      </c>
      <c r="F279" s="40" t="s">
        <v>1883</v>
      </c>
      <c r="G279" s="40" t="s">
        <v>1884</v>
      </c>
      <c r="H279" s="40" t="s">
        <v>1871</v>
      </c>
      <c r="I279" s="40" t="s">
        <v>1037</v>
      </c>
      <c r="J279" s="40" t="s">
        <v>2809</v>
      </c>
      <c r="K279" s="40" t="s">
        <v>1886</v>
      </c>
      <c r="L279" s="40" t="s">
        <v>2810</v>
      </c>
      <c r="M279" s="40" t="s">
        <v>1888</v>
      </c>
      <c r="N279" s="40" t="s">
        <v>1889</v>
      </c>
      <c r="O279" s="40" t="s">
        <v>1876</v>
      </c>
      <c r="P279" s="40"/>
      <c r="Q279" s="40" t="s">
        <v>1881</v>
      </c>
      <c r="R279" s="40" t="s">
        <v>1890</v>
      </c>
      <c r="S279" s="40" t="s">
        <v>1891</v>
      </c>
    </row>
    <row r="280" spans="1:19" ht="74.099999999999994" customHeight="1">
      <c r="A280" s="41" t="s">
        <v>305</v>
      </c>
      <c r="B280" s="41" t="s">
        <v>2811</v>
      </c>
      <c r="C280" s="47">
        <v>3</v>
      </c>
      <c r="D280" s="41" t="s">
        <v>1893</v>
      </c>
      <c r="E280" s="41" t="s">
        <v>1894</v>
      </c>
      <c r="F280" s="41" t="s">
        <v>1870</v>
      </c>
      <c r="G280" s="41"/>
      <c r="H280" s="41" t="s">
        <v>1871</v>
      </c>
      <c r="I280" s="41" t="s">
        <v>1037</v>
      </c>
      <c r="J280" s="41" t="s">
        <v>305</v>
      </c>
      <c r="K280" s="41" t="s">
        <v>2017</v>
      </c>
      <c r="L280" s="41" t="s">
        <v>1896</v>
      </c>
      <c r="M280" s="41" t="s">
        <v>1897</v>
      </c>
      <c r="N280" s="41" t="s">
        <v>1898</v>
      </c>
      <c r="O280" s="41" t="s">
        <v>1876</v>
      </c>
      <c r="P280" s="41"/>
      <c r="Q280" s="41" t="s">
        <v>1899</v>
      </c>
      <c r="R280" s="41" t="s">
        <v>1900</v>
      </c>
      <c r="S280" s="41" t="s">
        <v>2018</v>
      </c>
    </row>
    <row r="281" spans="1:19" ht="74.099999999999994" customHeight="1">
      <c r="A281" s="40" t="s">
        <v>305</v>
      </c>
      <c r="B281" s="40" t="s">
        <v>2812</v>
      </c>
      <c r="C281" s="46">
        <v>4</v>
      </c>
      <c r="D281" s="40" t="s">
        <v>1883</v>
      </c>
      <c r="E281" s="40" t="s">
        <v>1903</v>
      </c>
      <c r="F281" s="40" t="s">
        <v>1883</v>
      </c>
      <c r="G281" s="40" t="s">
        <v>1904</v>
      </c>
      <c r="H281" s="40" t="s">
        <v>1871</v>
      </c>
      <c r="I281" s="40" t="s">
        <v>1037</v>
      </c>
      <c r="J281" s="40" t="s">
        <v>2813</v>
      </c>
      <c r="K281" s="40" t="s">
        <v>2814</v>
      </c>
      <c r="L281" s="40" t="s">
        <v>2088</v>
      </c>
      <c r="M281" s="40" t="s">
        <v>1908</v>
      </c>
      <c r="N281" s="40" t="s">
        <v>1909</v>
      </c>
      <c r="O281" s="40" t="s">
        <v>1876</v>
      </c>
      <c r="P281" s="40" t="s">
        <v>1910</v>
      </c>
      <c r="Q281" s="40" t="s">
        <v>1911</v>
      </c>
      <c r="R281" s="40" t="s">
        <v>1912</v>
      </c>
      <c r="S281" s="40" t="s">
        <v>2815</v>
      </c>
    </row>
    <row r="282" spans="1:19" ht="74.099999999999994" customHeight="1">
      <c r="A282" s="41" t="s">
        <v>305</v>
      </c>
      <c r="B282" s="41" t="s">
        <v>2816</v>
      </c>
      <c r="C282" s="47">
        <v>5</v>
      </c>
      <c r="D282" s="41" t="s">
        <v>1883</v>
      </c>
      <c r="E282" s="41" t="s">
        <v>1915</v>
      </c>
      <c r="F282" s="41" t="s">
        <v>1883</v>
      </c>
      <c r="G282" s="41" t="s">
        <v>1915</v>
      </c>
      <c r="H282" s="41" t="s">
        <v>1871</v>
      </c>
      <c r="I282" s="41" t="s">
        <v>1045</v>
      </c>
      <c r="J282" s="41" t="s">
        <v>1045</v>
      </c>
      <c r="K282" s="41" t="s">
        <v>2817</v>
      </c>
      <c r="L282" s="41" t="s">
        <v>1917</v>
      </c>
      <c r="M282" s="41" t="s">
        <v>1918</v>
      </c>
      <c r="N282" s="41" t="s">
        <v>1919</v>
      </c>
      <c r="O282" s="41" t="s">
        <v>1876</v>
      </c>
      <c r="P282" s="41" t="s">
        <v>1920</v>
      </c>
      <c r="Q282" s="41" t="s">
        <v>1921</v>
      </c>
      <c r="R282" s="41" t="s">
        <v>1922</v>
      </c>
      <c r="S282" s="41" t="s">
        <v>1923</v>
      </c>
    </row>
    <row r="283" spans="1:19" ht="74.099999999999994" customHeight="1">
      <c r="A283" s="40" t="s">
        <v>305</v>
      </c>
      <c r="B283" s="40" t="s">
        <v>2818</v>
      </c>
      <c r="C283" s="46">
        <v>6</v>
      </c>
      <c r="D283" s="40" t="s">
        <v>1883</v>
      </c>
      <c r="E283" s="40" t="s">
        <v>1903</v>
      </c>
      <c r="F283" s="40" t="s">
        <v>1883</v>
      </c>
      <c r="G283" s="40" t="s">
        <v>1904</v>
      </c>
      <c r="H283" s="40" t="s">
        <v>1871</v>
      </c>
      <c r="I283" s="40" t="s">
        <v>1045</v>
      </c>
      <c r="J283" s="40" t="s">
        <v>2819</v>
      </c>
      <c r="K283" s="40" t="s">
        <v>2820</v>
      </c>
      <c r="L283" s="40" t="s">
        <v>2821</v>
      </c>
      <c r="M283" s="40" t="s">
        <v>1908</v>
      </c>
      <c r="N283" s="40" t="s">
        <v>1909</v>
      </c>
      <c r="O283" s="40" t="s">
        <v>1876</v>
      </c>
      <c r="P283" s="40" t="s">
        <v>1910</v>
      </c>
      <c r="Q283" s="40" t="s">
        <v>1911</v>
      </c>
      <c r="R283" s="40" t="s">
        <v>1912</v>
      </c>
      <c r="S283" s="40" t="s">
        <v>2822</v>
      </c>
    </row>
    <row r="284" spans="1:19" ht="74.099999999999994" customHeight="1">
      <c r="A284" s="41" t="s">
        <v>305</v>
      </c>
      <c r="B284" s="41" t="s">
        <v>2823</v>
      </c>
      <c r="C284" s="47">
        <v>7</v>
      </c>
      <c r="D284" s="41" t="s">
        <v>1883</v>
      </c>
      <c r="E284" s="41" t="s">
        <v>1915</v>
      </c>
      <c r="F284" s="41" t="s">
        <v>1883</v>
      </c>
      <c r="G284" s="41" t="s">
        <v>1915</v>
      </c>
      <c r="H284" s="41" t="s">
        <v>1871</v>
      </c>
      <c r="I284" s="41" t="s">
        <v>1052</v>
      </c>
      <c r="J284" s="41" t="s">
        <v>1052</v>
      </c>
      <c r="K284" s="41" t="s">
        <v>2824</v>
      </c>
      <c r="L284" s="41" t="s">
        <v>1917</v>
      </c>
      <c r="M284" s="41" t="s">
        <v>1918</v>
      </c>
      <c r="N284" s="41" t="s">
        <v>1919</v>
      </c>
      <c r="O284" s="41" t="s">
        <v>1876</v>
      </c>
      <c r="P284" s="41" t="s">
        <v>1920</v>
      </c>
      <c r="Q284" s="41" t="s">
        <v>1921</v>
      </c>
      <c r="R284" s="41" t="s">
        <v>1922</v>
      </c>
      <c r="S284" s="41" t="s">
        <v>1923</v>
      </c>
    </row>
    <row r="285" spans="1:19" ht="74.099999999999994" customHeight="1">
      <c r="A285" s="40" t="s">
        <v>305</v>
      </c>
      <c r="B285" s="40" t="s">
        <v>2825</v>
      </c>
      <c r="C285" s="46">
        <v>8</v>
      </c>
      <c r="D285" s="40" t="s">
        <v>1883</v>
      </c>
      <c r="E285" s="40" t="s">
        <v>1903</v>
      </c>
      <c r="F285" s="40" t="s">
        <v>1883</v>
      </c>
      <c r="G285" s="40" t="s">
        <v>1904</v>
      </c>
      <c r="H285" s="40" t="s">
        <v>1871</v>
      </c>
      <c r="I285" s="40" t="s">
        <v>1052</v>
      </c>
      <c r="J285" s="40" t="s">
        <v>2826</v>
      </c>
      <c r="K285" s="40" t="s">
        <v>2827</v>
      </c>
      <c r="L285" s="40" t="s">
        <v>2828</v>
      </c>
      <c r="M285" s="40" t="s">
        <v>1908</v>
      </c>
      <c r="N285" s="40" t="s">
        <v>1909</v>
      </c>
      <c r="O285" s="40" t="s">
        <v>1876</v>
      </c>
      <c r="P285" s="40" t="s">
        <v>1910</v>
      </c>
      <c r="Q285" s="40" t="s">
        <v>1911</v>
      </c>
      <c r="R285" s="40" t="s">
        <v>1912</v>
      </c>
      <c r="S285" s="40" t="s">
        <v>2829</v>
      </c>
    </row>
    <row r="286" spans="1:19" ht="74.099999999999994" customHeight="1">
      <c r="A286" s="41" t="s">
        <v>305</v>
      </c>
      <c r="B286" s="41" t="s">
        <v>2830</v>
      </c>
      <c r="C286" s="47">
        <v>9</v>
      </c>
      <c r="D286" s="41" t="s">
        <v>1883</v>
      </c>
      <c r="E286" s="41" t="s">
        <v>1937</v>
      </c>
      <c r="F286" s="41" t="s">
        <v>1883</v>
      </c>
      <c r="G286" s="41" t="s">
        <v>1904</v>
      </c>
      <c r="H286" s="41" t="s">
        <v>1871</v>
      </c>
      <c r="I286" s="41" t="s">
        <v>1052</v>
      </c>
      <c r="J286" s="41" t="s">
        <v>2831</v>
      </c>
      <c r="K286" s="41" t="s">
        <v>2832</v>
      </c>
      <c r="L286" s="41" t="s">
        <v>1940</v>
      </c>
      <c r="M286" s="41" t="s">
        <v>1941</v>
      </c>
      <c r="N286" s="41" t="s">
        <v>2833</v>
      </c>
      <c r="O286" s="41" t="s">
        <v>1876</v>
      </c>
      <c r="P286" s="41" t="s">
        <v>1943</v>
      </c>
      <c r="Q286" s="41" t="s">
        <v>1944</v>
      </c>
      <c r="R286" s="41" t="s">
        <v>1945</v>
      </c>
      <c r="S286" s="41" t="s">
        <v>2834</v>
      </c>
    </row>
    <row r="287" spans="1:19" ht="74.099999999999994" customHeight="1">
      <c r="A287" s="40" t="s">
        <v>305</v>
      </c>
      <c r="B287" s="40" t="s">
        <v>2835</v>
      </c>
      <c r="C287" s="46">
        <v>10</v>
      </c>
      <c r="D287" s="40" t="s">
        <v>1948</v>
      </c>
      <c r="E287" s="40" t="s">
        <v>1980</v>
      </c>
      <c r="F287" s="40" t="s">
        <v>1883</v>
      </c>
      <c r="G287" s="40" t="s">
        <v>1981</v>
      </c>
      <c r="H287" s="40" t="s">
        <v>1871</v>
      </c>
      <c r="I287" s="40" t="s">
        <v>1052</v>
      </c>
      <c r="J287" s="40" t="s">
        <v>2836</v>
      </c>
      <c r="K287" s="40" t="s">
        <v>2837</v>
      </c>
      <c r="L287" s="40" t="s">
        <v>1984</v>
      </c>
      <c r="M287" s="40" t="s">
        <v>1985</v>
      </c>
      <c r="N287" s="40" t="s">
        <v>1986</v>
      </c>
      <c r="O287" s="40" t="s">
        <v>1167</v>
      </c>
      <c r="P287" s="40" t="s">
        <v>1987</v>
      </c>
      <c r="Q287" s="40" t="s">
        <v>1988</v>
      </c>
      <c r="R287" s="40" t="s">
        <v>1989</v>
      </c>
      <c r="S287" s="40" t="s">
        <v>1990</v>
      </c>
    </row>
    <row r="288" spans="1:19" ht="74.099999999999994" customHeight="1">
      <c r="A288" s="41" t="s">
        <v>305</v>
      </c>
      <c r="B288" s="41" t="s">
        <v>2838</v>
      </c>
      <c r="C288" s="47">
        <v>11</v>
      </c>
      <c r="D288" s="41" t="s">
        <v>1992</v>
      </c>
      <c r="E288" s="41" t="s">
        <v>1882</v>
      </c>
      <c r="F288" s="41" t="s">
        <v>1883</v>
      </c>
      <c r="G288" s="41" t="s">
        <v>1884</v>
      </c>
      <c r="H288" s="41" t="s">
        <v>1871</v>
      </c>
      <c r="I288" s="41" t="s">
        <v>1052</v>
      </c>
      <c r="J288" s="41" t="s">
        <v>2839</v>
      </c>
      <c r="K288" s="41" t="s">
        <v>1993</v>
      </c>
      <c r="L288" s="41" t="s">
        <v>2840</v>
      </c>
      <c r="M288" s="41" t="s">
        <v>1995</v>
      </c>
      <c r="N288" s="41" t="s">
        <v>1996</v>
      </c>
      <c r="O288" s="41" t="s">
        <v>1876</v>
      </c>
      <c r="P288" s="41" t="s">
        <v>1997</v>
      </c>
      <c r="Q288" s="41" t="s">
        <v>1881</v>
      </c>
      <c r="R288" s="41" t="s">
        <v>1998</v>
      </c>
      <c r="S288" s="41" t="s">
        <v>1999</v>
      </c>
    </row>
    <row r="289" spans="1:19" ht="74.099999999999994" customHeight="1">
      <c r="A289" s="40" t="s">
        <v>305</v>
      </c>
      <c r="B289" s="40" t="s">
        <v>2841</v>
      </c>
      <c r="C289" s="46">
        <v>12</v>
      </c>
      <c r="D289" s="40" t="s">
        <v>2001</v>
      </c>
      <c r="E289" s="40" t="s">
        <v>2002</v>
      </c>
      <c r="F289" s="40" t="s">
        <v>2003</v>
      </c>
      <c r="G289" s="40"/>
      <c r="H289" s="40" t="s">
        <v>1871</v>
      </c>
      <c r="I289" s="40"/>
      <c r="J289" s="40" t="s">
        <v>305</v>
      </c>
      <c r="K289" s="40" t="s">
        <v>2004</v>
      </c>
      <c r="L289" s="40" t="s">
        <v>2005</v>
      </c>
      <c r="M289" s="40" t="s">
        <v>2006</v>
      </c>
      <c r="N289" s="40" t="s">
        <v>2007</v>
      </c>
      <c r="O289" s="40" t="s">
        <v>1876</v>
      </c>
      <c r="P289" s="40" t="s">
        <v>2008</v>
      </c>
      <c r="Q289" s="40" t="s">
        <v>2001</v>
      </c>
      <c r="R289" s="40" t="s">
        <v>2009</v>
      </c>
      <c r="S289" s="40" t="s">
        <v>2010</v>
      </c>
    </row>
    <row r="290" spans="1:19" ht="74.099999999999994" customHeight="1">
      <c r="A290" s="41" t="s">
        <v>312</v>
      </c>
      <c r="B290" s="41" t="s">
        <v>2842</v>
      </c>
      <c r="C290" s="47">
        <v>1</v>
      </c>
      <c r="D290" s="41" t="s">
        <v>1868</v>
      </c>
      <c r="E290" s="41" t="s">
        <v>1869</v>
      </c>
      <c r="F290" s="41" t="s">
        <v>1870</v>
      </c>
      <c r="G290" s="41"/>
      <c r="H290" s="41" t="s">
        <v>1871</v>
      </c>
      <c r="I290" s="41" t="s">
        <v>1061</v>
      </c>
      <c r="J290" s="41" t="s">
        <v>1754</v>
      </c>
      <c r="K290" s="41" t="s">
        <v>2843</v>
      </c>
      <c r="L290" s="41" t="s">
        <v>1873</v>
      </c>
      <c r="M290" s="41" t="s">
        <v>1874</v>
      </c>
      <c r="N290" s="41" t="s">
        <v>1875</v>
      </c>
      <c r="O290" s="41" t="s">
        <v>1876</v>
      </c>
      <c r="P290" s="41"/>
      <c r="Q290" s="41" t="s">
        <v>1877</v>
      </c>
      <c r="R290" s="41" t="s">
        <v>1878</v>
      </c>
      <c r="S290" s="41" t="s">
        <v>1879</v>
      </c>
    </row>
    <row r="291" spans="1:19" ht="74.099999999999994" customHeight="1">
      <c r="A291" s="40" t="s">
        <v>312</v>
      </c>
      <c r="B291" s="40" t="s">
        <v>2844</v>
      </c>
      <c r="C291" s="46">
        <v>2</v>
      </c>
      <c r="D291" s="40" t="s">
        <v>1881</v>
      </c>
      <c r="E291" s="40" t="s">
        <v>1882</v>
      </c>
      <c r="F291" s="40" t="s">
        <v>1883</v>
      </c>
      <c r="G291" s="40" t="s">
        <v>1884</v>
      </c>
      <c r="H291" s="40" t="s">
        <v>1871</v>
      </c>
      <c r="I291" s="40" t="s">
        <v>1061</v>
      </c>
      <c r="J291" s="40" t="s">
        <v>2845</v>
      </c>
      <c r="K291" s="40" t="s">
        <v>1886</v>
      </c>
      <c r="L291" s="40" t="s">
        <v>2846</v>
      </c>
      <c r="M291" s="40" t="s">
        <v>1888</v>
      </c>
      <c r="N291" s="40" t="s">
        <v>1889</v>
      </c>
      <c r="O291" s="40" t="s">
        <v>1876</v>
      </c>
      <c r="P291" s="40"/>
      <c r="Q291" s="40" t="s">
        <v>1881</v>
      </c>
      <c r="R291" s="40" t="s">
        <v>1890</v>
      </c>
      <c r="S291" s="40" t="s">
        <v>1891</v>
      </c>
    </row>
    <row r="292" spans="1:19" ht="74.099999999999994" customHeight="1">
      <c r="A292" s="41" t="s">
        <v>312</v>
      </c>
      <c r="B292" s="41" t="s">
        <v>2847</v>
      </c>
      <c r="C292" s="47">
        <v>3</v>
      </c>
      <c r="D292" s="41" t="s">
        <v>1893</v>
      </c>
      <c r="E292" s="41" t="s">
        <v>1894</v>
      </c>
      <c r="F292" s="41" t="s">
        <v>1870</v>
      </c>
      <c r="G292" s="41"/>
      <c r="H292" s="41" t="s">
        <v>1871</v>
      </c>
      <c r="I292" s="41" t="s">
        <v>1061</v>
      </c>
      <c r="J292" s="41" t="s">
        <v>312</v>
      </c>
      <c r="K292" s="41" t="s">
        <v>2371</v>
      </c>
      <c r="L292" s="41" t="s">
        <v>1896</v>
      </c>
      <c r="M292" s="41" t="s">
        <v>1897</v>
      </c>
      <c r="N292" s="41" t="s">
        <v>1898</v>
      </c>
      <c r="O292" s="41" t="s">
        <v>1876</v>
      </c>
      <c r="P292" s="41"/>
      <c r="Q292" s="41" t="s">
        <v>1899</v>
      </c>
      <c r="R292" s="41" t="s">
        <v>1900</v>
      </c>
      <c r="S292" s="41" t="s">
        <v>2848</v>
      </c>
    </row>
    <row r="293" spans="1:19" ht="74.099999999999994" customHeight="1">
      <c r="A293" s="40" t="s">
        <v>312</v>
      </c>
      <c r="B293" s="40" t="s">
        <v>2849</v>
      </c>
      <c r="C293" s="46">
        <v>4</v>
      </c>
      <c r="D293" s="40" t="s">
        <v>1883</v>
      </c>
      <c r="E293" s="40" t="s">
        <v>1903</v>
      </c>
      <c r="F293" s="40" t="s">
        <v>1883</v>
      </c>
      <c r="G293" s="40" t="s">
        <v>1904</v>
      </c>
      <c r="H293" s="40" t="s">
        <v>1871</v>
      </c>
      <c r="I293" s="40" t="s">
        <v>1061</v>
      </c>
      <c r="J293" s="40" t="s">
        <v>2850</v>
      </c>
      <c r="K293" s="40" t="s">
        <v>2851</v>
      </c>
      <c r="L293" s="40" t="s">
        <v>2062</v>
      </c>
      <c r="M293" s="40" t="s">
        <v>1908</v>
      </c>
      <c r="N293" s="40" t="s">
        <v>1909</v>
      </c>
      <c r="O293" s="40" t="s">
        <v>1876</v>
      </c>
      <c r="P293" s="40" t="s">
        <v>1910</v>
      </c>
      <c r="Q293" s="40" t="s">
        <v>1911</v>
      </c>
      <c r="R293" s="40" t="s">
        <v>1912</v>
      </c>
      <c r="S293" s="40" t="s">
        <v>2852</v>
      </c>
    </row>
    <row r="294" spans="1:19" ht="74.099999999999994" customHeight="1">
      <c r="A294" s="41" t="s">
        <v>312</v>
      </c>
      <c r="B294" s="41" t="s">
        <v>2853</v>
      </c>
      <c r="C294" s="47">
        <v>5</v>
      </c>
      <c r="D294" s="41" t="s">
        <v>1883</v>
      </c>
      <c r="E294" s="41" t="s">
        <v>1937</v>
      </c>
      <c r="F294" s="41" t="s">
        <v>1883</v>
      </c>
      <c r="G294" s="41" t="s">
        <v>1904</v>
      </c>
      <c r="H294" s="41" t="s">
        <v>1871</v>
      </c>
      <c r="I294" s="41" t="s">
        <v>1061</v>
      </c>
      <c r="J294" s="41" t="s">
        <v>2854</v>
      </c>
      <c r="K294" s="41" t="s">
        <v>2855</v>
      </c>
      <c r="L294" s="41" t="s">
        <v>1940</v>
      </c>
      <c r="M294" s="41" t="s">
        <v>2856</v>
      </c>
      <c r="N294" s="41" t="s">
        <v>2857</v>
      </c>
      <c r="O294" s="41" t="s">
        <v>1876</v>
      </c>
      <c r="P294" s="41" t="s">
        <v>1943</v>
      </c>
      <c r="Q294" s="41" t="s">
        <v>1944</v>
      </c>
      <c r="R294" s="41" t="s">
        <v>1945</v>
      </c>
      <c r="S294" s="41" t="s">
        <v>2858</v>
      </c>
    </row>
    <row r="295" spans="1:19" ht="74.099999999999994" customHeight="1">
      <c r="A295" s="40" t="s">
        <v>312</v>
      </c>
      <c r="B295" s="40" t="s">
        <v>2859</v>
      </c>
      <c r="C295" s="46">
        <v>6</v>
      </c>
      <c r="D295" s="40" t="s">
        <v>1883</v>
      </c>
      <c r="E295" s="40" t="s">
        <v>1959</v>
      </c>
      <c r="F295" s="40" t="s">
        <v>1883</v>
      </c>
      <c r="G295" s="40" t="s">
        <v>1960</v>
      </c>
      <c r="H295" s="40" t="s">
        <v>1871</v>
      </c>
      <c r="I295" s="40" t="s">
        <v>1061</v>
      </c>
      <c r="J295" s="40" t="s">
        <v>2860</v>
      </c>
      <c r="K295" s="40" t="s">
        <v>2861</v>
      </c>
      <c r="L295" s="40" t="s">
        <v>2862</v>
      </c>
      <c r="M295" s="40" t="s">
        <v>1964</v>
      </c>
      <c r="N295" s="40" t="s">
        <v>1965</v>
      </c>
      <c r="O295" s="40" t="s">
        <v>1876</v>
      </c>
      <c r="P295" s="40" t="s">
        <v>1955</v>
      </c>
      <c r="Q295" s="40" t="s">
        <v>1966</v>
      </c>
      <c r="R295" s="40" t="s">
        <v>1967</v>
      </c>
      <c r="S295" s="40" t="s">
        <v>1968</v>
      </c>
    </row>
    <row r="296" spans="1:19" ht="74.099999999999994" customHeight="1">
      <c r="A296" s="41" t="s">
        <v>312</v>
      </c>
      <c r="B296" s="41" t="s">
        <v>2863</v>
      </c>
      <c r="C296" s="47">
        <v>7</v>
      </c>
      <c r="D296" s="41" t="s">
        <v>1883</v>
      </c>
      <c r="E296" s="41" t="s">
        <v>1980</v>
      </c>
      <c r="F296" s="41" t="s">
        <v>1883</v>
      </c>
      <c r="G296" s="41" t="s">
        <v>1981</v>
      </c>
      <c r="H296" s="41" t="s">
        <v>1871</v>
      </c>
      <c r="I296" s="41" t="s">
        <v>1061</v>
      </c>
      <c r="J296" s="41" t="s">
        <v>2864</v>
      </c>
      <c r="K296" s="41" t="s">
        <v>2865</v>
      </c>
      <c r="L296" s="41" t="s">
        <v>1984</v>
      </c>
      <c r="M296" s="41" t="s">
        <v>1985</v>
      </c>
      <c r="N296" s="41" t="s">
        <v>2048</v>
      </c>
      <c r="O296" s="41" t="s">
        <v>1876</v>
      </c>
      <c r="P296" s="41" t="s">
        <v>1955</v>
      </c>
      <c r="Q296" s="41" t="s">
        <v>1988</v>
      </c>
      <c r="R296" s="41" t="s">
        <v>1989</v>
      </c>
      <c r="S296" s="41" t="s">
        <v>1990</v>
      </c>
    </row>
    <row r="297" spans="1:19" ht="74.099999999999994" customHeight="1">
      <c r="A297" s="40" t="s">
        <v>312</v>
      </c>
      <c r="B297" s="40" t="s">
        <v>2866</v>
      </c>
      <c r="C297" s="46">
        <v>8</v>
      </c>
      <c r="D297" s="40" t="s">
        <v>1992</v>
      </c>
      <c r="E297" s="40" t="s">
        <v>1882</v>
      </c>
      <c r="F297" s="40" t="s">
        <v>1883</v>
      </c>
      <c r="G297" s="40" t="s">
        <v>1884</v>
      </c>
      <c r="H297" s="40" t="s">
        <v>1871</v>
      </c>
      <c r="I297" s="40" t="s">
        <v>1061</v>
      </c>
      <c r="J297" s="40" t="s">
        <v>2867</v>
      </c>
      <c r="K297" s="40" t="s">
        <v>1993</v>
      </c>
      <c r="L297" s="40" t="s">
        <v>2868</v>
      </c>
      <c r="M297" s="40" t="s">
        <v>1995</v>
      </c>
      <c r="N297" s="40" t="s">
        <v>1996</v>
      </c>
      <c r="O297" s="40" t="s">
        <v>1876</v>
      </c>
      <c r="P297" s="40" t="s">
        <v>1997</v>
      </c>
      <c r="Q297" s="40" t="s">
        <v>1881</v>
      </c>
      <c r="R297" s="40" t="s">
        <v>1998</v>
      </c>
      <c r="S297" s="40" t="s">
        <v>1999</v>
      </c>
    </row>
    <row r="298" spans="1:19" ht="74.099999999999994" customHeight="1">
      <c r="A298" s="41" t="s">
        <v>312</v>
      </c>
      <c r="B298" s="41" t="s">
        <v>2869</v>
      </c>
      <c r="C298" s="47">
        <v>9</v>
      </c>
      <c r="D298" s="41" t="s">
        <v>2001</v>
      </c>
      <c r="E298" s="41" t="s">
        <v>2002</v>
      </c>
      <c r="F298" s="41" t="s">
        <v>2003</v>
      </c>
      <c r="G298" s="41"/>
      <c r="H298" s="41" t="s">
        <v>1871</v>
      </c>
      <c r="I298" s="41"/>
      <c r="J298" s="41" t="s">
        <v>312</v>
      </c>
      <c r="K298" s="41" t="s">
        <v>2004</v>
      </c>
      <c r="L298" s="41" t="s">
        <v>2005</v>
      </c>
      <c r="M298" s="41" t="s">
        <v>2006</v>
      </c>
      <c r="N298" s="41" t="s">
        <v>2007</v>
      </c>
      <c r="O298" s="41" t="s">
        <v>1876</v>
      </c>
      <c r="P298" s="41" t="s">
        <v>2008</v>
      </c>
      <c r="Q298" s="41" t="s">
        <v>2001</v>
      </c>
      <c r="R298" s="41" t="s">
        <v>2009</v>
      </c>
      <c r="S298" s="41" t="s">
        <v>2010</v>
      </c>
    </row>
    <row r="299" spans="1:19" ht="74.099999999999994" customHeight="1">
      <c r="A299" s="40" t="s">
        <v>474</v>
      </c>
      <c r="B299" s="40" t="s">
        <v>2870</v>
      </c>
      <c r="C299" s="46">
        <v>1</v>
      </c>
      <c r="D299" s="40" t="s">
        <v>1868</v>
      </c>
      <c r="E299" s="40" t="s">
        <v>1869</v>
      </c>
      <c r="F299" s="40" t="s">
        <v>1870</v>
      </c>
      <c r="G299" s="40"/>
      <c r="H299" s="40" t="s">
        <v>1871</v>
      </c>
      <c r="I299" s="40" t="s">
        <v>569</v>
      </c>
      <c r="J299" s="40" t="s">
        <v>1761</v>
      </c>
      <c r="K299" s="40" t="s">
        <v>2871</v>
      </c>
      <c r="L299" s="40" t="s">
        <v>1873</v>
      </c>
      <c r="M299" s="40" t="s">
        <v>1874</v>
      </c>
      <c r="N299" s="40" t="s">
        <v>2872</v>
      </c>
      <c r="O299" s="40" t="s">
        <v>1876</v>
      </c>
      <c r="P299" s="40"/>
      <c r="Q299" s="40" t="s">
        <v>1877</v>
      </c>
      <c r="R299" s="40" t="s">
        <v>1878</v>
      </c>
      <c r="S299" s="40" t="s">
        <v>2873</v>
      </c>
    </row>
    <row r="300" spans="1:19" ht="74.099999999999994" customHeight="1">
      <c r="A300" s="41" t="s">
        <v>474</v>
      </c>
      <c r="B300" s="41" t="s">
        <v>2874</v>
      </c>
      <c r="C300" s="47">
        <v>2</v>
      </c>
      <c r="D300" s="41" t="s">
        <v>1881</v>
      </c>
      <c r="E300" s="41" t="s">
        <v>1882</v>
      </c>
      <c r="F300" s="41" t="s">
        <v>1883</v>
      </c>
      <c r="G300" s="41" t="s">
        <v>1884</v>
      </c>
      <c r="H300" s="41" t="s">
        <v>1871</v>
      </c>
      <c r="I300" s="41" t="s">
        <v>569</v>
      </c>
      <c r="J300" s="41" t="s">
        <v>2875</v>
      </c>
      <c r="K300" s="41" t="s">
        <v>2876</v>
      </c>
      <c r="L300" s="41" t="s">
        <v>2877</v>
      </c>
      <c r="M300" s="41" t="s">
        <v>1888</v>
      </c>
      <c r="N300" s="41" t="s">
        <v>2878</v>
      </c>
      <c r="O300" s="41" t="s">
        <v>1876</v>
      </c>
      <c r="P300" s="41"/>
      <c r="Q300" s="41" t="s">
        <v>1881</v>
      </c>
      <c r="R300" s="41" t="s">
        <v>1890</v>
      </c>
      <c r="S300" s="41"/>
    </row>
    <row r="301" spans="1:19" ht="74.099999999999994" customHeight="1">
      <c r="A301" s="40" t="s">
        <v>474</v>
      </c>
      <c r="B301" s="40" t="s">
        <v>2879</v>
      </c>
      <c r="C301" s="46">
        <v>3</v>
      </c>
      <c r="D301" s="40" t="s">
        <v>1893</v>
      </c>
      <c r="E301" s="40" t="s">
        <v>1894</v>
      </c>
      <c r="F301" s="40" t="s">
        <v>1870</v>
      </c>
      <c r="G301" s="40"/>
      <c r="H301" s="40" t="s">
        <v>1871</v>
      </c>
      <c r="I301" s="40" t="s">
        <v>569</v>
      </c>
      <c r="J301" s="40" t="s">
        <v>474</v>
      </c>
      <c r="K301" s="40" t="s">
        <v>2880</v>
      </c>
      <c r="L301" s="40" t="s">
        <v>2203</v>
      </c>
      <c r="M301" s="40" t="s">
        <v>1897</v>
      </c>
      <c r="N301" s="40" t="s">
        <v>2881</v>
      </c>
      <c r="O301" s="40" t="s">
        <v>1876</v>
      </c>
      <c r="P301" s="40"/>
      <c r="Q301" s="40" t="s">
        <v>1899</v>
      </c>
      <c r="R301" s="40" t="s">
        <v>1900</v>
      </c>
      <c r="S301" s="40" t="s">
        <v>2882</v>
      </c>
    </row>
    <row r="302" spans="1:19" ht="74.099999999999994" customHeight="1">
      <c r="A302" s="41" t="s">
        <v>474</v>
      </c>
      <c r="B302" s="41" t="s">
        <v>2883</v>
      </c>
      <c r="C302" s="47">
        <v>4</v>
      </c>
      <c r="D302" s="41" t="s">
        <v>1883</v>
      </c>
      <c r="E302" s="41" t="s">
        <v>1915</v>
      </c>
      <c r="F302" s="41" t="s">
        <v>1883</v>
      </c>
      <c r="G302" s="41" t="s">
        <v>1915</v>
      </c>
      <c r="H302" s="41" t="s">
        <v>1871</v>
      </c>
      <c r="I302" s="41" t="s">
        <v>569</v>
      </c>
      <c r="J302" s="41" t="s">
        <v>474</v>
      </c>
      <c r="K302" s="41" t="s">
        <v>2884</v>
      </c>
      <c r="L302" s="41" t="s">
        <v>2885</v>
      </c>
      <c r="M302" s="41" t="s">
        <v>2886</v>
      </c>
      <c r="N302" s="41" t="s">
        <v>2887</v>
      </c>
      <c r="O302" s="41" t="s">
        <v>1876</v>
      </c>
      <c r="P302" s="41" t="s">
        <v>1920</v>
      </c>
      <c r="Q302" s="41" t="s">
        <v>2888</v>
      </c>
      <c r="R302" s="41" t="s">
        <v>2889</v>
      </c>
      <c r="S302" s="41"/>
    </row>
    <row r="303" spans="1:19" ht="74.099999999999994" customHeight="1">
      <c r="A303" s="40" t="s">
        <v>474</v>
      </c>
      <c r="B303" s="40" t="s">
        <v>2890</v>
      </c>
      <c r="C303" s="46">
        <v>5</v>
      </c>
      <c r="D303" s="40" t="s">
        <v>1883</v>
      </c>
      <c r="E303" s="40" t="s">
        <v>2891</v>
      </c>
      <c r="F303" s="40" t="s">
        <v>1883</v>
      </c>
      <c r="G303" s="40" t="s">
        <v>2892</v>
      </c>
      <c r="H303" s="40" t="s">
        <v>1871</v>
      </c>
      <c r="I303" s="40" t="s">
        <v>569</v>
      </c>
      <c r="J303" s="40" t="s">
        <v>474</v>
      </c>
      <c r="K303" s="40" t="s">
        <v>2893</v>
      </c>
      <c r="L303" s="40" t="s">
        <v>2894</v>
      </c>
      <c r="M303" s="40" t="s">
        <v>2886</v>
      </c>
      <c r="N303" s="40" t="s">
        <v>2895</v>
      </c>
      <c r="O303" s="40" t="s">
        <v>1876</v>
      </c>
      <c r="P303" s="40" t="s">
        <v>1920</v>
      </c>
      <c r="Q303" s="40" t="s">
        <v>2896</v>
      </c>
      <c r="R303" s="40" t="s">
        <v>2889</v>
      </c>
      <c r="S303" s="40"/>
    </row>
    <row r="304" spans="1:19" ht="74.099999999999994" customHeight="1">
      <c r="A304" s="41" t="s">
        <v>474</v>
      </c>
      <c r="B304" s="41" t="s">
        <v>2897</v>
      </c>
      <c r="C304" s="47">
        <v>6</v>
      </c>
      <c r="D304" s="41" t="s">
        <v>1883</v>
      </c>
      <c r="E304" s="41" t="s">
        <v>2898</v>
      </c>
      <c r="F304" s="41" t="s">
        <v>1883</v>
      </c>
      <c r="G304" s="41" t="s">
        <v>2892</v>
      </c>
      <c r="H304" s="41" t="s">
        <v>1871</v>
      </c>
      <c r="I304" s="41" t="s">
        <v>569</v>
      </c>
      <c r="J304" s="41" t="s">
        <v>474</v>
      </c>
      <c r="K304" s="41" t="s">
        <v>2899</v>
      </c>
      <c r="L304" s="41" t="s">
        <v>2900</v>
      </c>
      <c r="M304" s="41" t="s">
        <v>2886</v>
      </c>
      <c r="N304" s="41" t="s">
        <v>2901</v>
      </c>
      <c r="O304" s="41" t="s">
        <v>1876</v>
      </c>
      <c r="P304" s="41" t="s">
        <v>1920</v>
      </c>
      <c r="Q304" s="41" t="s">
        <v>2896</v>
      </c>
      <c r="R304" s="41" t="s">
        <v>2889</v>
      </c>
      <c r="S304" s="41"/>
    </row>
    <row r="305" spans="1:19" ht="74.099999999999994" customHeight="1">
      <c r="A305" s="40" t="s">
        <v>474</v>
      </c>
      <c r="B305" s="40" t="s">
        <v>2902</v>
      </c>
      <c r="C305" s="46">
        <v>7</v>
      </c>
      <c r="D305" s="40" t="s">
        <v>1992</v>
      </c>
      <c r="E305" s="40" t="s">
        <v>1882</v>
      </c>
      <c r="F305" s="40" t="s">
        <v>1883</v>
      </c>
      <c r="G305" s="40" t="s">
        <v>1884</v>
      </c>
      <c r="H305" s="40" t="s">
        <v>1871</v>
      </c>
      <c r="I305" s="40" t="s">
        <v>569</v>
      </c>
      <c r="J305" s="40" t="s">
        <v>2903</v>
      </c>
      <c r="K305" s="40" t="s">
        <v>2904</v>
      </c>
      <c r="L305" s="40" t="s">
        <v>2905</v>
      </c>
      <c r="M305" s="40" t="s">
        <v>1995</v>
      </c>
      <c r="N305" s="40" t="s">
        <v>2906</v>
      </c>
      <c r="O305" s="40" t="s">
        <v>1876</v>
      </c>
      <c r="P305" s="40" t="s">
        <v>1997</v>
      </c>
      <c r="Q305" s="40" t="s">
        <v>1881</v>
      </c>
      <c r="R305" s="40" t="s">
        <v>1998</v>
      </c>
      <c r="S305" s="40"/>
    </row>
    <row r="306" spans="1:19" ht="74.099999999999994" customHeight="1">
      <c r="A306" s="41" t="s">
        <v>474</v>
      </c>
      <c r="B306" s="41" t="s">
        <v>2907</v>
      </c>
      <c r="C306" s="47">
        <v>8</v>
      </c>
      <c r="D306" s="41" t="s">
        <v>2001</v>
      </c>
      <c r="E306" s="41" t="s">
        <v>2002</v>
      </c>
      <c r="F306" s="41" t="s">
        <v>2003</v>
      </c>
      <c r="G306" s="41"/>
      <c r="H306" s="41" t="s">
        <v>1871</v>
      </c>
      <c r="I306" s="41"/>
      <c r="J306" s="41" t="s">
        <v>474</v>
      </c>
      <c r="K306" s="41" t="s">
        <v>2908</v>
      </c>
      <c r="L306" s="41" t="s">
        <v>2909</v>
      </c>
      <c r="M306" s="41" t="s">
        <v>2006</v>
      </c>
      <c r="N306" s="41" t="s">
        <v>2910</v>
      </c>
      <c r="O306" s="41" t="s">
        <v>1876</v>
      </c>
      <c r="P306" s="41" t="s">
        <v>2008</v>
      </c>
      <c r="Q306" s="41" t="s">
        <v>2001</v>
      </c>
      <c r="R306" s="41" t="s">
        <v>2009</v>
      </c>
      <c r="S306" s="41"/>
    </row>
    <row r="307" spans="1:19" ht="74.099999999999994" customHeight="1">
      <c r="A307" s="40" t="s">
        <v>481</v>
      </c>
      <c r="B307" s="40" t="s">
        <v>2911</v>
      </c>
      <c r="C307" s="46">
        <v>1</v>
      </c>
      <c r="D307" s="40" t="s">
        <v>1868</v>
      </c>
      <c r="E307" s="40" t="s">
        <v>1869</v>
      </c>
      <c r="F307" s="40" t="s">
        <v>1870</v>
      </c>
      <c r="G307" s="40"/>
      <c r="H307" s="40" t="s">
        <v>1871</v>
      </c>
      <c r="I307" s="40" t="s">
        <v>1067</v>
      </c>
      <c r="J307" s="40" t="s">
        <v>1761</v>
      </c>
      <c r="K307" s="40" t="s">
        <v>2912</v>
      </c>
      <c r="L307" s="40" t="s">
        <v>1873</v>
      </c>
      <c r="M307" s="40" t="s">
        <v>1874</v>
      </c>
      <c r="N307" s="40" t="s">
        <v>2872</v>
      </c>
      <c r="O307" s="40" t="s">
        <v>1876</v>
      </c>
      <c r="P307" s="40"/>
      <c r="Q307" s="40" t="s">
        <v>1877</v>
      </c>
      <c r="R307" s="40" t="s">
        <v>1878</v>
      </c>
      <c r="S307" s="40" t="s">
        <v>2873</v>
      </c>
    </row>
    <row r="308" spans="1:19" ht="74.099999999999994" customHeight="1">
      <c r="A308" s="41" t="s">
        <v>481</v>
      </c>
      <c r="B308" s="41" t="s">
        <v>2913</v>
      </c>
      <c r="C308" s="47">
        <v>2</v>
      </c>
      <c r="D308" s="41" t="s">
        <v>1881</v>
      </c>
      <c r="E308" s="41" t="s">
        <v>1882</v>
      </c>
      <c r="F308" s="41" t="s">
        <v>1883</v>
      </c>
      <c r="G308" s="41" t="s">
        <v>1884</v>
      </c>
      <c r="H308" s="41" t="s">
        <v>1871</v>
      </c>
      <c r="I308" s="41" t="s">
        <v>1067</v>
      </c>
      <c r="J308" s="41" t="s">
        <v>2914</v>
      </c>
      <c r="K308" s="41" t="s">
        <v>2876</v>
      </c>
      <c r="L308" s="41" t="s">
        <v>2915</v>
      </c>
      <c r="M308" s="41" t="s">
        <v>1888</v>
      </c>
      <c r="N308" s="41" t="s">
        <v>2878</v>
      </c>
      <c r="O308" s="41" t="s">
        <v>1876</v>
      </c>
      <c r="P308" s="41"/>
      <c r="Q308" s="41" t="s">
        <v>1881</v>
      </c>
      <c r="R308" s="41" t="s">
        <v>1890</v>
      </c>
      <c r="S308" s="41"/>
    </row>
    <row r="309" spans="1:19" ht="74.099999999999994" customHeight="1">
      <c r="A309" s="40" t="s">
        <v>481</v>
      </c>
      <c r="B309" s="40" t="s">
        <v>2916</v>
      </c>
      <c r="C309" s="46">
        <v>3</v>
      </c>
      <c r="D309" s="40" t="s">
        <v>1893</v>
      </c>
      <c r="E309" s="40" t="s">
        <v>1894</v>
      </c>
      <c r="F309" s="40" t="s">
        <v>1870</v>
      </c>
      <c r="G309" s="40"/>
      <c r="H309" s="40" t="s">
        <v>1871</v>
      </c>
      <c r="I309" s="40" t="s">
        <v>1067</v>
      </c>
      <c r="J309" s="40" t="s">
        <v>481</v>
      </c>
      <c r="K309" s="40" t="s">
        <v>2880</v>
      </c>
      <c r="L309" s="40" t="s">
        <v>2203</v>
      </c>
      <c r="M309" s="40" t="s">
        <v>1897</v>
      </c>
      <c r="N309" s="40" t="s">
        <v>2881</v>
      </c>
      <c r="O309" s="40" t="s">
        <v>1876</v>
      </c>
      <c r="P309" s="40"/>
      <c r="Q309" s="40" t="s">
        <v>1899</v>
      </c>
      <c r="R309" s="40" t="s">
        <v>1900</v>
      </c>
      <c r="S309" s="40" t="s">
        <v>2882</v>
      </c>
    </row>
    <row r="310" spans="1:19" ht="74.099999999999994" customHeight="1">
      <c r="A310" s="41" t="s">
        <v>481</v>
      </c>
      <c r="B310" s="41" t="s">
        <v>2917</v>
      </c>
      <c r="C310" s="47">
        <v>4</v>
      </c>
      <c r="D310" s="41" t="s">
        <v>1883</v>
      </c>
      <c r="E310" s="41" t="s">
        <v>1915</v>
      </c>
      <c r="F310" s="41" t="s">
        <v>1883</v>
      </c>
      <c r="G310" s="41" t="s">
        <v>1915</v>
      </c>
      <c r="H310" s="41" t="s">
        <v>1871</v>
      </c>
      <c r="I310" s="41" t="s">
        <v>1067</v>
      </c>
      <c r="J310" s="41" t="s">
        <v>481</v>
      </c>
      <c r="K310" s="41" t="s">
        <v>2918</v>
      </c>
      <c r="L310" s="41" t="s">
        <v>2885</v>
      </c>
      <c r="M310" s="41" t="s">
        <v>2886</v>
      </c>
      <c r="N310" s="41" t="s">
        <v>2919</v>
      </c>
      <c r="O310" s="41" t="s">
        <v>1876</v>
      </c>
      <c r="P310" s="41" t="s">
        <v>1920</v>
      </c>
      <c r="Q310" s="41" t="s">
        <v>2888</v>
      </c>
      <c r="R310" s="41" t="s">
        <v>2889</v>
      </c>
      <c r="S310" s="41"/>
    </row>
    <row r="311" spans="1:19" ht="74.099999999999994" customHeight="1">
      <c r="A311" s="40" t="s">
        <v>481</v>
      </c>
      <c r="B311" s="40" t="s">
        <v>2920</v>
      </c>
      <c r="C311" s="46">
        <v>5</v>
      </c>
      <c r="D311" s="40" t="s">
        <v>1883</v>
      </c>
      <c r="E311" s="40" t="s">
        <v>2891</v>
      </c>
      <c r="F311" s="40" t="s">
        <v>1883</v>
      </c>
      <c r="G311" s="40" t="s">
        <v>2892</v>
      </c>
      <c r="H311" s="40" t="s">
        <v>1871</v>
      </c>
      <c r="I311" s="40" t="s">
        <v>1067</v>
      </c>
      <c r="J311" s="40" t="s">
        <v>481</v>
      </c>
      <c r="K311" s="40" t="s">
        <v>2921</v>
      </c>
      <c r="L311" s="40" t="s">
        <v>2922</v>
      </c>
      <c r="M311" s="40" t="s">
        <v>2886</v>
      </c>
      <c r="N311" s="40" t="s">
        <v>2895</v>
      </c>
      <c r="O311" s="40" t="s">
        <v>1876</v>
      </c>
      <c r="P311" s="40" t="s">
        <v>1920</v>
      </c>
      <c r="Q311" s="40" t="s">
        <v>2896</v>
      </c>
      <c r="R311" s="40" t="s">
        <v>2889</v>
      </c>
      <c r="S311" s="40"/>
    </row>
    <row r="312" spans="1:19" ht="74.099999999999994" customHeight="1">
      <c r="A312" s="41" t="s">
        <v>481</v>
      </c>
      <c r="B312" s="41" t="s">
        <v>2923</v>
      </c>
      <c r="C312" s="47">
        <v>6</v>
      </c>
      <c r="D312" s="41" t="s">
        <v>1883</v>
      </c>
      <c r="E312" s="41" t="s">
        <v>2898</v>
      </c>
      <c r="F312" s="41" t="s">
        <v>1883</v>
      </c>
      <c r="G312" s="41" t="s">
        <v>2892</v>
      </c>
      <c r="H312" s="41" t="s">
        <v>1871</v>
      </c>
      <c r="I312" s="41" t="s">
        <v>1067</v>
      </c>
      <c r="J312" s="41" t="s">
        <v>481</v>
      </c>
      <c r="K312" s="41" t="s">
        <v>2924</v>
      </c>
      <c r="L312" s="41" t="s">
        <v>2900</v>
      </c>
      <c r="M312" s="41" t="s">
        <v>2886</v>
      </c>
      <c r="N312" s="41" t="s">
        <v>2925</v>
      </c>
      <c r="O312" s="41" t="s">
        <v>1876</v>
      </c>
      <c r="P312" s="41" t="s">
        <v>1920</v>
      </c>
      <c r="Q312" s="41" t="s">
        <v>2896</v>
      </c>
      <c r="R312" s="41" t="s">
        <v>2889</v>
      </c>
      <c r="S312" s="41"/>
    </row>
    <row r="313" spans="1:19" ht="74.099999999999994" customHeight="1">
      <c r="A313" s="40" t="s">
        <v>481</v>
      </c>
      <c r="B313" s="40" t="s">
        <v>2926</v>
      </c>
      <c r="C313" s="46">
        <v>7</v>
      </c>
      <c r="D313" s="40" t="s">
        <v>1992</v>
      </c>
      <c r="E313" s="40" t="s">
        <v>1882</v>
      </c>
      <c r="F313" s="40" t="s">
        <v>1883</v>
      </c>
      <c r="G313" s="40" t="s">
        <v>1884</v>
      </c>
      <c r="H313" s="40" t="s">
        <v>1871</v>
      </c>
      <c r="I313" s="40" t="s">
        <v>1067</v>
      </c>
      <c r="J313" s="40" t="s">
        <v>2927</v>
      </c>
      <c r="K313" s="40" t="s">
        <v>2904</v>
      </c>
      <c r="L313" s="40" t="s">
        <v>2928</v>
      </c>
      <c r="M313" s="40" t="s">
        <v>1995</v>
      </c>
      <c r="N313" s="40" t="s">
        <v>2906</v>
      </c>
      <c r="O313" s="40" t="s">
        <v>1876</v>
      </c>
      <c r="P313" s="40" t="s">
        <v>1997</v>
      </c>
      <c r="Q313" s="40" t="s">
        <v>1881</v>
      </c>
      <c r="R313" s="40" t="s">
        <v>1998</v>
      </c>
      <c r="S313" s="40"/>
    </row>
    <row r="314" spans="1:19" ht="74.099999999999994" customHeight="1">
      <c r="A314" s="41" t="s">
        <v>481</v>
      </c>
      <c r="B314" s="41" t="s">
        <v>2929</v>
      </c>
      <c r="C314" s="47">
        <v>8</v>
      </c>
      <c r="D314" s="41" t="s">
        <v>2001</v>
      </c>
      <c r="E314" s="41" t="s">
        <v>2002</v>
      </c>
      <c r="F314" s="41" t="s">
        <v>2003</v>
      </c>
      <c r="G314" s="41"/>
      <c r="H314" s="41" t="s">
        <v>1871</v>
      </c>
      <c r="I314" s="41"/>
      <c r="J314" s="41" t="s">
        <v>481</v>
      </c>
      <c r="K314" s="41" t="s">
        <v>2908</v>
      </c>
      <c r="L314" s="41" t="s">
        <v>2909</v>
      </c>
      <c r="M314" s="41" t="s">
        <v>2006</v>
      </c>
      <c r="N314" s="41" t="s">
        <v>2910</v>
      </c>
      <c r="O314" s="41" t="s">
        <v>1876</v>
      </c>
      <c r="P314" s="41" t="s">
        <v>2008</v>
      </c>
      <c r="Q314" s="41" t="s">
        <v>2001</v>
      </c>
      <c r="R314" s="41" t="s">
        <v>2009</v>
      </c>
      <c r="S314" s="41"/>
    </row>
    <row r="315" spans="1:19" ht="74.099999999999994" customHeight="1">
      <c r="A315" s="40" t="s">
        <v>486</v>
      </c>
      <c r="B315" s="40" t="s">
        <v>2930</v>
      </c>
      <c r="C315" s="46">
        <v>1</v>
      </c>
      <c r="D315" s="40" t="s">
        <v>1868</v>
      </c>
      <c r="E315" s="40" t="s">
        <v>1869</v>
      </c>
      <c r="F315" s="40" t="s">
        <v>1870</v>
      </c>
      <c r="G315" s="40"/>
      <c r="H315" s="40" t="s">
        <v>1871</v>
      </c>
      <c r="I315" s="40" t="s">
        <v>680</v>
      </c>
      <c r="J315" s="40" t="s">
        <v>1761</v>
      </c>
      <c r="K315" s="40" t="s">
        <v>2931</v>
      </c>
      <c r="L315" s="40" t="s">
        <v>1873</v>
      </c>
      <c r="M315" s="40" t="s">
        <v>1874</v>
      </c>
      <c r="N315" s="40" t="s">
        <v>2872</v>
      </c>
      <c r="O315" s="40" t="s">
        <v>1876</v>
      </c>
      <c r="P315" s="40"/>
      <c r="Q315" s="40" t="s">
        <v>1877</v>
      </c>
      <c r="R315" s="40" t="s">
        <v>1878</v>
      </c>
      <c r="S315" s="40" t="s">
        <v>2873</v>
      </c>
    </row>
    <row r="316" spans="1:19" ht="74.099999999999994" customHeight="1">
      <c r="A316" s="41" t="s">
        <v>486</v>
      </c>
      <c r="B316" s="41" t="s">
        <v>2932</v>
      </c>
      <c r="C316" s="47">
        <v>2</v>
      </c>
      <c r="D316" s="41" t="s">
        <v>1881</v>
      </c>
      <c r="E316" s="41" t="s">
        <v>1882</v>
      </c>
      <c r="F316" s="41" t="s">
        <v>1883</v>
      </c>
      <c r="G316" s="41" t="s">
        <v>1884</v>
      </c>
      <c r="H316" s="41" t="s">
        <v>1871</v>
      </c>
      <c r="I316" s="41" t="s">
        <v>680</v>
      </c>
      <c r="J316" s="41" t="s">
        <v>2933</v>
      </c>
      <c r="K316" s="41" t="s">
        <v>2876</v>
      </c>
      <c r="L316" s="41" t="s">
        <v>2934</v>
      </c>
      <c r="M316" s="41" t="s">
        <v>1888</v>
      </c>
      <c r="N316" s="41" t="s">
        <v>2878</v>
      </c>
      <c r="O316" s="41" t="s">
        <v>1876</v>
      </c>
      <c r="P316" s="41"/>
      <c r="Q316" s="41" t="s">
        <v>1881</v>
      </c>
      <c r="R316" s="41" t="s">
        <v>1890</v>
      </c>
      <c r="S316" s="41"/>
    </row>
    <row r="317" spans="1:19" ht="74.099999999999994" customHeight="1">
      <c r="A317" s="40" t="s">
        <v>486</v>
      </c>
      <c r="B317" s="40" t="s">
        <v>2935</v>
      </c>
      <c r="C317" s="46">
        <v>3</v>
      </c>
      <c r="D317" s="40" t="s">
        <v>1893</v>
      </c>
      <c r="E317" s="40" t="s">
        <v>1894</v>
      </c>
      <c r="F317" s="40" t="s">
        <v>1870</v>
      </c>
      <c r="G317" s="40"/>
      <c r="H317" s="40" t="s">
        <v>1871</v>
      </c>
      <c r="I317" s="40" t="s">
        <v>680</v>
      </c>
      <c r="J317" s="40" t="s">
        <v>486</v>
      </c>
      <c r="K317" s="40" t="s">
        <v>2880</v>
      </c>
      <c r="L317" s="40" t="s">
        <v>2203</v>
      </c>
      <c r="M317" s="40" t="s">
        <v>1897</v>
      </c>
      <c r="N317" s="40" t="s">
        <v>2881</v>
      </c>
      <c r="O317" s="40" t="s">
        <v>1876</v>
      </c>
      <c r="P317" s="40"/>
      <c r="Q317" s="40" t="s">
        <v>1899</v>
      </c>
      <c r="R317" s="40" t="s">
        <v>1900</v>
      </c>
      <c r="S317" s="40" t="s">
        <v>2882</v>
      </c>
    </row>
    <row r="318" spans="1:19" ht="74.099999999999994" customHeight="1">
      <c r="A318" s="41" t="s">
        <v>486</v>
      </c>
      <c r="B318" s="41" t="s">
        <v>2936</v>
      </c>
      <c r="C318" s="47">
        <v>4</v>
      </c>
      <c r="D318" s="41" t="s">
        <v>1883</v>
      </c>
      <c r="E318" s="41" t="s">
        <v>2937</v>
      </c>
      <c r="F318" s="41" t="s">
        <v>1883</v>
      </c>
      <c r="G318" s="41" t="s">
        <v>1915</v>
      </c>
      <c r="H318" s="41" t="s">
        <v>1871</v>
      </c>
      <c r="I318" s="41" t="s">
        <v>680</v>
      </c>
      <c r="J318" s="41" t="s">
        <v>486</v>
      </c>
      <c r="K318" s="41" t="s">
        <v>2938</v>
      </c>
      <c r="L318" s="41" t="s">
        <v>2939</v>
      </c>
      <c r="M318" s="41" t="s">
        <v>2886</v>
      </c>
      <c r="N318" s="41" t="s">
        <v>2940</v>
      </c>
      <c r="O318" s="41" t="s">
        <v>1876</v>
      </c>
      <c r="P318" s="41" t="s">
        <v>1920</v>
      </c>
      <c r="Q318" s="41" t="s">
        <v>2888</v>
      </c>
      <c r="R318" s="41" t="s">
        <v>2889</v>
      </c>
      <c r="S318" s="41"/>
    </row>
    <row r="319" spans="1:19" ht="74.099999999999994" customHeight="1">
      <c r="A319" s="40" t="s">
        <v>486</v>
      </c>
      <c r="B319" s="40" t="s">
        <v>2941</v>
      </c>
      <c r="C319" s="46">
        <v>5</v>
      </c>
      <c r="D319" s="40" t="s">
        <v>1883</v>
      </c>
      <c r="E319" s="40" t="s">
        <v>2891</v>
      </c>
      <c r="F319" s="40" t="s">
        <v>1883</v>
      </c>
      <c r="G319" s="40" t="s">
        <v>2892</v>
      </c>
      <c r="H319" s="40" t="s">
        <v>1871</v>
      </c>
      <c r="I319" s="40" t="s">
        <v>680</v>
      </c>
      <c r="J319" s="40" t="s">
        <v>486</v>
      </c>
      <c r="K319" s="40" t="s">
        <v>2942</v>
      </c>
      <c r="L319" s="40" t="s">
        <v>2943</v>
      </c>
      <c r="M319" s="40" t="s">
        <v>2886</v>
      </c>
      <c r="N319" s="40" t="s">
        <v>2944</v>
      </c>
      <c r="O319" s="40" t="s">
        <v>1876</v>
      </c>
      <c r="P319" s="40" t="s">
        <v>1920</v>
      </c>
      <c r="Q319" s="40" t="s">
        <v>2896</v>
      </c>
      <c r="R319" s="40" t="s">
        <v>2889</v>
      </c>
      <c r="S319" s="40"/>
    </row>
    <row r="320" spans="1:19" ht="74.099999999999994" customHeight="1">
      <c r="A320" s="41" t="s">
        <v>486</v>
      </c>
      <c r="B320" s="41" t="s">
        <v>2945</v>
      </c>
      <c r="C320" s="47">
        <v>6</v>
      </c>
      <c r="D320" s="41" t="s">
        <v>1883</v>
      </c>
      <c r="E320" s="41" t="s">
        <v>2898</v>
      </c>
      <c r="F320" s="41" t="s">
        <v>1883</v>
      </c>
      <c r="G320" s="41" t="s">
        <v>2892</v>
      </c>
      <c r="H320" s="41" t="s">
        <v>1871</v>
      </c>
      <c r="I320" s="41" t="s">
        <v>680</v>
      </c>
      <c r="J320" s="41" t="s">
        <v>486</v>
      </c>
      <c r="K320" s="41" t="s">
        <v>2946</v>
      </c>
      <c r="L320" s="41" t="s">
        <v>2947</v>
      </c>
      <c r="M320" s="41" t="s">
        <v>2886</v>
      </c>
      <c r="N320" s="41" t="s">
        <v>2948</v>
      </c>
      <c r="O320" s="41" t="s">
        <v>1876</v>
      </c>
      <c r="P320" s="41" t="s">
        <v>1920</v>
      </c>
      <c r="Q320" s="41" t="s">
        <v>2896</v>
      </c>
      <c r="R320" s="41" t="s">
        <v>2889</v>
      </c>
      <c r="S320" s="41"/>
    </row>
    <row r="321" spans="1:19" ht="74.099999999999994" customHeight="1">
      <c r="A321" s="40" t="s">
        <v>486</v>
      </c>
      <c r="B321" s="40" t="s">
        <v>2949</v>
      </c>
      <c r="C321" s="46">
        <v>7</v>
      </c>
      <c r="D321" s="40" t="s">
        <v>1992</v>
      </c>
      <c r="E321" s="40" t="s">
        <v>1882</v>
      </c>
      <c r="F321" s="40" t="s">
        <v>1883</v>
      </c>
      <c r="G321" s="40" t="s">
        <v>1884</v>
      </c>
      <c r="H321" s="40" t="s">
        <v>1871</v>
      </c>
      <c r="I321" s="40" t="s">
        <v>680</v>
      </c>
      <c r="J321" s="40" t="s">
        <v>2950</v>
      </c>
      <c r="K321" s="40" t="s">
        <v>2904</v>
      </c>
      <c r="L321" s="40" t="s">
        <v>2951</v>
      </c>
      <c r="M321" s="40" t="s">
        <v>1995</v>
      </c>
      <c r="N321" s="40" t="s">
        <v>2906</v>
      </c>
      <c r="O321" s="40" t="s">
        <v>1876</v>
      </c>
      <c r="P321" s="40" t="s">
        <v>1997</v>
      </c>
      <c r="Q321" s="40" t="s">
        <v>1881</v>
      </c>
      <c r="R321" s="40" t="s">
        <v>1998</v>
      </c>
      <c r="S321" s="40"/>
    </row>
    <row r="322" spans="1:19" ht="74.099999999999994" customHeight="1">
      <c r="A322" s="41" t="s">
        <v>486</v>
      </c>
      <c r="B322" s="41" t="s">
        <v>2952</v>
      </c>
      <c r="C322" s="47">
        <v>8</v>
      </c>
      <c r="D322" s="41" t="s">
        <v>2001</v>
      </c>
      <c r="E322" s="41" t="s">
        <v>2002</v>
      </c>
      <c r="F322" s="41" t="s">
        <v>2003</v>
      </c>
      <c r="G322" s="41"/>
      <c r="H322" s="41" t="s">
        <v>1871</v>
      </c>
      <c r="I322" s="41"/>
      <c r="J322" s="41" t="s">
        <v>486</v>
      </c>
      <c r="K322" s="41" t="s">
        <v>2908</v>
      </c>
      <c r="L322" s="41" t="s">
        <v>2909</v>
      </c>
      <c r="M322" s="41" t="s">
        <v>2006</v>
      </c>
      <c r="N322" s="41" t="s">
        <v>2910</v>
      </c>
      <c r="O322" s="41" t="s">
        <v>1876</v>
      </c>
      <c r="P322" s="41" t="s">
        <v>2008</v>
      </c>
      <c r="Q322" s="41" t="s">
        <v>2001</v>
      </c>
      <c r="R322" s="41" t="s">
        <v>2009</v>
      </c>
      <c r="S322" s="41"/>
    </row>
    <row r="323" spans="1:19" ht="74.099999999999994" customHeight="1">
      <c r="A323" s="40" t="s">
        <v>490</v>
      </c>
      <c r="B323" s="40" t="s">
        <v>2953</v>
      </c>
      <c r="C323" s="46">
        <v>1</v>
      </c>
      <c r="D323" s="40" t="s">
        <v>1868</v>
      </c>
      <c r="E323" s="40" t="s">
        <v>1869</v>
      </c>
      <c r="F323" s="40" t="s">
        <v>1870</v>
      </c>
      <c r="G323" s="40"/>
      <c r="H323" s="40" t="s">
        <v>1871</v>
      </c>
      <c r="I323" s="40" t="s">
        <v>831</v>
      </c>
      <c r="J323" s="40" t="s">
        <v>1761</v>
      </c>
      <c r="K323" s="40" t="s">
        <v>2954</v>
      </c>
      <c r="L323" s="40" t="s">
        <v>1873</v>
      </c>
      <c r="M323" s="40" t="s">
        <v>1874</v>
      </c>
      <c r="N323" s="40" t="s">
        <v>2872</v>
      </c>
      <c r="O323" s="40" t="s">
        <v>1876</v>
      </c>
      <c r="P323" s="40"/>
      <c r="Q323" s="40" t="s">
        <v>1877</v>
      </c>
      <c r="R323" s="40" t="s">
        <v>1878</v>
      </c>
      <c r="S323" s="40" t="s">
        <v>2873</v>
      </c>
    </row>
    <row r="324" spans="1:19" ht="74.099999999999994" customHeight="1">
      <c r="A324" s="41" t="s">
        <v>490</v>
      </c>
      <c r="B324" s="41" t="s">
        <v>2955</v>
      </c>
      <c r="C324" s="47">
        <v>2</v>
      </c>
      <c r="D324" s="41" t="s">
        <v>1881</v>
      </c>
      <c r="E324" s="41" t="s">
        <v>1882</v>
      </c>
      <c r="F324" s="41" t="s">
        <v>1883</v>
      </c>
      <c r="G324" s="41" t="s">
        <v>1884</v>
      </c>
      <c r="H324" s="41" t="s">
        <v>1871</v>
      </c>
      <c r="I324" s="41" t="s">
        <v>831</v>
      </c>
      <c r="J324" s="41" t="s">
        <v>2956</v>
      </c>
      <c r="K324" s="41" t="s">
        <v>2876</v>
      </c>
      <c r="L324" s="41" t="s">
        <v>2957</v>
      </c>
      <c r="M324" s="41" t="s">
        <v>1888</v>
      </c>
      <c r="N324" s="41" t="s">
        <v>2878</v>
      </c>
      <c r="O324" s="41" t="s">
        <v>1876</v>
      </c>
      <c r="P324" s="41"/>
      <c r="Q324" s="41" t="s">
        <v>1881</v>
      </c>
      <c r="R324" s="41" t="s">
        <v>1890</v>
      </c>
      <c r="S324" s="41"/>
    </row>
    <row r="325" spans="1:19" ht="74.099999999999994" customHeight="1">
      <c r="A325" s="40" t="s">
        <v>490</v>
      </c>
      <c r="B325" s="40" t="s">
        <v>2958</v>
      </c>
      <c r="C325" s="46">
        <v>3</v>
      </c>
      <c r="D325" s="40" t="s">
        <v>1893</v>
      </c>
      <c r="E325" s="40" t="s">
        <v>1894</v>
      </c>
      <c r="F325" s="40" t="s">
        <v>1870</v>
      </c>
      <c r="G325" s="40"/>
      <c r="H325" s="40" t="s">
        <v>1871</v>
      </c>
      <c r="I325" s="40" t="s">
        <v>831</v>
      </c>
      <c r="J325" s="40" t="s">
        <v>490</v>
      </c>
      <c r="K325" s="40" t="s">
        <v>2880</v>
      </c>
      <c r="L325" s="40" t="s">
        <v>2203</v>
      </c>
      <c r="M325" s="40" t="s">
        <v>1897</v>
      </c>
      <c r="N325" s="40" t="s">
        <v>2881</v>
      </c>
      <c r="O325" s="40" t="s">
        <v>1876</v>
      </c>
      <c r="P325" s="40"/>
      <c r="Q325" s="40" t="s">
        <v>1899</v>
      </c>
      <c r="R325" s="40" t="s">
        <v>1900</v>
      </c>
      <c r="S325" s="40" t="s">
        <v>2882</v>
      </c>
    </row>
    <row r="326" spans="1:19" ht="74.099999999999994" customHeight="1">
      <c r="A326" s="41" t="s">
        <v>490</v>
      </c>
      <c r="B326" s="41" t="s">
        <v>2959</v>
      </c>
      <c r="C326" s="47">
        <v>4</v>
      </c>
      <c r="D326" s="41" t="s">
        <v>1883</v>
      </c>
      <c r="E326" s="41" t="s">
        <v>1915</v>
      </c>
      <c r="F326" s="41" t="s">
        <v>1883</v>
      </c>
      <c r="G326" s="41" t="s">
        <v>1915</v>
      </c>
      <c r="H326" s="41" t="s">
        <v>1871</v>
      </c>
      <c r="I326" s="41" t="s">
        <v>831</v>
      </c>
      <c r="J326" s="41" t="s">
        <v>490</v>
      </c>
      <c r="K326" s="41" t="s">
        <v>2960</v>
      </c>
      <c r="L326" s="41" t="s">
        <v>2885</v>
      </c>
      <c r="M326" s="41" t="s">
        <v>2886</v>
      </c>
      <c r="N326" s="41" t="s">
        <v>2961</v>
      </c>
      <c r="O326" s="41" t="s">
        <v>1876</v>
      </c>
      <c r="P326" s="41" t="s">
        <v>1920</v>
      </c>
      <c r="Q326" s="41" t="s">
        <v>2888</v>
      </c>
      <c r="R326" s="41" t="s">
        <v>2889</v>
      </c>
      <c r="S326" s="41"/>
    </row>
    <row r="327" spans="1:19" ht="74.099999999999994" customHeight="1">
      <c r="A327" s="40" t="s">
        <v>490</v>
      </c>
      <c r="B327" s="40" t="s">
        <v>2962</v>
      </c>
      <c r="C327" s="46">
        <v>5</v>
      </c>
      <c r="D327" s="40" t="s">
        <v>1883</v>
      </c>
      <c r="E327" s="40" t="s">
        <v>2963</v>
      </c>
      <c r="F327" s="40" t="s">
        <v>1883</v>
      </c>
      <c r="G327" s="40" t="s">
        <v>2892</v>
      </c>
      <c r="H327" s="40" t="s">
        <v>1871</v>
      </c>
      <c r="I327" s="40" t="s">
        <v>831</v>
      </c>
      <c r="J327" s="40" t="s">
        <v>490</v>
      </c>
      <c r="K327" s="40" t="s">
        <v>2964</v>
      </c>
      <c r="L327" s="40" t="s">
        <v>2965</v>
      </c>
      <c r="M327" s="40" t="s">
        <v>2886</v>
      </c>
      <c r="N327" s="40" t="s">
        <v>2966</v>
      </c>
      <c r="O327" s="40" t="s">
        <v>1876</v>
      </c>
      <c r="P327" s="40" t="s">
        <v>1920</v>
      </c>
      <c r="Q327" s="40" t="s">
        <v>2896</v>
      </c>
      <c r="R327" s="40" t="s">
        <v>2889</v>
      </c>
      <c r="S327" s="40"/>
    </row>
    <row r="328" spans="1:19" ht="74.099999999999994" customHeight="1">
      <c r="A328" s="41" t="s">
        <v>490</v>
      </c>
      <c r="B328" s="41" t="s">
        <v>2967</v>
      </c>
      <c r="C328" s="47">
        <v>6</v>
      </c>
      <c r="D328" s="41" t="s">
        <v>1883</v>
      </c>
      <c r="E328" s="41" t="s">
        <v>2968</v>
      </c>
      <c r="F328" s="41" t="s">
        <v>1883</v>
      </c>
      <c r="G328" s="41" t="s">
        <v>2892</v>
      </c>
      <c r="H328" s="41" t="s">
        <v>1871</v>
      </c>
      <c r="I328" s="41" t="s">
        <v>831</v>
      </c>
      <c r="J328" s="41" t="s">
        <v>490</v>
      </c>
      <c r="K328" s="41" t="s">
        <v>2969</v>
      </c>
      <c r="L328" s="41" t="s">
        <v>2970</v>
      </c>
      <c r="M328" s="41" t="s">
        <v>2886</v>
      </c>
      <c r="N328" s="41" t="s">
        <v>2971</v>
      </c>
      <c r="O328" s="41" t="s">
        <v>1876</v>
      </c>
      <c r="P328" s="41" t="s">
        <v>1920</v>
      </c>
      <c r="Q328" s="41" t="s">
        <v>2888</v>
      </c>
      <c r="R328" s="41" t="s">
        <v>2889</v>
      </c>
      <c r="S328" s="41"/>
    </row>
    <row r="329" spans="1:19" ht="74.099999999999994" customHeight="1">
      <c r="A329" s="40" t="s">
        <v>490</v>
      </c>
      <c r="B329" s="40" t="s">
        <v>2972</v>
      </c>
      <c r="C329" s="46">
        <v>7</v>
      </c>
      <c r="D329" s="40" t="s">
        <v>1992</v>
      </c>
      <c r="E329" s="40" t="s">
        <v>1882</v>
      </c>
      <c r="F329" s="40" t="s">
        <v>1883</v>
      </c>
      <c r="G329" s="40" t="s">
        <v>1884</v>
      </c>
      <c r="H329" s="40" t="s">
        <v>1871</v>
      </c>
      <c r="I329" s="40" t="s">
        <v>831</v>
      </c>
      <c r="J329" s="40" t="s">
        <v>2973</v>
      </c>
      <c r="K329" s="40" t="s">
        <v>2904</v>
      </c>
      <c r="L329" s="40" t="s">
        <v>2974</v>
      </c>
      <c r="M329" s="40" t="s">
        <v>1995</v>
      </c>
      <c r="N329" s="40" t="s">
        <v>2906</v>
      </c>
      <c r="O329" s="40" t="s">
        <v>1876</v>
      </c>
      <c r="P329" s="40" t="s">
        <v>1997</v>
      </c>
      <c r="Q329" s="40" t="s">
        <v>1881</v>
      </c>
      <c r="R329" s="40" t="s">
        <v>1998</v>
      </c>
      <c r="S329" s="40"/>
    </row>
    <row r="330" spans="1:19" ht="74.099999999999994" customHeight="1">
      <c r="A330" s="41" t="s">
        <v>490</v>
      </c>
      <c r="B330" s="41" t="s">
        <v>2975</v>
      </c>
      <c r="C330" s="47">
        <v>8</v>
      </c>
      <c r="D330" s="41" t="s">
        <v>2001</v>
      </c>
      <c r="E330" s="41" t="s">
        <v>2002</v>
      </c>
      <c r="F330" s="41" t="s">
        <v>2003</v>
      </c>
      <c r="G330" s="41"/>
      <c r="H330" s="41" t="s">
        <v>1871</v>
      </c>
      <c r="I330" s="41"/>
      <c r="J330" s="41" t="s">
        <v>490</v>
      </c>
      <c r="K330" s="41" t="s">
        <v>2908</v>
      </c>
      <c r="L330" s="41" t="s">
        <v>2909</v>
      </c>
      <c r="M330" s="41" t="s">
        <v>2006</v>
      </c>
      <c r="N330" s="41" t="s">
        <v>2910</v>
      </c>
      <c r="O330" s="41" t="s">
        <v>1876</v>
      </c>
      <c r="P330" s="41" t="s">
        <v>2008</v>
      </c>
      <c r="Q330" s="41" t="s">
        <v>2001</v>
      </c>
      <c r="R330" s="41" t="s">
        <v>2009</v>
      </c>
      <c r="S330" s="41"/>
    </row>
    <row r="331" spans="1:19" ht="74.099999999999994" customHeight="1">
      <c r="A331" s="40" t="s">
        <v>497</v>
      </c>
      <c r="B331" s="40" t="s">
        <v>2976</v>
      </c>
      <c r="C331" s="46">
        <v>1</v>
      </c>
      <c r="D331" s="40" t="s">
        <v>1868</v>
      </c>
      <c r="E331" s="40" t="s">
        <v>1869</v>
      </c>
      <c r="F331" s="40" t="s">
        <v>1870</v>
      </c>
      <c r="G331" s="40"/>
      <c r="H331" s="40" t="s">
        <v>1871</v>
      </c>
      <c r="I331" s="40" t="s">
        <v>1074</v>
      </c>
      <c r="J331" s="40" t="s">
        <v>1786</v>
      </c>
      <c r="K331" s="40" t="s">
        <v>2977</v>
      </c>
      <c r="L331" s="40" t="s">
        <v>1873</v>
      </c>
      <c r="M331" s="40" t="s">
        <v>1874</v>
      </c>
      <c r="N331" s="40" t="s">
        <v>2872</v>
      </c>
      <c r="O331" s="40" t="s">
        <v>1876</v>
      </c>
      <c r="P331" s="40"/>
      <c r="Q331" s="40" t="s">
        <v>1877</v>
      </c>
      <c r="R331" s="40" t="s">
        <v>1878</v>
      </c>
      <c r="S331" s="40" t="s">
        <v>2873</v>
      </c>
    </row>
    <row r="332" spans="1:19" ht="74.099999999999994" customHeight="1">
      <c r="A332" s="41" t="s">
        <v>497</v>
      </c>
      <c r="B332" s="41" t="s">
        <v>2978</v>
      </c>
      <c r="C332" s="47">
        <v>2</v>
      </c>
      <c r="D332" s="41" t="s">
        <v>1881</v>
      </c>
      <c r="E332" s="41" t="s">
        <v>1882</v>
      </c>
      <c r="F332" s="41" t="s">
        <v>1883</v>
      </c>
      <c r="G332" s="41" t="s">
        <v>1884</v>
      </c>
      <c r="H332" s="41" t="s">
        <v>1871</v>
      </c>
      <c r="I332" s="41" t="s">
        <v>1074</v>
      </c>
      <c r="J332" s="41" t="s">
        <v>2979</v>
      </c>
      <c r="K332" s="41" t="s">
        <v>2876</v>
      </c>
      <c r="L332" s="41" t="s">
        <v>2980</v>
      </c>
      <c r="M332" s="41" t="s">
        <v>1888</v>
      </c>
      <c r="N332" s="41" t="s">
        <v>2878</v>
      </c>
      <c r="O332" s="41" t="s">
        <v>1876</v>
      </c>
      <c r="P332" s="41"/>
      <c r="Q332" s="41" t="s">
        <v>1881</v>
      </c>
      <c r="R332" s="41" t="s">
        <v>1890</v>
      </c>
      <c r="S332" s="41"/>
    </row>
    <row r="333" spans="1:19" ht="74.099999999999994" customHeight="1">
      <c r="A333" s="40" t="s">
        <v>497</v>
      </c>
      <c r="B333" s="40" t="s">
        <v>2981</v>
      </c>
      <c r="C333" s="46">
        <v>3</v>
      </c>
      <c r="D333" s="40" t="s">
        <v>1893</v>
      </c>
      <c r="E333" s="40" t="s">
        <v>1894</v>
      </c>
      <c r="F333" s="40" t="s">
        <v>1870</v>
      </c>
      <c r="G333" s="40"/>
      <c r="H333" s="40" t="s">
        <v>1871</v>
      </c>
      <c r="I333" s="40" t="s">
        <v>1074</v>
      </c>
      <c r="J333" s="40" t="s">
        <v>497</v>
      </c>
      <c r="K333" s="40" t="s">
        <v>2880</v>
      </c>
      <c r="L333" s="40" t="s">
        <v>2203</v>
      </c>
      <c r="M333" s="40" t="s">
        <v>1897</v>
      </c>
      <c r="N333" s="40" t="s">
        <v>2881</v>
      </c>
      <c r="O333" s="40" t="s">
        <v>1876</v>
      </c>
      <c r="P333" s="40"/>
      <c r="Q333" s="40" t="s">
        <v>1899</v>
      </c>
      <c r="R333" s="40" t="s">
        <v>1900</v>
      </c>
      <c r="S333" s="40" t="s">
        <v>2882</v>
      </c>
    </row>
    <row r="334" spans="1:19" ht="74.099999999999994" customHeight="1">
      <c r="A334" s="41" t="s">
        <v>497</v>
      </c>
      <c r="B334" s="41" t="s">
        <v>2982</v>
      </c>
      <c r="C334" s="47">
        <v>4</v>
      </c>
      <c r="D334" s="41" t="s">
        <v>1883</v>
      </c>
      <c r="E334" s="41" t="s">
        <v>1915</v>
      </c>
      <c r="F334" s="41" t="s">
        <v>1883</v>
      </c>
      <c r="G334" s="41" t="s">
        <v>1915</v>
      </c>
      <c r="H334" s="41" t="s">
        <v>1871</v>
      </c>
      <c r="I334" s="41" t="s">
        <v>1074</v>
      </c>
      <c r="J334" s="41" t="s">
        <v>497</v>
      </c>
      <c r="K334" s="41" t="s">
        <v>2983</v>
      </c>
      <c r="L334" s="41" t="s">
        <v>2984</v>
      </c>
      <c r="M334" s="41" t="s">
        <v>2886</v>
      </c>
      <c r="N334" s="41" t="s">
        <v>2985</v>
      </c>
      <c r="O334" s="41" t="s">
        <v>1876</v>
      </c>
      <c r="P334" s="41" t="s">
        <v>1920</v>
      </c>
      <c r="Q334" s="41" t="s">
        <v>2888</v>
      </c>
      <c r="R334" s="41" t="s">
        <v>2889</v>
      </c>
      <c r="S334" s="41"/>
    </row>
    <row r="335" spans="1:19" ht="74.099999999999994" customHeight="1">
      <c r="A335" s="40" t="s">
        <v>497</v>
      </c>
      <c r="B335" s="40" t="s">
        <v>2986</v>
      </c>
      <c r="C335" s="46">
        <v>5</v>
      </c>
      <c r="D335" s="40" t="s">
        <v>1883</v>
      </c>
      <c r="E335" s="40" t="s">
        <v>2891</v>
      </c>
      <c r="F335" s="40" t="s">
        <v>1883</v>
      </c>
      <c r="G335" s="40" t="s">
        <v>2892</v>
      </c>
      <c r="H335" s="40" t="s">
        <v>1871</v>
      </c>
      <c r="I335" s="40" t="s">
        <v>1074</v>
      </c>
      <c r="J335" s="40" t="s">
        <v>497</v>
      </c>
      <c r="K335" s="40" t="s">
        <v>2987</v>
      </c>
      <c r="L335" s="40" t="s">
        <v>2988</v>
      </c>
      <c r="M335" s="40" t="s">
        <v>2886</v>
      </c>
      <c r="N335" s="40" t="s">
        <v>2989</v>
      </c>
      <c r="O335" s="40" t="s">
        <v>1876</v>
      </c>
      <c r="P335" s="40" t="s">
        <v>1920</v>
      </c>
      <c r="Q335" s="40" t="s">
        <v>2896</v>
      </c>
      <c r="R335" s="40" t="s">
        <v>2889</v>
      </c>
      <c r="S335" s="40"/>
    </row>
    <row r="336" spans="1:19" ht="74.099999999999994" customHeight="1">
      <c r="A336" s="41" t="s">
        <v>497</v>
      </c>
      <c r="B336" s="41" t="s">
        <v>2990</v>
      </c>
      <c r="C336" s="47">
        <v>6</v>
      </c>
      <c r="D336" s="41" t="s">
        <v>1883</v>
      </c>
      <c r="E336" s="41" t="s">
        <v>2898</v>
      </c>
      <c r="F336" s="41" t="s">
        <v>1883</v>
      </c>
      <c r="G336" s="41" t="s">
        <v>2892</v>
      </c>
      <c r="H336" s="41" t="s">
        <v>1871</v>
      </c>
      <c r="I336" s="41" t="s">
        <v>1074</v>
      </c>
      <c r="J336" s="41" t="s">
        <v>497</v>
      </c>
      <c r="K336" s="41" t="s">
        <v>2991</v>
      </c>
      <c r="L336" s="41" t="s">
        <v>2947</v>
      </c>
      <c r="M336" s="41" t="s">
        <v>2886</v>
      </c>
      <c r="N336" s="41" t="s">
        <v>2925</v>
      </c>
      <c r="O336" s="41" t="s">
        <v>1876</v>
      </c>
      <c r="P336" s="41" t="s">
        <v>1920</v>
      </c>
      <c r="Q336" s="41" t="s">
        <v>2896</v>
      </c>
      <c r="R336" s="41" t="s">
        <v>2889</v>
      </c>
      <c r="S336" s="41"/>
    </row>
    <row r="337" spans="1:19" ht="74.099999999999994" customHeight="1">
      <c r="A337" s="40" t="s">
        <v>497</v>
      </c>
      <c r="B337" s="40" t="s">
        <v>2992</v>
      </c>
      <c r="C337" s="46">
        <v>7</v>
      </c>
      <c r="D337" s="40" t="s">
        <v>1992</v>
      </c>
      <c r="E337" s="40" t="s">
        <v>1882</v>
      </c>
      <c r="F337" s="40" t="s">
        <v>1883</v>
      </c>
      <c r="G337" s="40" t="s">
        <v>1884</v>
      </c>
      <c r="H337" s="40" t="s">
        <v>1871</v>
      </c>
      <c r="I337" s="40" t="s">
        <v>1074</v>
      </c>
      <c r="J337" s="40" t="s">
        <v>2993</v>
      </c>
      <c r="K337" s="40" t="s">
        <v>2904</v>
      </c>
      <c r="L337" s="40" t="s">
        <v>2994</v>
      </c>
      <c r="M337" s="40" t="s">
        <v>1995</v>
      </c>
      <c r="N337" s="40" t="s">
        <v>2906</v>
      </c>
      <c r="O337" s="40" t="s">
        <v>1876</v>
      </c>
      <c r="P337" s="40" t="s">
        <v>1997</v>
      </c>
      <c r="Q337" s="40" t="s">
        <v>1881</v>
      </c>
      <c r="R337" s="40" t="s">
        <v>1998</v>
      </c>
      <c r="S337" s="40"/>
    </row>
    <row r="338" spans="1:19" ht="74.099999999999994" customHeight="1">
      <c r="A338" s="41" t="s">
        <v>497</v>
      </c>
      <c r="B338" s="41" t="s">
        <v>2995</v>
      </c>
      <c r="C338" s="47">
        <v>8</v>
      </c>
      <c r="D338" s="41" t="s">
        <v>2001</v>
      </c>
      <c r="E338" s="41" t="s">
        <v>2002</v>
      </c>
      <c r="F338" s="41" t="s">
        <v>2003</v>
      </c>
      <c r="G338" s="41"/>
      <c r="H338" s="41" t="s">
        <v>1871</v>
      </c>
      <c r="I338" s="41"/>
      <c r="J338" s="41" t="s">
        <v>497</v>
      </c>
      <c r="K338" s="41" t="s">
        <v>2908</v>
      </c>
      <c r="L338" s="41" t="s">
        <v>2909</v>
      </c>
      <c r="M338" s="41" t="s">
        <v>2006</v>
      </c>
      <c r="N338" s="41" t="s">
        <v>2910</v>
      </c>
      <c r="O338" s="41" t="s">
        <v>1876</v>
      </c>
      <c r="P338" s="41" t="s">
        <v>2008</v>
      </c>
      <c r="Q338" s="41" t="s">
        <v>2001</v>
      </c>
      <c r="R338" s="41" t="s">
        <v>2009</v>
      </c>
      <c r="S338" s="41"/>
    </row>
    <row r="339" spans="1:19" ht="74.099999999999994" customHeight="1">
      <c r="A339" s="40" t="s">
        <v>502</v>
      </c>
      <c r="B339" s="40" t="s">
        <v>2996</v>
      </c>
      <c r="C339" s="46">
        <v>1</v>
      </c>
      <c r="D339" s="40" t="s">
        <v>1868</v>
      </c>
      <c r="E339" s="40" t="s">
        <v>1869</v>
      </c>
      <c r="F339" s="40" t="s">
        <v>1870</v>
      </c>
      <c r="G339" s="40"/>
      <c r="H339" s="40" t="s">
        <v>1871</v>
      </c>
      <c r="I339" s="40" t="s">
        <v>929</v>
      </c>
      <c r="J339" s="40" t="s">
        <v>1700</v>
      </c>
      <c r="K339" s="40" t="s">
        <v>2997</v>
      </c>
      <c r="L339" s="40" t="s">
        <v>1873</v>
      </c>
      <c r="M339" s="40" t="s">
        <v>1874</v>
      </c>
      <c r="N339" s="40" t="s">
        <v>2872</v>
      </c>
      <c r="O339" s="40" t="s">
        <v>1876</v>
      </c>
      <c r="P339" s="40"/>
      <c r="Q339" s="40" t="s">
        <v>1877</v>
      </c>
      <c r="R339" s="40" t="s">
        <v>1878</v>
      </c>
      <c r="S339" s="40" t="s">
        <v>2873</v>
      </c>
    </row>
    <row r="340" spans="1:19" ht="74.099999999999994" customHeight="1">
      <c r="A340" s="41" t="s">
        <v>502</v>
      </c>
      <c r="B340" s="41" t="s">
        <v>2998</v>
      </c>
      <c r="C340" s="47">
        <v>2</v>
      </c>
      <c r="D340" s="41" t="s">
        <v>1881</v>
      </c>
      <c r="E340" s="41" t="s">
        <v>1882</v>
      </c>
      <c r="F340" s="41" t="s">
        <v>1883</v>
      </c>
      <c r="G340" s="41" t="s">
        <v>1884</v>
      </c>
      <c r="H340" s="41" t="s">
        <v>1871</v>
      </c>
      <c r="I340" s="41" t="s">
        <v>929</v>
      </c>
      <c r="J340" s="41" t="s">
        <v>2999</v>
      </c>
      <c r="K340" s="41" t="s">
        <v>2876</v>
      </c>
      <c r="L340" s="41" t="s">
        <v>3000</v>
      </c>
      <c r="M340" s="41" t="s">
        <v>1888</v>
      </c>
      <c r="N340" s="41" t="s">
        <v>2878</v>
      </c>
      <c r="O340" s="41" t="s">
        <v>1876</v>
      </c>
      <c r="P340" s="41"/>
      <c r="Q340" s="41" t="s">
        <v>1881</v>
      </c>
      <c r="R340" s="41" t="s">
        <v>1890</v>
      </c>
      <c r="S340" s="41"/>
    </row>
    <row r="341" spans="1:19" ht="74.099999999999994" customHeight="1">
      <c r="A341" s="40" t="s">
        <v>502</v>
      </c>
      <c r="B341" s="40" t="s">
        <v>3001</v>
      </c>
      <c r="C341" s="46">
        <v>3</v>
      </c>
      <c r="D341" s="40" t="s">
        <v>1893</v>
      </c>
      <c r="E341" s="40" t="s">
        <v>1894</v>
      </c>
      <c r="F341" s="40" t="s">
        <v>1870</v>
      </c>
      <c r="G341" s="40"/>
      <c r="H341" s="40" t="s">
        <v>1871</v>
      </c>
      <c r="I341" s="40" t="s">
        <v>929</v>
      </c>
      <c r="J341" s="40" t="s">
        <v>502</v>
      </c>
      <c r="K341" s="40" t="s">
        <v>2880</v>
      </c>
      <c r="L341" s="40" t="s">
        <v>2203</v>
      </c>
      <c r="M341" s="40" t="s">
        <v>1897</v>
      </c>
      <c r="N341" s="40" t="s">
        <v>2881</v>
      </c>
      <c r="O341" s="40" t="s">
        <v>1876</v>
      </c>
      <c r="P341" s="40"/>
      <c r="Q341" s="40" t="s">
        <v>1899</v>
      </c>
      <c r="R341" s="40" t="s">
        <v>1900</v>
      </c>
      <c r="S341" s="40" t="s">
        <v>2882</v>
      </c>
    </row>
    <row r="342" spans="1:19" ht="74.099999999999994" customHeight="1">
      <c r="A342" s="41" t="s">
        <v>502</v>
      </c>
      <c r="B342" s="41" t="s">
        <v>3002</v>
      </c>
      <c r="C342" s="47">
        <v>4</v>
      </c>
      <c r="D342" s="41" t="s">
        <v>1883</v>
      </c>
      <c r="E342" s="41" t="s">
        <v>1915</v>
      </c>
      <c r="F342" s="41" t="s">
        <v>1883</v>
      </c>
      <c r="G342" s="41" t="s">
        <v>1915</v>
      </c>
      <c r="H342" s="41" t="s">
        <v>1871</v>
      </c>
      <c r="I342" s="41" t="s">
        <v>929</v>
      </c>
      <c r="J342" s="41" t="s">
        <v>502</v>
      </c>
      <c r="K342" s="41" t="s">
        <v>3003</v>
      </c>
      <c r="L342" s="41" t="s">
        <v>2885</v>
      </c>
      <c r="M342" s="41" t="s">
        <v>2886</v>
      </c>
      <c r="N342" s="41" t="s">
        <v>2919</v>
      </c>
      <c r="O342" s="41" t="s">
        <v>1876</v>
      </c>
      <c r="P342" s="41" t="s">
        <v>1920</v>
      </c>
      <c r="Q342" s="41" t="s">
        <v>2888</v>
      </c>
      <c r="R342" s="41" t="s">
        <v>2889</v>
      </c>
      <c r="S342" s="41"/>
    </row>
    <row r="343" spans="1:19" ht="74.099999999999994" customHeight="1">
      <c r="A343" s="40" t="s">
        <v>502</v>
      </c>
      <c r="B343" s="40" t="s">
        <v>3004</v>
      </c>
      <c r="C343" s="46">
        <v>5</v>
      </c>
      <c r="D343" s="40" t="s">
        <v>1883</v>
      </c>
      <c r="E343" s="40" t="s">
        <v>2891</v>
      </c>
      <c r="F343" s="40" t="s">
        <v>1883</v>
      </c>
      <c r="G343" s="40" t="s">
        <v>2892</v>
      </c>
      <c r="H343" s="40" t="s">
        <v>1871</v>
      </c>
      <c r="I343" s="40" t="s">
        <v>929</v>
      </c>
      <c r="J343" s="40" t="s">
        <v>502</v>
      </c>
      <c r="K343" s="40" t="s">
        <v>3005</v>
      </c>
      <c r="L343" s="40" t="s">
        <v>3006</v>
      </c>
      <c r="M343" s="40" t="s">
        <v>2886</v>
      </c>
      <c r="N343" s="40" t="s">
        <v>2895</v>
      </c>
      <c r="O343" s="40" t="s">
        <v>1876</v>
      </c>
      <c r="P343" s="40" t="s">
        <v>1920</v>
      </c>
      <c r="Q343" s="40" t="s">
        <v>2896</v>
      </c>
      <c r="R343" s="40" t="s">
        <v>2889</v>
      </c>
      <c r="S343" s="40"/>
    </row>
    <row r="344" spans="1:19" ht="74.099999999999994" customHeight="1">
      <c r="A344" s="41" t="s">
        <v>502</v>
      </c>
      <c r="B344" s="41" t="s">
        <v>3007</v>
      </c>
      <c r="C344" s="47">
        <v>6</v>
      </c>
      <c r="D344" s="41" t="s">
        <v>1883</v>
      </c>
      <c r="E344" s="41" t="s">
        <v>2898</v>
      </c>
      <c r="F344" s="41" t="s">
        <v>1883</v>
      </c>
      <c r="G344" s="41" t="s">
        <v>2892</v>
      </c>
      <c r="H344" s="41" t="s">
        <v>1871</v>
      </c>
      <c r="I344" s="41" t="s">
        <v>929</v>
      </c>
      <c r="J344" s="41" t="s">
        <v>502</v>
      </c>
      <c r="K344" s="41" t="s">
        <v>3008</v>
      </c>
      <c r="L344" s="41" t="s">
        <v>2947</v>
      </c>
      <c r="M344" s="41" t="s">
        <v>2886</v>
      </c>
      <c r="N344" s="41" t="s">
        <v>3009</v>
      </c>
      <c r="O344" s="41" t="s">
        <v>1876</v>
      </c>
      <c r="P344" s="41" t="s">
        <v>1920</v>
      </c>
      <c r="Q344" s="41" t="s">
        <v>2896</v>
      </c>
      <c r="R344" s="41" t="s">
        <v>2889</v>
      </c>
      <c r="S344" s="41"/>
    </row>
    <row r="345" spans="1:19" ht="74.099999999999994" customHeight="1">
      <c r="A345" s="40" t="s">
        <v>502</v>
      </c>
      <c r="B345" s="40" t="s">
        <v>3010</v>
      </c>
      <c r="C345" s="46">
        <v>7</v>
      </c>
      <c r="D345" s="40" t="s">
        <v>1992</v>
      </c>
      <c r="E345" s="40" t="s">
        <v>1882</v>
      </c>
      <c r="F345" s="40" t="s">
        <v>1883</v>
      </c>
      <c r="G345" s="40" t="s">
        <v>1884</v>
      </c>
      <c r="H345" s="40" t="s">
        <v>1871</v>
      </c>
      <c r="I345" s="40" t="s">
        <v>929</v>
      </c>
      <c r="J345" s="40" t="s">
        <v>3011</v>
      </c>
      <c r="K345" s="40" t="s">
        <v>2904</v>
      </c>
      <c r="L345" s="40" t="s">
        <v>3012</v>
      </c>
      <c r="M345" s="40" t="s">
        <v>1995</v>
      </c>
      <c r="N345" s="40" t="s">
        <v>2906</v>
      </c>
      <c r="O345" s="40" t="s">
        <v>1876</v>
      </c>
      <c r="P345" s="40" t="s">
        <v>1997</v>
      </c>
      <c r="Q345" s="40" t="s">
        <v>1881</v>
      </c>
      <c r="R345" s="40" t="s">
        <v>1998</v>
      </c>
      <c r="S345" s="40"/>
    </row>
    <row r="346" spans="1:19" ht="74.099999999999994" customHeight="1">
      <c r="A346" s="41" t="s">
        <v>502</v>
      </c>
      <c r="B346" s="41" t="s">
        <v>3013</v>
      </c>
      <c r="C346" s="47">
        <v>8</v>
      </c>
      <c r="D346" s="41" t="s">
        <v>2001</v>
      </c>
      <c r="E346" s="41" t="s">
        <v>2002</v>
      </c>
      <c r="F346" s="41" t="s">
        <v>2003</v>
      </c>
      <c r="G346" s="41"/>
      <c r="H346" s="41" t="s">
        <v>1871</v>
      </c>
      <c r="I346" s="41"/>
      <c r="J346" s="41" t="s">
        <v>502</v>
      </c>
      <c r="K346" s="41" t="s">
        <v>2908</v>
      </c>
      <c r="L346" s="41" t="s">
        <v>2909</v>
      </c>
      <c r="M346" s="41" t="s">
        <v>2006</v>
      </c>
      <c r="N346" s="41" t="s">
        <v>2910</v>
      </c>
      <c r="O346" s="41" t="s">
        <v>1876</v>
      </c>
      <c r="P346" s="41" t="s">
        <v>2008</v>
      </c>
      <c r="Q346" s="41" t="s">
        <v>2001</v>
      </c>
      <c r="R346" s="41" t="s">
        <v>2009</v>
      </c>
      <c r="S346" s="41"/>
    </row>
    <row r="347" spans="1:19" ht="74.099999999999994" customHeight="1">
      <c r="A347" s="40" t="s">
        <v>507</v>
      </c>
      <c r="B347" s="40" t="s">
        <v>3014</v>
      </c>
      <c r="C347" s="46">
        <v>1</v>
      </c>
      <c r="D347" s="40" t="s">
        <v>1868</v>
      </c>
      <c r="E347" s="40" t="s">
        <v>1869</v>
      </c>
      <c r="F347" s="40" t="s">
        <v>1870</v>
      </c>
      <c r="G347" s="40"/>
      <c r="H347" s="40" t="s">
        <v>1871</v>
      </c>
      <c r="I347" s="40" t="s">
        <v>1084</v>
      </c>
      <c r="J347" s="40" t="s">
        <v>1796</v>
      </c>
      <c r="K347" s="40" t="s">
        <v>3015</v>
      </c>
      <c r="L347" s="40" t="s">
        <v>1873</v>
      </c>
      <c r="M347" s="40" t="s">
        <v>1874</v>
      </c>
      <c r="N347" s="40" t="s">
        <v>2872</v>
      </c>
      <c r="O347" s="40" t="s">
        <v>1876</v>
      </c>
      <c r="P347" s="40"/>
      <c r="Q347" s="40" t="s">
        <v>1877</v>
      </c>
      <c r="R347" s="40" t="s">
        <v>1878</v>
      </c>
      <c r="S347" s="40" t="s">
        <v>2873</v>
      </c>
    </row>
    <row r="348" spans="1:19" ht="74.099999999999994" customHeight="1">
      <c r="A348" s="41" t="s">
        <v>507</v>
      </c>
      <c r="B348" s="41" t="s">
        <v>3016</v>
      </c>
      <c r="C348" s="47">
        <v>2</v>
      </c>
      <c r="D348" s="41" t="s">
        <v>1881</v>
      </c>
      <c r="E348" s="41" t="s">
        <v>1882</v>
      </c>
      <c r="F348" s="41" t="s">
        <v>1883</v>
      </c>
      <c r="G348" s="41" t="s">
        <v>1884</v>
      </c>
      <c r="H348" s="41" t="s">
        <v>1871</v>
      </c>
      <c r="I348" s="41" t="s">
        <v>1084</v>
      </c>
      <c r="J348" s="41" t="s">
        <v>3017</v>
      </c>
      <c r="K348" s="41" t="s">
        <v>2876</v>
      </c>
      <c r="L348" s="41" t="s">
        <v>3018</v>
      </c>
      <c r="M348" s="41" t="s">
        <v>1888</v>
      </c>
      <c r="N348" s="41" t="s">
        <v>2878</v>
      </c>
      <c r="O348" s="41" t="s">
        <v>1876</v>
      </c>
      <c r="P348" s="41"/>
      <c r="Q348" s="41" t="s">
        <v>1881</v>
      </c>
      <c r="R348" s="41" t="s">
        <v>1890</v>
      </c>
      <c r="S348" s="41"/>
    </row>
    <row r="349" spans="1:19" ht="74.099999999999994" customHeight="1">
      <c r="A349" s="40" t="s">
        <v>507</v>
      </c>
      <c r="B349" s="40" t="s">
        <v>3019</v>
      </c>
      <c r="C349" s="46">
        <v>3</v>
      </c>
      <c r="D349" s="40" t="s">
        <v>1893</v>
      </c>
      <c r="E349" s="40" t="s">
        <v>1894</v>
      </c>
      <c r="F349" s="40" t="s">
        <v>1870</v>
      </c>
      <c r="G349" s="40"/>
      <c r="H349" s="40" t="s">
        <v>1871</v>
      </c>
      <c r="I349" s="40" t="s">
        <v>1084</v>
      </c>
      <c r="J349" s="40" t="s">
        <v>507</v>
      </c>
      <c r="K349" s="40" t="s">
        <v>3020</v>
      </c>
      <c r="L349" s="40" t="s">
        <v>2203</v>
      </c>
      <c r="M349" s="40" t="s">
        <v>1897</v>
      </c>
      <c r="N349" s="40" t="s">
        <v>2881</v>
      </c>
      <c r="O349" s="40" t="s">
        <v>1876</v>
      </c>
      <c r="P349" s="40"/>
      <c r="Q349" s="40" t="s">
        <v>1899</v>
      </c>
      <c r="R349" s="40" t="s">
        <v>1900</v>
      </c>
      <c r="S349" s="40" t="s">
        <v>3021</v>
      </c>
    </row>
    <row r="350" spans="1:19" ht="74.099999999999994" customHeight="1">
      <c r="A350" s="41" t="s">
        <v>507</v>
      </c>
      <c r="B350" s="41" t="s">
        <v>3022</v>
      </c>
      <c r="C350" s="47">
        <v>4</v>
      </c>
      <c r="D350" s="41" t="s">
        <v>1883</v>
      </c>
      <c r="E350" s="41" t="s">
        <v>1915</v>
      </c>
      <c r="F350" s="41" t="s">
        <v>1883</v>
      </c>
      <c r="G350" s="41" t="s">
        <v>1915</v>
      </c>
      <c r="H350" s="41" t="s">
        <v>1871</v>
      </c>
      <c r="I350" s="41" t="s">
        <v>1084</v>
      </c>
      <c r="J350" s="41" t="s">
        <v>507</v>
      </c>
      <c r="K350" s="41" t="s">
        <v>3023</v>
      </c>
      <c r="L350" s="41" t="s">
        <v>2885</v>
      </c>
      <c r="M350" s="41" t="s">
        <v>2886</v>
      </c>
      <c r="N350" s="41" t="s">
        <v>2919</v>
      </c>
      <c r="O350" s="41" t="s">
        <v>1876</v>
      </c>
      <c r="P350" s="41" t="s">
        <v>1920</v>
      </c>
      <c r="Q350" s="41" t="s">
        <v>2888</v>
      </c>
      <c r="R350" s="41" t="s">
        <v>2889</v>
      </c>
      <c r="S350" s="41"/>
    </row>
    <row r="351" spans="1:19" ht="74.099999999999994" customHeight="1">
      <c r="A351" s="40" t="s">
        <v>507</v>
      </c>
      <c r="B351" s="40" t="s">
        <v>3024</v>
      </c>
      <c r="C351" s="46">
        <v>5</v>
      </c>
      <c r="D351" s="40" t="s">
        <v>1883</v>
      </c>
      <c r="E351" s="40" t="s">
        <v>3025</v>
      </c>
      <c r="F351" s="40" t="s">
        <v>1883</v>
      </c>
      <c r="G351" s="40" t="s">
        <v>2892</v>
      </c>
      <c r="H351" s="40" t="s">
        <v>1871</v>
      </c>
      <c r="I351" s="40" t="s">
        <v>1084</v>
      </c>
      <c r="J351" s="40" t="s">
        <v>507</v>
      </c>
      <c r="K351" s="40" t="s">
        <v>3026</v>
      </c>
      <c r="L351" s="40" t="s">
        <v>3027</v>
      </c>
      <c r="M351" s="40" t="s">
        <v>3028</v>
      </c>
      <c r="N351" s="40" t="s">
        <v>3029</v>
      </c>
      <c r="O351" s="40" t="s">
        <v>1876</v>
      </c>
      <c r="P351" s="40" t="s">
        <v>1920</v>
      </c>
      <c r="Q351" s="40" t="s">
        <v>2896</v>
      </c>
      <c r="R351" s="40" t="s">
        <v>2889</v>
      </c>
      <c r="S351" s="40" t="s">
        <v>3030</v>
      </c>
    </row>
    <row r="352" spans="1:19" ht="74.099999999999994" customHeight="1">
      <c r="A352" s="41" t="s">
        <v>507</v>
      </c>
      <c r="B352" s="41" t="s">
        <v>3031</v>
      </c>
      <c r="C352" s="47">
        <v>6</v>
      </c>
      <c r="D352" s="41" t="s">
        <v>1883</v>
      </c>
      <c r="E352" s="41" t="s">
        <v>2898</v>
      </c>
      <c r="F352" s="41" t="s">
        <v>1883</v>
      </c>
      <c r="G352" s="41" t="s">
        <v>2892</v>
      </c>
      <c r="H352" s="41" t="s">
        <v>1871</v>
      </c>
      <c r="I352" s="41" t="s">
        <v>1084</v>
      </c>
      <c r="J352" s="41" t="s">
        <v>507</v>
      </c>
      <c r="K352" s="41" t="s">
        <v>3032</v>
      </c>
      <c r="L352" s="41" t="s">
        <v>3033</v>
      </c>
      <c r="M352" s="41" t="s">
        <v>2886</v>
      </c>
      <c r="N352" s="41" t="s">
        <v>2925</v>
      </c>
      <c r="O352" s="41" t="s">
        <v>1876</v>
      </c>
      <c r="P352" s="41" t="s">
        <v>1920</v>
      </c>
      <c r="Q352" s="41" t="s">
        <v>2896</v>
      </c>
      <c r="R352" s="41" t="s">
        <v>2889</v>
      </c>
      <c r="S352" s="41"/>
    </row>
    <row r="353" spans="1:19" ht="74.099999999999994" customHeight="1">
      <c r="A353" s="40" t="s">
        <v>507</v>
      </c>
      <c r="B353" s="40" t="s">
        <v>3034</v>
      </c>
      <c r="C353" s="46">
        <v>7</v>
      </c>
      <c r="D353" s="40" t="s">
        <v>1992</v>
      </c>
      <c r="E353" s="40" t="s">
        <v>1882</v>
      </c>
      <c r="F353" s="40" t="s">
        <v>1883</v>
      </c>
      <c r="G353" s="40" t="s">
        <v>1884</v>
      </c>
      <c r="H353" s="40" t="s">
        <v>1871</v>
      </c>
      <c r="I353" s="40" t="s">
        <v>1084</v>
      </c>
      <c r="J353" s="40" t="s">
        <v>3035</v>
      </c>
      <c r="K353" s="40" t="s">
        <v>2904</v>
      </c>
      <c r="L353" s="40" t="s">
        <v>3036</v>
      </c>
      <c r="M353" s="40" t="s">
        <v>1995</v>
      </c>
      <c r="N353" s="40" t="s">
        <v>2906</v>
      </c>
      <c r="O353" s="40" t="s">
        <v>1876</v>
      </c>
      <c r="P353" s="40" t="s">
        <v>1997</v>
      </c>
      <c r="Q353" s="40" t="s">
        <v>1881</v>
      </c>
      <c r="R353" s="40" t="s">
        <v>1998</v>
      </c>
      <c r="S353" s="40"/>
    </row>
    <row r="354" spans="1:19" ht="74.099999999999994" customHeight="1">
      <c r="A354" s="41" t="s">
        <v>507</v>
      </c>
      <c r="B354" s="41" t="s">
        <v>3037</v>
      </c>
      <c r="C354" s="47">
        <v>8</v>
      </c>
      <c r="D354" s="41" t="s">
        <v>2001</v>
      </c>
      <c r="E354" s="41" t="s">
        <v>2002</v>
      </c>
      <c r="F354" s="41" t="s">
        <v>2003</v>
      </c>
      <c r="G354" s="41"/>
      <c r="H354" s="41" t="s">
        <v>1871</v>
      </c>
      <c r="I354" s="41"/>
      <c r="J354" s="41" t="s">
        <v>507</v>
      </c>
      <c r="K354" s="41" t="s">
        <v>2908</v>
      </c>
      <c r="L354" s="41" t="s">
        <v>2909</v>
      </c>
      <c r="M354" s="41" t="s">
        <v>2006</v>
      </c>
      <c r="N354" s="41" t="s">
        <v>2910</v>
      </c>
      <c r="O354" s="41" t="s">
        <v>1876</v>
      </c>
      <c r="P354" s="41" t="s">
        <v>2008</v>
      </c>
      <c r="Q354" s="41" t="s">
        <v>2001</v>
      </c>
      <c r="R354" s="41" t="s">
        <v>2009</v>
      </c>
      <c r="S354" s="41"/>
    </row>
    <row r="355" spans="1:19" ht="74.099999999999994" customHeight="1">
      <c r="A355" s="40" t="s">
        <v>512</v>
      </c>
      <c r="B355" s="40" t="s">
        <v>3038</v>
      </c>
      <c r="C355" s="46">
        <v>1</v>
      </c>
      <c r="D355" s="40" t="s">
        <v>1868</v>
      </c>
      <c r="E355" s="40" t="s">
        <v>1869</v>
      </c>
      <c r="F355" s="40" t="s">
        <v>1870</v>
      </c>
      <c r="G355" s="40"/>
      <c r="H355" s="40" t="s">
        <v>1871</v>
      </c>
      <c r="I355" s="40" t="s">
        <v>825</v>
      </c>
      <c r="J355" s="40" t="s">
        <v>1802</v>
      </c>
      <c r="K355" s="40" t="s">
        <v>3039</v>
      </c>
      <c r="L355" s="40" t="s">
        <v>1873</v>
      </c>
      <c r="M355" s="40" t="s">
        <v>1874</v>
      </c>
      <c r="N355" s="40" t="s">
        <v>2872</v>
      </c>
      <c r="O355" s="40" t="s">
        <v>1876</v>
      </c>
      <c r="P355" s="40"/>
      <c r="Q355" s="40" t="s">
        <v>1877</v>
      </c>
      <c r="R355" s="40" t="s">
        <v>1878</v>
      </c>
      <c r="S355" s="40" t="s">
        <v>2873</v>
      </c>
    </row>
    <row r="356" spans="1:19" ht="74.099999999999994" customHeight="1">
      <c r="A356" s="41" t="s">
        <v>512</v>
      </c>
      <c r="B356" s="41" t="s">
        <v>3040</v>
      </c>
      <c r="C356" s="47">
        <v>2</v>
      </c>
      <c r="D356" s="41" t="s">
        <v>1881</v>
      </c>
      <c r="E356" s="41" t="s">
        <v>1882</v>
      </c>
      <c r="F356" s="41" t="s">
        <v>1883</v>
      </c>
      <c r="G356" s="41" t="s">
        <v>1884</v>
      </c>
      <c r="H356" s="41" t="s">
        <v>1871</v>
      </c>
      <c r="I356" s="41" t="s">
        <v>825</v>
      </c>
      <c r="J356" s="41" t="s">
        <v>3041</v>
      </c>
      <c r="K356" s="41" t="s">
        <v>2876</v>
      </c>
      <c r="L356" s="41" t="s">
        <v>3042</v>
      </c>
      <c r="M356" s="41" t="s">
        <v>1888</v>
      </c>
      <c r="N356" s="41" t="s">
        <v>2878</v>
      </c>
      <c r="O356" s="41" t="s">
        <v>1876</v>
      </c>
      <c r="P356" s="41"/>
      <c r="Q356" s="41" t="s">
        <v>1881</v>
      </c>
      <c r="R356" s="41" t="s">
        <v>1890</v>
      </c>
      <c r="S356" s="41"/>
    </row>
    <row r="357" spans="1:19" ht="74.099999999999994" customHeight="1">
      <c r="A357" s="40" t="s">
        <v>512</v>
      </c>
      <c r="B357" s="40" t="s">
        <v>3043</v>
      </c>
      <c r="C357" s="46">
        <v>3</v>
      </c>
      <c r="D357" s="40" t="s">
        <v>1893</v>
      </c>
      <c r="E357" s="40" t="s">
        <v>1894</v>
      </c>
      <c r="F357" s="40" t="s">
        <v>1870</v>
      </c>
      <c r="G357" s="40"/>
      <c r="H357" s="40" t="s">
        <v>1871</v>
      </c>
      <c r="I357" s="40" t="s">
        <v>825</v>
      </c>
      <c r="J357" s="40" t="s">
        <v>512</v>
      </c>
      <c r="K357" s="40" t="s">
        <v>2880</v>
      </c>
      <c r="L357" s="40" t="s">
        <v>2203</v>
      </c>
      <c r="M357" s="40" t="s">
        <v>1897</v>
      </c>
      <c r="N357" s="40" t="s">
        <v>2881</v>
      </c>
      <c r="O357" s="40" t="s">
        <v>1876</v>
      </c>
      <c r="P357" s="40"/>
      <c r="Q357" s="40" t="s">
        <v>1899</v>
      </c>
      <c r="R357" s="40" t="s">
        <v>1900</v>
      </c>
      <c r="S357" s="40" t="s">
        <v>2882</v>
      </c>
    </row>
    <row r="358" spans="1:19" ht="74.099999999999994" customHeight="1">
      <c r="A358" s="41" t="s">
        <v>512</v>
      </c>
      <c r="B358" s="41" t="s">
        <v>3044</v>
      </c>
      <c r="C358" s="47">
        <v>4</v>
      </c>
      <c r="D358" s="41" t="s">
        <v>1883</v>
      </c>
      <c r="E358" s="41" t="s">
        <v>1937</v>
      </c>
      <c r="F358" s="41" t="s">
        <v>1883</v>
      </c>
      <c r="G358" s="41" t="s">
        <v>1904</v>
      </c>
      <c r="H358" s="41" t="s">
        <v>1871</v>
      </c>
      <c r="I358" s="41" t="s">
        <v>825</v>
      </c>
      <c r="J358" s="41" t="s">
        <v>3045</v>
      </c>
      <c r="K358" s="41" t="s">
        <v>827</v>
      </c>
      <c r="L358" s="41" t="s">
        <v>1940</v>
      </c>
      <c r="M358" s="41" t="s">
        <v>3046</v>
      </c>
      <c r="N358" s="41" t="s">
        <v>3047</v>
      </c>
      <c r="O358" s="41" t="s">
        <v>1876</v>
      </c>
      <c r="P358" s="41" t="s">
        <v>3048</v>
      </c>
      <c r="Q358" s="41" t="s">
        <v>1944</v>
      </c>
      <c r="R358" s="41" t="s">
        <v>1945</v>
      </c>
      <c r="S358" s="41" t="s">
        <v>3049</v>
      </c>
    </row>
    <row r="359" spans="1:19" ht="74.099999999999994" customHeight="1">
      <c r="A359" s="40" t="s">
        <v>512</v>
      </c>
      <c r="B359" s="40" t="s">
        <v>3050</v>
      </c>
      <c r="C359" s="46">
        <v>5</v>
      </c>
      <c r="D359" s="40" t="s">
        <v>1883</v>
      </c>
      <c r="E359" s="40" t="s">
        <v>1980</v>
      </c>
      <c r="F359" s="40" t="s">
        <v>1883</v>
      </c>
      <c r="G359" s="40" t="s">
        <v>1981</v>
      </c>
      <c r="H359" s="40" t="s">
        <v>1871</v>
      </c>
      <c r="I359" s="40" t="s">
        <v>825</v>
      </c>
      <c r="J359" s="40" t="s">
        <v>2439</v>
      </c>
      <c r="K359" s="40" t="s">
        <v>3051</v>
      </c>
      <c r="L359" s="40" t="s">
        <v>1984</v>
      </c>
      <c r="M359" s="40" t="s">
        <v>1985</v>
      </c>
      <c r="N359" s="40" t="s">
        <v>3052</v>
      </c>
      <c r="O359" s="40" t="s">
        <v>1876</v>
      </c>
      <c r="P359" s="40" t="s">
        <v>3053</v>
      </c>
      <c r="Q359" s="40" t="s">
        <v>1988</v>
      </c>
      <c r="R359" s="40" t="s">
        <v>1989</v>
      </c>
      <c r="S359" s="40" t="s">
        <v>3054</v>
      </c>
    </row>
    <row r="360" spans="1:19" ht="74.099999999999994" customHeight="1">
      <c r="A360" s="41" t="s">
        <v>512</v>
      </c>
      <c r="B360" s="41" t="s">
        <v>3055</v>
      </c>
      <c r="C360" s="47">
        <v>6</v>
      </c>
      <c r="D360" s="41" t="s">
        <v>1992</v>
      </c>
      <c r="E360" s="41" t="s">
        <v>1882</v>
      </c>
      <c r="F360" s="41" t="s">
        <v>1883</v>
      </c>
      <c r="G360" s="41" t="s">
        <v>1884</v>
      </c>
      <c r="H360" s="41" t="s">
        <v>1871</v>
      </c>
      <c r="I360" s="41" t="s">
        <v>825</v>
      </c>
      <c r="J360" s="41" t="s">
        <v>3056</v>
      </c>
      <c r="K360" s="41" t="s">
        <v>2904</v>
      </c>
      <c r="L360" s="41" t="s">
        <v>3057</v>
      </c>
      <c r="M360" s="41" t="s">
        <v>1995</v>
      </c>
      <c r="N360" s="41" t="s">
        <v>2906</v>
      </c>
      <c r="O360" s="41" t="s">
        <v>1876</v>
      </c>
      <c r="P360" s="41" t="s">
        <v>1997</v>
      </c>
      <c r="Q360" s="41" t="s">
        <v>1881</v>
      </c>
      <c r="R360" s="41" t="s">
        <v>1998</v>
      </c>
      <c r="S360" s="41"/>
    </row>
    <row r="361" spans="1:19" ht="74.099999999999994" customHeight="1">
      <c r="A361" s="40" t="s">
        <v>512</v>
      </c>
      <c r="B361" s="40" t="s">
        <v>3058</v>
      </c>
      <c r="C361" s="46">
        <v>7</v>
      </c>
      <c r="D361" s="40" t="s">
        <v>2001</v>
      </c>
      <c r="E361" s="40" t="s">
        <v>2002</v>
      </c>
      <c r="F361" s="40" t="s">
        <v>2003</v>
      </c>
      <c r="G361" s="40"/>
      <c r="H361" s="40" t="s">
        <v>1871</v>
      </c>
      <c r="I361" s="40"/>
      <c r="J361" s="40" t="s">
        <v>512</v>
      </c>
      <c r="K361" s="40" t="s">
        <v>2908</v>
      </c>
      <c r="L361" s="40" t="s">
        <v>2909</v>
      </c>
      <c r="M361" s="40" t="s">
        <v>2006</v>
      </c>
      <c r="N361" s="40" t="s">
        <v>2910</v>
      </c>
      <c r="O361" s="40" t="s">
        <v>1876</v>
      </c>
      <c r="P361" s="40" t="s">
        <v>2008</v>
      </c>
      <c r="Q361" s="40" t="s">
        <v>2001</v>
      </c>
      <c r="R361" s="40" t="s">
        <v>2009</v>
      </c>
      <c r="S361" s="40"/>
    </row>
    <row r="362" spans="1:19" ht="74.099999999999994" customHeight="1">
      <c r="A362" s="41" t="s">
        <v>518</v>
      </c>
      <c r="B362" s="41" t="s">
        <v>3059</v>
      </c>
      <c r="C362" s="47">
        <v>1</v>
      </c>
      <c r="D362" s="41" t="s">
        <v>1868</v>
      </c>
      <c r="E362" s="41" t="s">
        <v>1869</v>
      </c>
      <c r="F362" s="41" t="s">
        <v>1870</v>
      </c>
      <c r="G362" s="41"/>
      <c r="H362" s="41" t="s">
        <v>1871</v>
      </c>
      <c r="I362" s="41" t="s">
        <v>740</v>
      </c>
      <c r="J362" s="41" t="s">
        <v>1811</v>
      </c>
      <c r="K362" s="41" t="s">
        <v>3060</v>
      </c>
      <c r="L362" s="41" t="s">
        <v>1873</v>
      </c>
      <c r="M362" s="41" t="s">
        <v>1874</v>
      </c>
      <c r="N362" s="41" t="s">
        <v>2872</v>
      </c>
      <c r="O362" s="41" t="s">
        <v>1876</v>
      </c>
      <c r="P362" s="41"/>
      <c r="Q362" s="41" t="s">
        <v>1877</v>
      </c>
      <c r="R362" s="41" t="s">
        <v>1878</v>
      </c>
      <c r="S362" s="41" t="s">
        <v>2873</v>
      </c>
    </row>
    <row r="363" spans="1:19" ht="74.099999999999994" customHeight="1">
      <c r="A363" s="40" t="s">
        <v>518</v>
      </c>
      <c r="B363" s="40" t="s">
        <v>3061</v>
      </c>
      <c r="C363" s="46">
        <v>2</v>
      </c>
      <c r="D363" s="40" t="s">
        <v>1881</v>
      </c>
      <c r="E363" s="40" t="s">
        <v>1882</v>
      </c>
      <c r="F363" s="40" t="s">
        <v>1883</v>
      </c>
      <c r="G363" s="40" t="s">
        <v>1884</v>
      </c>
      <c r="H363" s="40" t="s">
        <v>1871</v>
      </c>
      <c r="I363" s="40" t="s">
        <v>740</v>
      </c>
      <c r="J363" s="40" t="s">
        <v>3062</v>
      </c>
      <c r="K363" s="40" t="s">
        <v>2876</v>
      </c>
      <c r="L363" s="40" t="s">
        <v>3063</v>
      </c>
      <c r="M363" s="40" t="s">
        <v>1888</v>
      </c>
      <c r="N363" s="40" t="s">
        <v>2878</v>
      </c>
      <c r="O363" s="40" t="s">
        <v>1876</v>
      </c>
      <c r="P363" s="40"/>
      <c r="Q363" s="40" t="s">
        <v>1881</v>
      </c>
      <c r="R363" s="40" t="s">
        <v>1890</v>
      </c>
      <c r="S363" s="40"/>
    </row>
    <row r="364" spans="1:19" ht="74.099999999999994" customHeight="1">
      <c r="A364" s="41" t="s">
        <v>518</v>
      </c>
      <c r="B364" s="41" t="s">
        <v>3064</v>
      </c>
      <c r="C364" s="47">
        <v>3</v>
      </c>
      <c r="D364" s="41" t="s">
        <v>1893</v>
      </c>
      <c r="E364" s="41" t="s">
        <v>1894</v>
      </c>
      <c r="F364" s="41" t="s">
        <v>1870</v>
      </c>
      <c r="G364" s="41"/>
      <c r="H364" s="41" t="s">
        <v>1871</v>
      </c>
      <c r="I364" s="41" t="s">
        <v>740</v>
      </c>
      <c r="J364" s="41" t="s">
        <v>518</v>
      </c>
      <c r="K364" s="41" t="s">
        <v>2880</v>
      </c>
      <c r="L364" s="41" t="s">
        <v>2203</v>
      </c>
      <c r="M364" s="41" t="s">
        <v>1897</v>
      </c>
      <c r="N364" s="41" t="s">
        <v>2881</v>
      </c>
      <c r="O364" s="41" t="s">
        <v>1876</v>
      </c>
      <c r="P364" s="41"/>
      <c r="Q364" s="41" t="s">
        <v>1899</v>
      </c>
      <c r="R364" s="41" t="s">
        <v>1900</v>
      </c>
      <c r="S364" s="41" t="s">
        <v>2882</v>
      </c>
    </row>
    <row r="365" spans="1:19" ht="74.099999999999994" customHeight="1">
      <c r="A365" s="40" t="s">
        <v>518</v>
      </c>
      <c r="B365" s="40" t="s">
        <v>3065</v>
      </c>
      <c r="C365" s="46">
        <v>4</v>
      </c>
      <c r="D365" s="40" t="s">
        <v>1883</v>
      </c>
      <c r="E365" s="40" t="s">
        <v>1937</v>
      </c>
      <c r="F365" s="40" t="s">
        <v>1883</v>
      </c>
      <c r="G365" s="40" t="s">
        <v>1904</v>
      </c>
      <c r="H365" s="40" t="s">
        <v>1871</v>
      </c>
      <c r="I365" s="40" t="s">
        <v>740</v>
      </c>
      <c r="J365" s="40" t="s">
        <v>3066</v>
      </c>
      <c r="K365" s="40" t="s">
        <v>3067</v>
      </c>
      <c r="L365" s="40" t="s">
        <v>1940</v>
      </c>
      <c r="M365" s="40" t="s">
        <v>3046</v>
      </c>
      <c r="N365" s="40" t="s">
        <v>3068</v>
      </c>
      <c r="O365" s="40" t="s">
        <v>1876</v>
      </c>
      <c r="P365" s="40" t="s">
        <v>3048</v>
      </c>
      <c r="Q365" s="40" t="s">
        <v>1944</v>
      </c>
      <c r="R365" s="40" t="s">
        <v>1945</v>
      </c>
      <c r="S365" s="40" t="s">
        <v>3069</v>
      </c>
    </row>
    <row r="366" spans="1:19" ht="74.099999999999994" customHeight="1">
      <c r="A366" s="41" t="s">
        <v>518</v>
      </c>
      <c r="B366" s="41" t="s">
        <v>3070</v>
      </c>
      <c r="C366" s="47">
        <v>5</v>
      </c>
      <c r="D366" s="41" t="s">
        <v>1883</v>
      </c>
      <c r="E366" s="41" t="s">
        <v>1980</v>
      </c>
      <c r="F366" s="41" t="s">
        <v>1883</v>
      </c>
      <c r="G366" s="41" t="s">
        <v>1981</v>
      </c>
      <c r="H366" s="41" t="s">
        <v>1871</v>
      </c>
      <c r="I366" s="41" t="s">
        <v>740</v>
      </c>
      <c r="J366" s="41" t="s">
        <v>2302</v>
      </c>
      <c r="K366" s="41" t="s">
        <v>3071</v>
      </c>
      <c r="L366" s="41" t="s">
        <v>1984</v>
      </c>
      <c r="M366" s="41" t="s">
        <v>1985</v>
      </c>
      <c r="N366" s="41" t="s">
        <v>3052</v>
      </c>
      <c r="O366" s="41" t="s">
        <v>1876</v>
      </c>
      <c r="P366" s="41" t="s">
        <v>3053</v>
      </c>
      <c r="Q366" s="41" t="s">
        <v>1988</v>
      </c>
      <c r="R366" s="41" t="s">
        <v>1989</v>
      </c>
      <c r="S366" s="41" t="s">
        <v>3054</v>
      </c>
    </row>
    <row r="367" spans="1:19" ht="74.099999999999994" customHeight="1">
      <c r="A367" s="40" t="s">
        <v>518</v>
      </c>
      <c r="B367" s="40" t="s">
        <v>3072</v>
      </c>
      <c r="C367" s="46">
        <v>6</v>
      </c>
      <c r="D367" s="40" t="s">
        <v>1992</v>
      </c>
      <c r="E367" s="40" t="s">
        <v>1882</v>
      </c>
      <c r="F367" s="40" t="s">
        <v>1883</v>
      </c>
      <c r="G367" s="40" t="s">
        <v>1884</v>
      </c>
      <c r="H367" s="40" t="s">
        <v>1871</v>
      </c>
      <c r="I367" s="40" t="s">
        <v>740</v>
      </c>
      <c r="J367" s="40" t="s">
        <v>3073</v>
      </c>
      <c r="K367" s="40" t="s">
        <v>2904</v>
      </c>
      <c r="L367" s="40" t="s">
        <v>3074</v>
      </c>
      <c r="M367" s="40" t="s">
        <v>1995</v>
      </c>
      <c r="N367" s="40" t="s">
        <v>2906</v>
      </c>
      <c r="O367" s="40" t="s">
        <v>1876</v>
      </c>
      <c r="P367" s="40" t="s">
        <v>1997</v>
      </c>
      <c r="Q367" s="40" t="s">
        <v>1881</v>
      </c>
      <c r="R367" s="40" t="s">
        <v>1998</v>
      </c>
      <c r="S367" s="40"/>
    </row>
    <row r="368" spans="1:19" ht="74.099999999999994" customHeight="1">
      <c r="A368" s="41" t="s">
        <v>518</v>
      </c>
      <c r="B368" s="41" t="s">
        <v>3075</v>
      </c>
      <c r="C368" s="47">
        <v>7</v>
      </c>
      <c r="D368" s="41" t="s">
        <v>2001</v>
      </c>
      <c r="E368" s="41" t="s">
        <v>2002</v>
      </c>
      <c r="F368" s="41" t="s">
        <v>2003</v>
      </c>
      <c r="G368" s="41"/>
      <c r="H368" s="41" t="s">
        <v>1871</v>
      </c>
      <c r="I368" s="41"/>
      <c r="J368" s="41" t="s">
        <v>518</v>
      </c>
      <c r="K368" s="41" t="s">
        <v>2908</v>
      </c>
      <c r="L368" s="41" t="s">
        <v>2909</v>
      </c>
      <c r="M368" s="41" t="s">
        <v>2006</v>
      </c>
      <c r="N368" s="41" t="s">
        <v>2910</v>
      </c>
      <c r="O368" s="41" t="s">
        <v>1876</v>
      </c>
      <c r="P368" s="41" t="s">
        <v>2008</v>
      </c>
      <c r="Q368" s="41" t="s">
        <v>2001</v>
      </c>
      <c r="R368" s="41" t="s">
        <v>2009</v>
      </c>
      <c r="S368" s="41"/>
    </row>
    <row r="369" spans="1:19" ht="74.099999999999994" customHeight="1">
      <c r="A369" s="40" t="s">
        <v>523</v>
      </c>
      <c r="B369" s="40" t="s">
        <v>3076</v>
      </c>
      <c r="C369" s="46">
        <v>1</v>
      </c>
      <c r="D369" s="40" t="s">
        <v>1868</v>
      </c>
      <c r="E369" s="40" t="s">
        <v>1869</v>
      </c>
      <c r="F369" s="40" t="s">
        <v>1870</v>
      </c>
      <c r="G369" s="40"/>
      <c r="H369" s="40" t="s">
        <v>1871</v>
      </c>
      <c r="I369" s="40" t="s">
        <v>1092</v>
      </c>
      <c r="J369" s="40" t="s">
        <v>1817</v>
      </c>
      <c r="K369" s="40" t="s">
        <v>3077</v>
      </c>
      <c r="L369" s="40" t="s">
        <v>1873</v>
      </c>
      <c r="M369" s="40" t="s">
        <v>1874</v>
      </c>
      <c r="N369" s="40" t="s">
        <v>2872</v>
      </c>
      <c r="O369" s="40" t="s">
        <v>1876</v>
      </c>
      <c r="P369" s="40"/>
      <c r="Q369" s="40" t="s">
        <v>1877</v>
      </c>
      <c r="R369" s="40" t="s">
        <v>1878</v>
      </c>
      <c r="S369" s="40" t="s">
        <v>2873</v>
      </c>
    </row>
    <row r="370" spans="1:19" ht="74.099999999999994" customHeight="1">
      <c r="A370" s="41" t="s">
        <v>523</v>
      </c>
      <c r="B370" s="41" t="s">
        <v>3078</v>
      </c>
      <c r="C370" s="47">
        <v>2</v>
      </c>
      <c r="D370" s="41" t="s">
        <v>1881</v>
      </c>
      <c r="E370" s="41" t="s">
        <v>1882</v>
      </c>
      <c r="F370" s="41" t="s">
        <v>1883</v>
      </c>
      <c r="G370" s="41" t="s">
        <v>1884</v>
      </c>
      <c r="H370" s="41" t="s">
        <v>1871</v>
      </c>
      <c r="I370" s="41" t="s">
        <v>1092</v>
      </c>
      <c r="J370" s="41" t="s">
        <v>3079</v>
      </c>
      <c r="K370" s="41" t="s">
        <v>2876</v>
      </c>
      <c r="L370" s="41" t="s">
        <v>3080</v>
      </c>
      <c r="M370" s="41" t="s">
        <v>1888</v>
      </c>
      <c r="N370" s="41" t="s">
        <v>2878</v>
      </c>
      <c r="O370" s="41" t="s">
        <v>1876</v>
      </c>
      <c r="P370" s="41"/>
      <c r="Q370" s="41" t="s">
        <v>1881</v>
      </c>
      <c r="R370" s="41" t="s">
        <v>1890</v>
      </c>
      <c r="S370" s="41"/>
    </row>
    <row r="371" spans="1:19" ht="74.099999999999994" customHeight="1">
      <c r="A371" s="40" t="s">
        <v>523</v>
      </c>
      <c r="B371" s="40" t="s">
        <v>3081</v>
      </c>
      <c r="C371" s="46">
        <v>3</v>
      </c>
      <c r="D371" s="40" t="s">
        <v>1893</v>
      </c>
      <c r="E371" s="40" t="s">
        <v>1894</v>
      </c>
      <c r="F371" s="40" t="s">
        <v>1870</v>
      </c>
      <c r="G371" s="40"/>
      <c r="H371" s="40" t="s">
        <v>1871</v>
      </c>
      <c r="I371" s="40" t="s">
        <v>1092</v>
      </c>
      <c r="J371" s="40" t="s">
        <v>523</v>
      </c>
      <c r="K371" s="40" t="s">
        <v>2880</v>
      </c>
      <c r="L371" s="40" t="s">
        <v>2203</v>
      </c>
      <c r="M371" s="40" t="s">
        <v>1897</v>
      </c>
      <c r="N371" s="40" t="s">
        <v>2881</v>
      </c>
      <c r="O371" s="40" t="s">
        <v>1876</v>
      </c>
      <c r="P371" s="40"/>
      <c r="Q371" s="40" t="s">
        <v>1899</v>
      </c>
      <c r="R371" s="40" t="s">
        <v>1900</v>
      </c>
      <c r="S371" s="40" t="s">
        <v>2882</v>
      </c>
    </row>
    <row r="372" spans="1:19" ht="74.099999999999994" customHeight="1">
      <c r="A372" s="41" t="s">
        <v>523</v>
      </c>
      <c r="B372" s="41" t="s">
        <v>3082</v>
      </c>
      <c r="C372" s="47">
        <v>4</v>
      </c>
      <c r="D372" s="41" t="s">
        <v>1883</v>
      </c>
      <c r="E372" s="41" t="s">
        <v>1937</v>
      </c>
      <c r="F372" s="41" t="s">
        <v>1883</v>
      </c>
      <c r="G372" s="41" t="s">
        <v>1904</v>
      </c>
      <c r="H372" s="41" t="s">
        <v>1871</v>
      </c>
      <c r="I372" s="41" t="s">
        <v>1092</v>
      </c>
      <c r="J372" s="41" t="s">
        <v>3083</v>
      </c>
      <c r="K372" s="41" t="s">
        <v>3084</v>
      </c>
      <c r="L372" s="41" t="s">
        <v>1940</v>
      </c>
      <c r="M372" s="41" t="s">
        <v>3046</v>
      </c>
      <c r="N372" s="41" t="s">
        <v>3085</v>
      </c>
      <c r="O372" s="41" t="s">
        <v>1876</v>
      </c>
      <c r="P372" s="41" t="s">
        <v>3048</v>
      </c>
      <c r="Q372" s="41" t="s">
        <v>1944</v>
      </c>
      <c r="R372" s="41" t="s">
        <v>1945</v>
      </c>
      <c r="S372" s="41" t="s">
        <v>3086</v>
      </c>
    </row>
    <row r="373" spans="1:19" ht="74.099999999999994" customHeight="1">
      <c r="A373" s="40" t="s">
        <v>523</v>
      </c>
      <c r="B373" s="40" t="s">
        <v>3087</v>
      </c>
      <c r="C373" s="46">
        <v>5</v>
      </c>
      <c r="D373" s="40" t="s">
        <v>1883</v>
      </c>
      <c r="E373" s="40" t="s">
        <v>1980</v>
      </c>
      <c r="F373" s="40" t="s">
        <v>1883</v>
      </c>
      <c r="G373" s="40" t="s">
        <v>1981</v>
      </c>
      <c r="H373" s="40" t="s">
        <v>1871</v>
      </c>
      <c r="I373" s="40" t="s">
        <v>1092</v>
      </c>
      <c r="J373" s="40" t="s">
        <v>3088</v>
      </c>
      <c r="K373" s="40" t="s">
        <v>3089</v>
      </c>
      <c r="L373" s="40" t="s">
        <v>1984</v>
      </c>
      <c r="M373" s="40" t="s">
        <v>1985</v>
      </c>
      <c r="N373" s="40" t="s">
        <v>3052</v>
      </c>
      <c r="O373" s="40" t="s">
        <v>1876</v>
      </c>
      <c r="P373" s="40" t="s">
        <v>3053</v>
      </c>
      <c r="Q373" s="40" t="s">
        <v>1988</v>
      </c>
      <c r="R373" s="40" t="s">
        <v>1989</v>
      </c>
      <c r="S373" s="40" t="s">
        <v>3054</v>
      </c>
    </row>
    <row r="374" spans="1:19" ht="74.099999999999994" customHeight="1">
      <c r="A374" s="41" t="s">
        <v>523</v>
      </c>
      <c r="B374" s="41" t="s">
        <v>3090</v>
      </c>
      <c r="C374" s="47">
        <v>6</v>
      </c>
      <c r="D374" s="41" t="s">
        <v>1992</v>
      </c>
      <c r="E374" s="41" t="s">
        <v>1882</v>
      </c>
      <c r="F374" s="41" t="s">
        <v>1883</v>
      </c>
      <c r="G374" s="41" t="s">
        <v>1884</v>
      </c>
      <c r="H374" s="41" t="s">
        <v>1871</v>
      </c>
      <c r="I374" s="41" t="s">
        <v>1092</v>
      </c>
      <c r="J374" s="41" t="s">
        <v>3091</v>
      </c>
      <c r="K374" s="41" t="s">
        <v>2904</v>
      </c>
      <c r="L374" s="41" t="s">
        <v>3092</v>
      </c>
      <c r="M374" s="41" t="s">
        <v>1995</v>
      </c>
      <c r="N374" s="41" t="s">
        <v>2906</v>
      </c>
      <c r="O374" s="41" t="s">
        <v>1876</v>
      </c>
      <c r="P374" s="41" t="s">
        <v>1997</v>
      </c>
      <c r="Q374" s="41" t="s">
        <v>1881</v>
      </c>
      <c r="R374" s="41" t="s">
        <v>1998</v>
      </c>
      <c r="S374" s="41"/>
    </row>
    <row r="375" spans="1:19" ht="74.099999999999994" customHeight="1">
      <c r="A375" s="40" t="s">
        <v>523</v>
      </c>
      <c r="B375" s="40" t="s">
        <v>3093</v>
      </c>
      <c r="C375" s="46">
        <v>7</v>
      </c>
      <c r="D375" s="40" t="s">
        <v>2001</v>
      </c>
      <c r="E375" s="40" t="s">
        <v>2002</v>
      </c>
      <c r="F375" s="40" t="s">
        <v>2003</v>
      </c>
      <c r="G375" s="40"/>
      <c r="H375" s="40" t="s">
        <v>1871</v>
      </c>
      <c r="I375" s="40"/>
      <c r="J375" s="40" t="s">
        <v>523</v>
      </c>
      <c r="K375" s="40" t="s">
        <v>2908</v>
      </c>
      <c r="L375" s="40" t="s">
        <v>2909</v>
      </c>
      <c r="M375" s="40" t="s">
        <v>2006</v>
      </c>
      <c r="N375" s="40" t="s">
        <v>2910</v>
      </c>
      <c r="O375" s="40" t="s">
        <v>1876</v>
      </c>
      <c r="P375" s="40" t="s">
        <v>2008</v>
      </c>
      <c r="Q375" s="40" t="s">
        <v>2001</v>
      </c>
      <c r="R375" s="40" t="s">
        <v>2009</v>
      </c>
      <c r="S375" s="40"/>
    </row>
    <row r="376" spans="1:19" ht="74.099999999999994" customHeight="1">
      <c r="A376" s="41" t="s">
        <v>528</v>
      </c>
      <c r="B376" s="41" t="s">
        <v>3094</v>
      </c>
      <c r="C376" s="47">
        <v>1</v>
      </c>
      <c r="D376" s="41" t="s">
        <v>1868</v>
      </c>
      <c r="E376" s="41" t="s">
        <v>1869</v>
      </c>
      <c r="F376" s="41" t="s">
        <v>1870</v>
      </c>
      <c r="G376" s="41"/>
      <c r="H376" s="41" t="s">
        <v>1871</v>
      </c>
      <c r="I376" s="41" t="s">
        <v>1101</v>
      </c>
      <c r="J376" s="41" t="s">
        <v>1822</v>
      </c>
      <c r="K376" s="41" t="s">
        <v>3095</v>
      </c>
      <c r="L376" s="41" t="s">
        <v>1873</v>
      </c>
      <c r="M376" s="41" t="s">
        <v>1874</v>
      </c>
      <c r="N376" s="41" t="s">
        <v>2872</v>
      </c>
      <c r="O376" s="41" t="s">
        <v>1876</v>
      </c>
      <c r="P376" s="41"/>
      <c r="Q376" s="41" t="s">
        <v>1877</v>
      </c>
      <c r="R376" s="41" t="s">
        <v>1878</v>
      </c>
      <c r="S376" s="41" t="s">
        <v>2873</v>
      </c>
    </row>
    <row r="377" spans="1:19" ht="74.099999999999994" customHeight="1">
      <c r="A377" s="40" t="s">
        <v>528</v>
      </c>
      <c r="B377" s="40" t="s">
        <v>3096</v>
      </c>
      <c r="C377" s="46">
        <v>2</v>
      </c>
      <c r="D377" s="40" t="s">
        <v>1881</v>
      </c>
      <c r="E377" s="40" t="s">
        <v>1882</v>
      </c>
      <c r="F377" s="40" t="s">
        <v>1883</v>
      </c>
      <c r="G377" s="40" t="s">
        <v>1884</v>
      </c>
      <c r="H377" s="40" t="s">
        <v>1871</v>
      </c>
      <c r="I377" s="40" t="s">
        <v>1101</v>
      </c>
      <c r="J377" s="40" t="s">
        <v>3097</v>
      </c>
      <c r="K377" s="40" t="s">
        <v>2876</v>
      </c>
      <c r="L377" s="40" t="s">
        <v>3098</v>
      </c>
      <c r="M377" s="40" t="s">
        <v>1888</v>
      </c>
      <c r="N377" s="40" t="s">
        <v>2878</v>
      </c>
      <c r="O377" s="40" t="s">
        <v>1876</v>
      </c>
      <c r="P377" s="40"/>
      <c r="Q377" s="40" t="s">
        <v>1881</v>
      </c>
      <c r="R377" s="40" t="s">
        <v>1890</v>
      </c>
      <c r="S377" s="40"/>
    </row>
    <row r="378" spans="1:19" ht="74.099999999999994" customHeight="1">
      <c r="A378" s="41" t="s">
        <v>528</v>
      </c>
      <c r="B378" s="41" t="s">
        <v>3099</v>
      </c>
      <c r="C378" s="47">
        <v>3</v>
      </c>
      <c r="D378" s="41" t="s">
        <v>1893</v>
      </c>
      <c r="E378" s="41" t="s">
        <v>1894</v>
      </c>
      <c r="F378" s="41" t="s">
        <v>1870</v>
      </c>
      <c r="G378" s="41"/>
      <c r="H378" s="41" t="s">
        <v>1871</v>
      </c>
      <c r="I378" s="41" t="s">
        <v>1101</v>
      </c>
      <c r="J378" s="41" t="s">
        <v>528</v>
      </c>
      <c r="K378" s="41" t="s">
        <v>2880</v>
      </c>
      <c r="L378" s="41" t="s">
        <v>2203</v>
      </c>
      <c r="M378" s="41" t="s">
        <v>1897</v>
      </c>
      <c r="N378" s="41" t="s">
        <v>2881</v>
      </c>
      <c r="O378" s="41" t="s">
        <v>1876</v>
      </c>
      <c r="P378" s="41"/>
      <c r="Q378" s="41" t="s">
        <v>1899</v>
      </c>
      <c r="R378" s="41" t="s">
        <v>1900</v>
      </c>
      <c r="S378" s="41" t="s">
        <v>2882</v>
      </c>
    </row>
    <row r="379" spans="1:19" ht="74.099999999999994" customHeight="1">
      <c r="A379" s="40" t="s">
        <v>528</v>
      </c>
      <c r="B379" s="40" t="s">
        <v>3100</v>
      </c>
      <c r="C379" s="46">
        <v>4</v>
      </c>
      <c r="D379" s="40" t="s">
        <v>1883</v>
      </c>
      <c r="E379" s="40" t="s">
        <v>1937</v>
      </c>
      <c r="F379" s="40" t="s">
        <v>1883</v>
      </c>
      <c r="G379" s="40" t="s">
        <v>1904</v>
      </c>
      <c r="H379" s="40" t="s">
        <v>1871</v>
      </c>
      <c r="I379" s="40" t="s">
        <v>1101</v>
      </c>
      <c r="J379" s="40" t="s">
        <v>3101</v>
      </c>
      <c r="K379" s="40" t="s">
        <v>3102</v>
      </c>
      <c r="L379" s="40" t="s">
        <v>1940</v>
      </c>
      <c r="M379" s="40" t="s">
        <v>3046</v>
      </c>
      <c r="N379" s="40" t="s">
        <v>3103</v>
      </c>
      <c r="O379" s="40" t="s">
        <v>1876</v>
      </c>
      <c r="P379" s="40" t="s">
        <v>3048</v>
      </c>
      <c r="Q379" s="40" t="s">
        <v>1944</v>
      </c>
      <c r="R379" s="40" t="s">
        <v>1945</v>
      </c>
      <c r="S379" s="40" t="s">
        <v>3104</v>
      </c>
    </row>
    <row r="380" spans="1:19" ht="74.099999999999994" customHeight="1">
      <c r="A380" s="41" t="s">
        <v>528</v>
      </c>
      <c r="B380" s="41" t="s">
        <v>3105</v>
      </c>
      <c r="C380" s="47">
        <v>5</v>
      </c>
      <c r="D380" s="41" t="s">
        <v>1992</v>
      </c>
      <c r="E380" s="41" t="s">
        <v>1882</v>
      </c>
      <c r="F380" s="41" t="s">
        <v>1883</v>
      </c>
      <c r="G380" s="41" t="s">
        <v>1884</v>
      </c>
      <c r="H380" s="41" t="s">
        <v>1871</v>
      </c>
      <c r="I380" s="41" t="s">
        <v>1101</v>
      </c>
      <c r="J380" s="41" t="s">
        <v>3106</v>
      </c>
      <c r="K380" s="41" t="s">
        <v>2904</v>
      </c>
      <c r="L380" s="41" t="s">
        <v>3107</v>
      </c>
      <c r="M380" s="41" t="s">
        <v>1995</v>
      </c>
      <c r="N380" s="41" t="s">
        <v>2906</v>
      </c>
      <c r="O380" s="41" t="s">
        <v>1876</v>
      </c>
      <c r="P380" s="41" t="s">
        <v>1997</v>
      </c>
      <c r="Q380" s="41" t="s">
        <v>1881</v>
      </c>
      <c r="R380" s="41" t="s">
        <v>1998</v>
      </c>
      <c r="S380" s="41"/>
    </row>
    <row r="381" spans="1:19" ht="74.099999999999994" customHeight="1">
      <c r="A381" s="40" t="s">
        <v>528</v>
      </c>
      <c r="B381" s="40" t="s">
        <v>3108</v>
      </c>
      <c r="C381" s="46">
        <v>6</v>
      </c>
      <c r="D381" s="40" t="s">
        <v>2001</v>
      </c>
      <c r="E381" s="40" t="s">
        <v>2002</v>
      </c>
      <c r="F381" s="40" t="s">
        <v>2003</v>
      </c>
      <c r="G381" s="40"/>
      <c r="H381" s="40" t="s">
        <v>1871</v>
      </c>
      <c r="I381" s="40"/>
      <c r="J381" s="40" t="s">
        <v>528</v>
      </c>
      <c r="K381" s="40" t="s">
        <v>2908</v>
      </c>
      <c r="L381" s="40" t="s">
        <v>2909</v>
      </c>
      <c r="M381" s="40" t="s">
        <v>2006</v>
      </c>
      <c r="N381" s="40" t="s">
        <v>2910</v>
      </c>
      <c r="O381" s="40" t="s">
        <v>1876</v>
      </c>
      <c r="P381" s="40" t="s">
        <v>2008</v>
      </c>
      <c r="Q381" s="40" t="s">
        <v>2001</v>
      </c>
      <c r="R381" s="40" t="s">
        <v>2009</v>
      </c>
      <c r="S381" s="40"/>
    </row>
    <row r="382" spans="1:19" ht="74.099999999999994" customHeight="1">
      <c r="A382" s="41" t="s">
        <v>533</v>
      </c>
      <c r="B382" s="41" t="s">
        <v>3109</v>
      </c>
      <c r="C382" s="47">
        <v>1</v>
      </c>
      <c r="D382" s="41" t="s">
        <v>1868</v>
      </c>
      <c r="E382" s="41" t="s">
        <v>1869</v>
      </c>
      <c r="F382" s="41" t="s">
        <v>1870</v>
      </c>
      <c r="G382" s="41"/>
      <c r="H382" s="41" t="s">
        <v>1871</v>
      </c>
      <c r="I382" s="41" t="s">
        <v>1108</v>
      </c>
      <c r="J382" s="41" t="s">
        <v>1828</v>
      </c>
      <c r="K382" s="41" t="s">
        <v>3110</v>
      </c>
      <c r="L382" s="41" t="s">
        <v>1873</v>
      </c>
      <c r="M382" s="41" t="s">
        <v>1874</v>
      </c>
      <c r="N382" s="41" t="s">
        <v>2872</v>
      </c>
      <c r="O382" s="41" t="s">
        <v>1876</v>
      </c>
      <c r="P382" s="41"/>
      <c r="Q382" s="41" t="s">
        <v>1877</v>
      </c>
      <c r="R382" s="41" t="s">
        <v>1878</v>
      </c>
      <c r="S382" s="41" t="s">
        <v>2873</v>
      </c>
    </row>
    <row r="383" spans="1:19" ht="74.099999999999994" customHeight="1">
      <c r="A383" s="40" t="s">
        <v>533</v>
      </c>
      <c r="B383" s="40" t="s">
        <v>3111</v>
      </c>
      <c r="C383" s="46">
        <v>2</v>
      </c>
      <c r="D383" s="40" t="s">
        <v>1881</v>
      </c>
      <c r="E383" s="40" t="s">
        <v>1882</v>
      </c>
      <c r="F383" s="40" t="s">
        <v>1883</v>
      </c>
      <c r="G383" s="40" t="s">
        <v>1884</v>
      </c>
      <c r="H383" s="40" t="s">
        <v>1871</v>
      </c>
      <c r="I383" s="40" t="s">
        <v>1108</v>
      </c>
      <c r="J383" s="40" t="s">
        <v>3112</v>
      </c>
      <c r="K383" s="40" t="s">
        <v>2876</v>
      </c>
      <c r="L383" s="40" t="s">
        <v>3113</v>
      </c>
      <c r="M383" s="40" t="s">
        <v>1888</v>
      </c>
      <c r="N383" s="40" t="s">
        <v>2878</v>
      </c>
      <c r="O383" s="40" t="s">
        <v>1876</v>
      </c>
      <c r="P383" s="40"/>
      <c r="Q383" s="40" t="s">
        <v>1881</v>
      </c>
      <c r="R383" s="40" t="s">
        <v>1890</v>
      </c>
      <c r="S383" s="40"/>
    </row>
    <row r="384" spans="1:19" ht="74.099999999999994" customHeight="1">
      <c r="A384" s="41" t="s">
        <v>533</v>
      </c>
      <c r="B384" s="41" t="s">
        <v>3114</v>
      </c>
      <c r="C384" s="47">
        <v>3</v>
      </c>
      <c r="D384" s="41" t="s">
        <v>1893</v>
      </c>
      <c r="E384" s="41" t="s">
        <v>1894</v>
      </c>
      <c r="F384" s="41" t="s">
        <v>1870</v>
      </c>
      <c r="G384" s="41"/>
      <c r="H384" s="41" t="s">
        <v>1871</v>
      </c>
      <c r="I384" s="41" t="s">
        <v>1108</v>
      </c>
      <c r="J384" s="41" t="s">
        <v>533</v>
      </c>
      <c r="K384" s="41" t="s">
        <v>2880</v>
      </c>
      <c r="L384" s="41" t="s">
        <v>2203</v>
      </c>
      <c r="M384" s="41" t="s">
        <v>1897</v>
      </c>
      <c r="N384" s="41" t="s">
        <v>2881</v>
      </c>
      <c r="O384" s="41" t="s">
        <v>1876</v>
      </c>
      <c r="P384" s="41"/>
      <c r="Q384" s="41" t="s">
        <v>1899</v>
      </c>
      <c r="R384" s="41" t="s">
        <v>1900</v>
      </c>
      <c r="S384" s="41" t="s">
        <v>2882</v>
      </c>
    </row>
    <row r="385" spans="1:19" ht="74.099999999999994" customHeight="1">
      <c r="A385" s="40" t="s">
        <v>533</v>
      </c>
      <c r="B385" s="40" t="s">
        <v>3115</v>
      </c>
      <c r="C385" s="46">
        <v>4</v>
      </c>
      <c r="D385" s="40" t="s">
        <v>1883</v>
      </c>
      <c r="E385" s="40" t="s">
        <v>1937</v>
      </c>
      <c r="F385" s="40" t="s">
        <v>1883</v>
      </c>
      <c r="G385" s="40" t="s">
        <v>1904</v>
      </c>
      <c r="H385" s="40" t="s">
        <v>1871</v>
      </c>
      <c r="I385" s="40" t="s">
        <v>1108</v>
      </c>
      <c r="J385" s="40" t="s">
        <v>3116</v>
      </c>
      <c r="K385" s="40" t="s">
        <v>3117</v>
      </c>
      <c r="L385" s="40" t="s">
        <v>1940</v>
      </c>
      <c r="M385" s="40" t="s">
        <v>3046</v>
      </c>
      <c r="N385" s="40" t="s">
        <v>3118</v>
      </c>
      <c r="O385" s="40" t="s">
        <v>1876</v>
      </c>
      <c r="P385" s="40" t="s">
        <v>3048</v>
      </c>
      <c r="Q385" s="40" t="s">
        <v>1944</v>
      </c>
      <c r="R385" s="40" t="s">
        <v>1945</v>
      </c>
      <c r="S385" s="40" t="s">
        <v>3119</v>
      </c>
    </row>
    <row r="386" spans="1:19" ht="74.099999999999994" customHeight="1">
      <c r="A386" s="41" t="s">
        <v>533</v>
      </c>
      <c r="B386" s="41" t="s">
        <v>3120</v>
      </c>
      <c r="C386" s="47">
        <v>5</v>
      </c>
      <c r="D386" s="41" t="s">
        <v>1883</v>
      </c>
      <c r="E386" s="41" t="s">
        <v>1980</v>
      </c>
      <c r="F386" s="41" t="s">
        <v>1883</v>
      </c>
      <c r="G386" s="41" t="s">
        <v>1981</v>
      </c>
      <c r="H386" s="41" t="s">
        <v>1871</v>
      </c>
      <c r="I386" s="41" t="s">
        <v>1108</v>
      </c>
      <c r="J386" s="41" t="s">
        <v>3121</v>
      </c>
      <c r="K386" s="41" t="s">
        <v>3122</v>
      </c>
      <c r="L386" s="41" t="s">
        <v>1984</v>
      </c>
      <c r="M386" s="41" t="s">
        <v>1985</v>
      </c>
      <c r="N386" s="41" t="s">
        <v>3052</v>
      </c>
      <c r="O386" s="41" t="s">
        <v>1876</v>
      </c>
      <c r="P386" s="41" t="s">
        <v>3053</v>
      </c>
      <c r="Q386" s="41" t="s">
        <v>1988</v>
      </c>
      <c r="R386" s="41" t="s">
        <v>1989</v>
      </c>
      <c r="S386" s="41" t="s">
        <v>3054</v>
      </c>
    </row>
    <row r="387" spans="1:19" ht="74.099999999999994" customHeight="1">
      <c r="A387" s="40" t="s">
        <v>533</v>
      </c>
      <c r="B387" s="40" t="s">
        <v>3123</v>
      </c>
      <c r="C387" s="46">
        <v>6</v>
      </c>
      <c r="D387" s="40" t="s">
        <v>1992</v>
      </c>
      <c r="E387" s="40" t="s">
        <v>1882</v>
      </c>
      <c r="F387" s="40" t="s">
        <v>1883</v>
      </c>
      <c r="G387" s="40" t="s">
        <v>1884</v>
      </c>
      <c r="H387" s="40" t="s">
        <v>1871</v>
      </c>
      <c r="I387" s="40" t="s">
        <v>1108</v>
      </c>
      <c r="J387" s="40" t="s">
        <v>3124</v>
      </c>
      <c r="K387" s="40" t="s">
        <v>2904</v>
      </c>
      <c r="L387" s="40" t="s">
        <v>3125</v>
      </c>
      <c r="M387" s="40" t="s">
        <v>1995</v>
      </c>
      <c r="N387" s="40" t="s">
        <v>2906</v>
      </c>
      <c r="O387" s="40" t="s">
        <v>1876</v>
      </c>
      <c r="P387" s="40" t="s">
        <v>1997</v>
      </c>
      <c r="Q387" s="40" t="s">
        <v>1881</v>
      </c>
      <c r="R387" s="40" t="s">
        <v>1998</v>
      </c>
      <c r="S387" s="40"/>
    </row>
    <row r="388" spans="1:19" ht="74.099999999999994" customHeight="1">
      <c r="A388" s="41" t="s">
        <v>533</v>
      </c>
      <c r="B388" s="41" t="s">
        <v>3126</v>
      </c>
      <c r="C388" s="47">
        <v>7</v>
      </c>
      <c r="D388" s="41" t="s">
        <v>2001</v>
      </c>
      <c r="E388" s="41" t="s">
        <v>2002</v>
      </c>
      <c r="F388" s="41" t="s">
        <v>2003</v>
      </c>
      <c r="G388" s="41"/>
      <c r="H388" s="41" t="s">
        <v>1871</v>
      </c>
      <c r="I388" s="41"/>
      <c r="J388" s="41" t="s">
        <v>533</v>
      </c>
      <c r="K388" s="41" t="s">
        <v>2908</v>
      </c>
      <c r="L388" s="41" t="s">
        <v>2909</v>
      </c>
      <c r="M388" s="41" t="s">
        <v>2006</v>
      </c>
      <c r="N388" s="41" t="s">
        <v>2910</v>
      </c>
      <c r="O388" s="41" t="s">
        <v>1876</v>
      </c>
      <c r="P388" s="41" t="s">
        <v>2008</v>
      </c>
      <c r="Q388" s="41" t="s">
        <v>2001</v>
      </c>
      <c r="R388" s="41" t="s">
        <v>2009</v>
      </c>
      <c r="S388" s="41"/>
    </row>
    <row r="389" spans="1:19" ht="74.099999999999994" customHeight="1">
      <c r="A389" s="40" t="s">
        <v>537</v>
      </c>
      <c r="B389" s="40" t="s">
        <v>3127</v>
      </c>
      <c r="C389" s="46">
        <v>1</v>
      </c>
      <c r="D389" s="40" t="s">
        <v>1868</v>
      </c>
      <c r="E389" s="40" t="s">
        <v>1869</v>
      </c>
      <c r="F389" s="40" t="s">
        <v>1870</v>
      </c>
      <c r="G389" s="40"/>
      <c r="H389" s="40" t="s">
        <v>1871</v>
      </c>
      <c r="I389" s="40" t="s">
        <v>1116</v>
      </c>
      <c r="J389" s="40" t="s">
        <v>1834</v>
      </c>
      <c r="K389" s="40" t="s">
        <v>3128</v>
      </c>
      <c r="L389" s="40" t="s">
        <v>1873</v>
      </c>
      <c r="M389" s="40" t="s">
        <v>1874</v>
      </c>
      <c r="N389" s="40" t="s">
        <v>2872</v>
      </c>
      <c r="O389" s="40" t="s">
        <v>1876</v>
      </c>
      <c r="P389" s="40"/>
      <c r="Q389" s="40" t="s">
        <v>1877</v>
      </c>
      <c r="R389" s="40" t="s">
        <v>1878</v>
      </c>
      <c r="S389" s="40" t="s">
        <v>2873</v>
      </c>
    </row>
    <row r="390" spans="1:19" ht="74.099999999999994" customHeight="1">
      <c r="A390" s="41" t="s">
        <v>537</v>
      </c>
      <c r="B390" s="41" t="s">
        <v>3129</v>
      </c>
      <c r="C390" s="47">
        <v>2</v>
      </c>
      <c r="D390" s="41" t="s">
        <v>1881</v>
      </c>
      <c r="E390" s="41" t="s">
        <v>1882</v>
      </c>
      <c r="F390" s="41" t="s">
        <v>1883</v>
      </c>
      <c r="G390" s="41" t="s">
        <v>1884</v>
      </c>
      <c r="H390" s="41" t="s">
        <v>1871</v>
      </c>
      <c r="I390" s="41" t="s">
        <v>1116</v>
      </c>
      <c r="J390" s="41" t="s">
        <v>3130</v>
      </c>
      <c r="K390" s="41" t="s">
        <v>2876</v>
      </c>
      <c r="L390" s="41" t="s">
        <v>3131</v>
      </c>
      <c r="M390" s="41" t="s">
        <v>1888</v>
      </c>
      <c r="N390" s="41" t="s">
        <v>2878</v>
      </c>
      <c r="O390" s="41" t="s">
        <v>1876</v>
      </c>
      <c r="P390" s="41"/>
      <c r="Q390" s="41" t="s">
        <v>1881</v>
      </c>
      <c r="R390" s="41" t="s">
        <v>1890</v>
      </c>
      <c r="S390" s="41"/>
    </row>
    <row r="391" spans="1:19" ht="74.099999999999994" customHeight="1">
      <c r="A391" s="40" t="s">
        <v>537</v>
      </c>
      <c r="B391" s="40" t="s">
        <v>3132</v>
      </c>
      <c r="C391" s="46">
        <v>3</v>
      </c>
      <c r="D391" s="40" t="s">
        <v>1893</v>
      </c>
      <c r="E391" s="40" t="s">
        <v>1894</v>
      </c>
      <c r="F391" s="40" t="s">
        <v>1870</v>
      </c>
      <c r="G391" s="40"/>
      <c r="H391" s="40" t="s">
        <v>1871</v>
      </c>
      <c r="I391" s="40" t="s">
        <v>1116</v>
      </c>
      <c r="J391" s="40" t="s">
        <v>537</v>
      </c>
      <c r="K391" s="40" t="s">
        <v>2880</v>
      </c>
      <c r="L391" s="40" t="s">
        <v>2203</v>
      </c>
      <c r="M391" s="40" t="s">
        <v>1897</v>
      </c>
      <c r="N391" s="40" t="s">
        <v>2881</v>
      </c>
      <c r="O391" s="40" t="s">
        <v>1876</v>
      </c>
      <c r="P391" s="40"/>
      <c r="Q391" s="40" t="s">
        <v>1899</v>
      </c>
      <c r="R391" s="40" t="s">
        <v>1900</v>
      </c>
      <c r="S391" s="40" t="s">
        <v>2882</v>
      </c>
    </row>
    <row r="392" spans="1:19" ht="74.099999999999994" customHeight="1">
      <c r="A392" s="41" t="s">
        <v>537</v>
      </c>
      <c r="B392" s="41" t="s">
        <v>3133</v>
      </c>
      <c r="C392" s="47">
        <v>4</v>
      </c>
      <c r="D392" s="41" t="s">
        <v>1883</v>
      </c>
      <c r="E392" s="41" t="s">
        <v>3134</v>
      </c>
      <c r="F392" s="41" t="s">
        <v>1883</v>
      </c>
      <c r="G392" s="41" t="s">
        <v>1981</v>
      </c>
      <c r="H392" s="41" t="s">
        <v>1871</v>
      </c>
      <c r="I392" s="41" t="s">
        <v>1116</v>
      </c>
      <c r="J392" s="41" t="s">
        <v>537</v>
      </c>
      <c r="K392" s="41" t="s">
        <v>3135</v>
      </c>
      <c r="L392" s="41" t="s">
        <v>3136</v>
      </c>
      <c r="M392" s="41" t="s">
        <v>2886</v>
      </c>
      <c r="N392" s="41" t="s">
        <v>3137</v>
      </c>
      <c r="O392" s="41" t="s">
        <v>1876</v>
      </c>
      <c r="P392" s="41" t="s">
        <v>1920</v>
      </c>
      <c r="Q392" s="41" t="s">
        <v>2888</v>
      </c>
      <c r="R392" s="41" t="s">
        <v>2889</v>
      </c>
      <c r="S392" s="41"/>
    </row>
    <row r="393" spans="1:19" ht="74.099999999999994" customHeight="1">
      <c r="A393" s="40" t="s">
        <v>537</v>
      </c>
      <c r="B393" s="40" t="s">
        <v>3138</v>
      </c>
      <c r="C393" s="46">
        <v>5</v>
      </c>
      <c r="D393" s="40" t="s">
        <v>1992</v>
      </c>
      <c r="E393" s="40" t="s">
        <v>1882</v>
      </c>
      <c r="F393" s="40" t="s">
        <v>1883</v>
      </c>
      <c r="G393" s="40" t="s">
        <v>1884</v>
      </c>
      <c r="H393" s="40" t="s">
        <v>1871</v>
      </c>
      <c r="I393" s="40" t="s">
        <v>1116</v>
      </c>
      <c r="J393" s="40" t="s">
        <v>3139</v>
      </c>
      <c r="K393" s="40" t="s">
        <v>2904</v>
      </c>
      <c r="L393" s="40" t="s">
        <v>3140</v>
      </c>
      <c r="M393" s="40" t="s">
        <v>1995</v>
      </c>
      <c r="N393" s="40" t="s">
        <v>2906</v>
      </c>
      <c r="O393" s="40" t="s">
        <v>1876</v>
      </c>
      <c r="P393" s="40" t="s">
        <v>1997</v>
      </c>
      <c r="Q393" s="40" t="s">
        <v>1881</v>
      </c>
      <c r="R393" s="40" t="s">
        <v>1998</v>
      </c>
      <c r="S393" s="40"/>
    </row>
    <row r="394" spans="1:19" ht="74.099999999999994" customHeight="1">
      <c r="A394" s="41" t="s">
        <v>537</v>
      </c>
      <c r="B394" s="41" t="s">
        <v>3141</v>
      </c>
      <c r="C394" s="47">
        <v>6</v>
      </c>
      <c r="D394" s="41" t="s">
        <v>2001</v>
      </c>
      <c r="E394" s="41" t="s">
        <v>2002</v>
      </c>
      <c r="F394" s="41" t="s">
        <v>2003</v>
      </c>
      <c r="G394" s="41"/>
      <c r="H394" s="41" t="s">
        <v>1871</v>
      </c>
      <c r="I394" s="41"/>
      <c r="J394" s="41" t="s">
        <v>537</v>
      </c>
      <c r="K394" s="41" t="s">
        <v>2908</v>
      </c>
      <c r="L394" s="41" t="s">
        <v>2909</v>
      </c>
      <c r="M394" s="41" t="s">
        <v>2006</v>
      </c>
      <c r="N394" s="41" t="s">
        <v>2910</v>
      </c>
      <c r="O394" s="41" t="s">
        <v>1876</v>
      </c>
      <c r="P394" s="41" t="s">
        <v>2008</v>
      </c>
      <c r="Q394" s="41" t="s">
        <v>2001</v>
      </c>
      <c r="R394" s="41" t="s">
        <v>2009</v>
      </c>
      <c r="S394" s="41"/>
    </row>
    <row r="395" spans="1:19" ht="74.099999999999994" customHeight="1">
      <c r="A395" s="40" t="s">
        <v>543</v>
      </c>
      <c r="B395" s="40" t="s">
        <v>3142</v>
      </c>
      <c r="C395" s="46">
        <v>1</v>
      </c>
      <c r="D395" s="40" t="s">
        <v>1868</v>
      </c>
      <c r="E395" s="40" t="s">
        <v>1869</v>
      </c>
      <c r="F395" s="40" t="s">
        <v>1870</v>
      </c>
      <c r="G395" s="40"/>
      <c r="H395" s="40" t="s">
        <v>1871</v>
      </c>
      <c r="I395" s="40" t="s">
        <v>1037</v>
      </c>
      <c r="J395" s="40" t="s">
        <v>1842</v>
      </c>
      <c r="K395" s="40" t="s">
        <v>3143</v>
      </c>
      <c r="L395" s="40" t="s">
        <v>1873</v>
      </c>
      <c r="M395" s="40" t="s">
        <v>1874</v>
      </c>
      <c r="N395" s="40" t="s">
        <v>2872</v>
      </c>
      <c r="O395" s="40" t="s">
        <v>1876</v>
      </c>
      <c r="P395" s="40"/>
      <c r="Q395" s="40" t="s">
        <v>1877</v>
      </c>
      <c r="R395" s="40" t="s">
        <v>1878</v>
      </c>
      <c r="S395" s="40" t="s">
        <v>2873</v>
      </c>
    </row>
    <row r="396" spans="1:19" ht="74.099999999999994" customHeight="1">
      <c r="A396" s="41" t="s">
        <v>543</v>
      </c>
      <c r="B396" s="41" t="s">
        <v>3144</v>
      </c>
      <c r="C396" s="47">
        <v>2</v>
      </c>
      <c r="D396" s="41" t="s">
        <v>1881</v>
      </c>
      <c r="E396" s="41" t="s">
        <v>1882</v>
      </c>
      <c r="F396" s="41" t="s">
        <v>1883</v>
      </c>
      <c r="G396" s="41" t="s">
        <v>1884</v>
      </c>
      <c r="H396" s="41" t="s">
        <v>1871</v>
      </c>
      <c r="I396" s="41" t="s">
        <v>1037</v>
      </c>
      <c r="J396" s="41" t="s">
        <v>3145</v>
      </c>
      <c r="K396" s="41" t="s">
        <v>2876</v>
      </c>
      <c r="L396" s="41" t="s">
        <v>3146</v>
      </c>
      <c r="M396" s="41" t="s">
        <v>1888</v>
      </c>
      <c r="N396" s="41" t="s">
        <v>2878</v>
      </c>
      <c r="O396" s="41" t="s">
        <v>1876</v>
      </c>
      <c r="P396" s="41"/>
      <c r="Q396" s="41" t="s">
        <v>1881</v>
      </c>
      <c r="R396" s="41" t="s">
        <v>1890</v>
      </c>
      <c r="S396" s="41"/>
    </row>
    <row r="397" spans="1:19" ht="74.099999999999994" customHeight="1">
      <c r="A397" s="40" t="s">
        <v>543</v>
      </c>
      <c r="B397" s="40" t="s">
        <v>3147</v>
      </c>
      <c r="C397" s="46">
        <v>3</v>
      </c>
      <c r="D397" s="40" t="s">
        <v>1893</v>
      </c>
      <c r="E397" s="40" t="s">
        <v>1894</v>
      </c>
      <c r="F397" s="40" t="s">
        <v>1870</v>
      </c>
      <c r="G397" s="40"/>
      <c r="H397" s="40" t="s">
        <v>1871</v>
      </c>
      <c r="I397" s="40" t="s">
        <v>1037</v>
      </c>
      <c r="J397" s="40" t="s">
        <v>543</v>
      </c>
      <c r="K397" s="40" t="s">
        <v>2880</v>
      </c>
      <c r="L397" s="40" t="s">
        <v>2203</v>
      </c>
      <c r="M397" s="40" t="s">
        <v>1897</v>
      </c>
      <c r="N397" s="40" t="s">
        <v>2881</v>
      </c>
      <c r="O397" s="40" t="s">
        <v>1876</v>
      </c>
      <c r="P397" s="40"/>
      <c r="Q397" s="40" t="s">
        <v>1899</v>
      </c>
      <c r="R397" s="40" t="s">
        <v>1900</v>
      </c>
      <c r="S397" s="40" t="s">
        <v>2882</v>
      </c>
    </row>
    <row r="398" spans="1:19" ht="74.099999999999994" customHeight="1">
      <c r="A398" s="41" t="s">
        <v>543</v>
      </c>
      <c r="B398" s="41" t="s">
        <v>3148</v>
      </c>
      <c r="C398" s="47">
        <v>4</v>
      </c>
      <c r="D398" s="41" t="s">
        <v>1883</v>
      </c>
      <c r="E398" s="41" t="s">
        <v>3134</v>
      </c>
      <c r="F398" s="41" t="s">
        <v>1883</v>
      </c>
      <c r="G398" s="41" t="s">
        <v>1981</v>
      </c>
      <c r="H398" s="41" t="s">
        <v>1871</v>
      </c>
      <c r="I398" s="41" t="s">
        <v>1037</v>
      </c>
      <c r="J398" s="41" t="s">
        <v>543</v>
      </c>
      <c r="K398" s="41" t="s">
        <v>3149</v>
      </c>
      <c r="L398" s="41" t="s">
        <v>3150</v>
      </c>
      <c r="M398" s="41" t="s">
        <v>2886</v>
      </c>
      <c r="N398" s="41" t="s">
        <v>3151</v>
      </c>
      <c r="O398" s="41" t="s">
        <v>1876</v>
      </c>
      <c r="P398" s="41" t="s">
        <v>1920</v>
      </c>
      <c r="Q398" s="41" t="s">
        <v>2888</v>
      </c>
      <c r="R398" s="41" t="s">
        <v>2889</v>
      </c>
      <c r="S398" s="41"/>
    </row>
    <row r="399" spans="1:19" ht="74.099999999999994" customHeight="1">
      <c r="A399" s="40" t="s">
        <v>543</v>
      </c>
      <c r="B399" s="40" t="s">
        <v>3152</v>
      </c>
      <c r="C399" s="46">
        <v>5</v>
      </c>
      <c r="D399" s="40" t="s">
        <v>1992</v>
      </c>
      <c r="E399" s="40" t="s">
        <v>1882</v>
      </c>
      <c r="F399" s="40" t="s">
        <v>1883</v>
      </c>
      <c r="G399" s="40" t="s">
        <v>1884</v>
      </c>
      <c r="H399" s="40" t="s">
        <v>1871</v>
      </c>
      <c r="I399" s="40" t="s">
        <v>1037</v>
      </c>
      <c r="J399" s="40" t="s">
        <v>3153</v>
      </c>
      <c r="K399" s="40" t="s">
        <v>2904</v>
      </c>
      <c r="L399" s="40" t="s">
        <v>3154</v>
      </c>
      <c r="M399" s="40" t="s">
        <v>1995</v>
      </c>
      <c r="N399" s="40" t="s">
        <v>2906</v>
      </c>
      <c r="O399" s="40" t="s">
        <v>1876</v>
      </c>
      <c r="P399" s="40" t="s">
        <v>1997</v>
      </c>
      <c r="Q399" s="40" t="s">
        <v>1881</v>
      </c>
      <c r="R399" s="40" t="s">
        <v>1998</v>
      </c>
      <c r="S399" s="40"/>
    </row>
    <row r="400" spans="1:19" ht="74.099999999999994" customHeight="1">
      <c r="A400" s="41" t="s">
        <v>543</v>
      </c>
      <c r="B400" s="41" t="s">
        <v>3155</v>
      </c>
      <c r="C400" s="47">
        <v>6</v>
      </c>
      <c r="D400" s="41" t="s">
        <v>2001</v>
      </c>
      <c r="E400" s="41" t="s">
        <v>2002</v>
      </c>
      <c r="F400" s="41" t="s">
        <v>2003</v>
      </c>
      <c r="G400" s="41"/>
      <c r="H400" s="41" t="s">
        <v>1871</v>
      </c>
      <c r="I400" s="41"/>
      <c r="J400" s="41" t="s">
        <v>543</v>
      </c>
      <c r="K400" s="41" t="s">
        <v>2908</v>
      </c>
      <c r="L400" s="41" t="s">
        <v>2909</v>
      </c>
      <c r="M400" s="41" t="s">
        <v>2006</v>
      </c>
      <c r="N400" s="41" t="s">
        <v>2910</v>
      </c>
      <c r="O400" s="41" t="s">
        <v>1876</v>
      </c>
      <c r="P400" s="41" t="s">
        <v>2008</v>
      </c>
      <c r="Q400" s="41" t="s">
        <v>2001</v>
      </c>
      <c r="R400" s="41" t="s">
        <v>2009</v>
      </c>
      <c r="S400" s="41"/>
    </row>
  </sheetData>
  <mergeCells count="2">
    <mergeCell ref="A1:S1"/>
    <mergeCell ref="A2:S2"/>
  </mergeCells>
  <conditionalFormatting sqref="O5:O400">
    <cfRule type="containsText" dxfId="14" priority="1" operator="containsText" text="REQUIRED"/>
    <cfRule type="containsText" dxfId="13" priority="2" operator="containsText" text="OPTIONAL"/>
  </conditionalFormatting>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124"/>
  <sheetViews>
    <sheetView showGridLines="0" topLeftCell="N6" workbookViewId="0">
      <selection sqref="A1:AA1"/>
    </sheetView>
  </sheetViews>
  <sheetFormatPr baseColWidth="10" defaultColWidth="9" defaultRowHeight="14.25"/>
  <cols>
    <col min="1" max="1" width="14" customWidth="1"/>
    <col min="2" max="2" width="20" customWidth="1"/>
    <col min="3" max="3" width="18" customWidth="1"/>
    <col min="4" max="4" width="13" customWidth="1"/>
    <col min="5" max="5" width="7" customWidth="1"/>
    <col min="6" max="6" width="28" customWidth="1"/>
    <col min="7" max="7" width="27" customWidth="1"/>
    <col min="8" max="8" width="26" customWidth="1"/>
    <col min="9" max="9" width="28" customWidth="1"/>
    <col min="10" max="10" width="52" customWidth="1"/>
    <col min="11" max="11" width="22" customWidth="1"/>
    <col min="12" max="12" width="35" customWidth="1"/>
    <col min="13" max="13" width="43" customWidth="1"/>
    <col min="14" max="14" width="35" customWidth="1"/>
    <col min="15" max="15" width="22" customWidth="1"/>
    <col min="16" max="16" width="35" customWidth="1"/>
    <col min="17" max="17" width="43" customWidth="1"/>
    <col min="18" max="18" width="35" customWidth="1"/>
    <col min="19" max="19" width="22" customWidth="1"/>
    <col min="20" max="20" width="35" customWidth="1"/>
    <col min="21" max="21" width="43" customWidth="1"/>
    <col min="22" max="22" width="35" customWidth="1"/>
    <col min="23" max="24" width="21" customWidth="1"/>
    <col min="25" max="25" width="13" customWidth="1"/>
    <col min="26" max="26" width="16" customWidth="1"/>
    <col min="27" max="27" width="48" customWidth="1"/>
  </cols>
  <sheetData>
    <row r="1" spans="1:27" ht="27.95" customHeight="1">
      <c r="A1" s="66" t="s">
        <v>3156</v>
      </c>
      <c r="B1" s="66"/>
      <c r="C1" s="66"/>
      <c r="D1" s="66"/>
      <c r="E1" s="66"/>
      <c r="F1" s="66"/>
      <c r="G1" s="66"/>
      <c r="H1" s="66"/>
      <c r="I1" s="66"/>
      <c r="J1" s="66"/>
      <c r="K1" s="66"/>
      <c r="L1" s="66"/>
      <c r="M1" s="66"/>
      <c r="N1" s="66"/>
      <c r="O1" s="66"/>
      <c r="P1" s="66"/>
      <c r="Q1" s="66"/>
      <c r="R1" s="66"/>
      <c r="S1" s="66"/>
      <c r="T1" s="66"/>
      <c r="U1" s="66"/>
      <c r="V1" s="66"/>
      <c r="W1" s="66"/>
      <c r="X1" s="66"/>
      <c r="Y1" s="66"/>
      <c r="Z1" s="66"/>
      <c r="AA1" s="66"/>
    </row>
    <row r="2" spans="1:27" ht="38.1" customHeight="1">
      <c r="A2" s="67" t="s">
        <v>3157</v>
      </c>
      <c r="B2" s="67"/>
      <c r="C2" s="67"/>
      <c r="D2" s="67"/>
      <c r="E2" s="67"/>
      <c r="F2" s="67"/>
      <c r="G2" s="67"/>
      <c r="H2" s="67"/>
      <c r="I2" s="67"/>
      <c r="J2" s="67"/>
      <c r="K2" s="67"/>
      <c r="L2" s="67"/>
      <c r="M2" s="67"/>
      <c r="N2" s="67"/>
      <c r="O2" s="67"/>
      <c r="P2" s="67"/>
      <c r="Q2" s="67"/>
      <c r="R2" s="67"/>
      <c r="S2" s="67"/>
      <c r="T2" s="67"/>
      <c r="U2" s="67"/>
      <c r="V2" s="67"/>
      <c r="W2" s="67"/>
      <c r="X2" s="67"/>
      <c r="Y2" s="67"/>
      <c r="Z2" s="67"/>
      <c r="AA2" s="67"/>
    </row>
    <row r="3" spans="1:27">
      <c r="A3" s="26"/>
      <c r="B3" s="26"/>
      <c r="C3" s="26"/>
      <c r="D3" s="26"/>
      <c r="E3" s="26"/>
      <c r="F3" s="26"/>
      <c r="G3" s="26"/>
      <c r="H3" s="26"/>
      <c r="I3" s="26"/>
      <c r="J3" s="26"/>
      <c r="K3" s="26"/>
      <c r="L3" s="26"/>
      <c r="M3" s="26"/>
      <c r="N3" s="26"/>
      <c r="O3" s="26"/>
      <c r="P3" s="26"/>
      <c r="Q3" s="26"/>
      <c r="R3" s="26"/>
      <c r="S3" s="26"/>
      <c r="T3" s="26"/>
      <c r="U3" s="26"/>
      <c r="V3" s="26"/>
      <c r="W3" s="26"/>
      <c r="X3" s="26"/>
      <c r="Y3" s="26"/>
      <c r="Z3" s="26"/>
      <c r="AA3" s="26"/>
    </row>
    <row r="4" spans="1:27" ht="42" customHeight="1">
      <c r="A4" s="39" t="s">
        <v>97</v>
      </c>
      <c r="B4" s="39" t="s">
        <v>3158</v>
      </c>
      <c r="C4" s="39" t="s">
        <v>3159</v>
      </c>
      <c r="D4" s="39" t="s">
        <v>3160</v>
      </c>
      <c r="E4" s="39" t="s">
        <v>3161</v>
      </c>
      <c r="F4" s="39" t="s">
        <v>3162</v>
      </c>
      <c r="G4" s="39" t="s">
        <v>3163</v>
      </c>
      <c r="H4" s="39" t="s">
        <v>3164</v>
      </c>
      <c r="I4" s="39" t="s">
        <v>3165</v>
      </c>
      <c r="J4" s="39" t="s">
        <v>3166</v>
      </c>
      <c r="K4" s="39" t="s">
        <v>3167</v>
      </c>
      <c r="L4" s="39" t="s">
        <v>3168</v>
      </c>
      <c r="M4" s="39" t="s">
        <v>3169</v>
      </c>
      <c r="N4" s="39" t="s">
        <v>3170</v>
      </c>
      <c r="O4" s="39" t="s">
        <v>3171</v>
      </c>
      <c r="P4" s="39" t="s">
        <v>3172</v>
      </c>
      <c r="Q4" s="39" t="s">
        <v>3173</v>
      </c>
      <c r="R4" s="39" t="s">
        <v>3174</v>
      </c>
      <c r="S4" s="39" t="s">
        <v>3175</v>
      </c>
      <c r="T4" s="39" t="s">
        <v>3176</v>
      </c>
      <c r="U4" s="39" t="s">
        <v>3177</v>
      </c>
      <c r="V4" s="39" t="s">
        <v>3178</v>
      </c>
      <c r="W4" s="39" t="s">
        <v>3179</v>
      </c>
      <c r="X4" s="39" t="s">
        <v>3180</v>
      </c>
      <c r="Y4" s="39" t="s">
        <v>3181</v>
      </c>
      <c r="Z4" s="39" t="s">
        <v>3182</v>
      </c>
      <c r="AA4" s="39" t="s">
        <v>119</v>
      </c>
    </row>
    <row r="5" spans="1:27" ht="87.95" customHeight="1">
      <c r="A5" s="40" t="s">
        <v>126</v>
      </c>
      <c r="B5" s="40" t="s">
        <v>1885</v>
      </c>
      <c r="C5" s="40" t="s">
        <v>3183</v>
      </c>
      <c r="D5" s="40" t="s">
        <v>3184</v>
      </c>
      <c r="E5" s="40">
        <v>1</v>
      </c>
      <c r="F5" s="40" t="s">
        <v>1549</v>
      </c>
      <c r="G5" s="40" t="s">
        <v>1550</v>
      </c>
      <c r="H5" s="40" t="s">
        <v>3185</v>
      </c>
      <c r="I5" s="40" t="s">
        <v>3186</v>
      </c>
      <c r="J5" s="40" t="s">
        <v>3187</v>
      </c>
      <c r="K5" s="40" t="s">
        <v>3188</v>
      </c>
      <c r="L5" s="40" t="s">
        <v>3189</v>
      </c>
      <c r="M5" s="40" t="s">
        <v>3190</v>
      </c>
      <c r="N5" s="40" t="s">
        <v>3191</v>
      </c>
      <c r="O5" s="40" t="s">
        <v>3192</v>
      </c>
      <c r="P5" s="40" t="s">
        <v>3193</v>
      </c>
      <c r="Q5" s="40" t="s">
        <v>3194</v>
      </c>
      <c r="R5" s="40" t="s">
        <v>3195</v>
      </c>
      <c r="S5" s="40" t="s">
        <v>3196</v>
      </c>
      <c r="T5" s="40" t="s">
        <v>3197</v>
      </c>
      <c r="U5" s="40" t="s">
        <v>3198</v>
      </c>
      <c r="V5" s="40" t="s">
        <v>3199</v>
      </c>
      <c r="W5" s="40" t="s">
        <v>3200</v>
      </c>
      <c r="X5" s="40"/>
      <c r="Y5" s="46">
        <f t="shared" ref="Y5:Y36" si="0">LEN(J5)+LEN(L5)+LEN(M5)+LEN(P5)+LEN(Q5)+LEN(T5)+LEN(U5)</f>
        <v>662</v>
      </c>
      <c r="Z5" s="46">
        <f t="shared" ref="Z5:Z36" si="1">SUMIF($B$5:$B$124,B5,$Y$5:$Y$124)</f>
        <v>662</v>
      </c>
      <c r="AA5" s="40" t="s">
        <v>3201</v>
      </c>
    </row>
    <row r="6" spans="1:27" ht="87.95" customHeight="1">
      <c r="A6" s="41" t="s">
        <v>126</v>
      </c>
      <c r="B6" s="41" t="s">
        <v>3200</v>
      </c>
      <c r="C6" s="41" t="s">
        <v>3202</v>
      </c>
      <c r="D6" s="41" t="s">
        <v>3203</v>
      </c>
      <c r="E6" s="41">
        <v>2</v>
      </c>
      <c r="F6" s="41" t="s">
        <v>1549</v>
      </c>
      <c r="G6" s="41" t="s">
        <v>1550</v>
      </c>
      <c r="H6" s="41" t="s">
        <v>3185</v>
      </c>
      <c r="I6" s="41" t="s">
        <v>3186</v>
      </c>
      <c r="J6" s="41" t="s">
        <v>3204</v>
      </c>
      <c r="K6" s="41" t="s">
        <v>3205</v>
      </c>
      <c r="L6" s="41" t="s">
        <v>3206</v>
      </c>
      <c r="M6" s="41" t="s">
        <v>3207</v>
      </c>
      <c r="N6" s="41" t="s">
        <v>3208</v>
      </c>
      <c r="O6" s="41" t="s">
        <v>3209</v>
      </c>
      <c r="P6" s="41" t="s">
        <v>3210</v>
      </c>
      <c r="Q6" s="41" t="s">
        <v>3211</v>
      </c>
      <c r="R6" s="41" t="s">
        <v>3212</v>
      </c>
      <c r="S6" s="41" t="s">
        <v>3213</v>
      </c>
      <c r="T6" s="41" t="s">
        <v>3214</v>
      </c>
      <c r="U6" s="41" t="s">
        <v>3215</v>
      </c>
      <c r="V6" s="41" t="s">
        <v>3216</v>
      </c>
      <c r="W6" s="41" t="s">
        <v>1971</v>
      </c>
      <c r="X6" s="41"/>
      <c r="Y6" s="47">
        <f t="shared" si="0"/>
        <v>544</v>
      </c>
      <c r="Z6" s="47">
        <f t="shared" si="1"/>
        <v>544</v>
      </c>
      <c r="AA6" s="41" t="s">
        <v>3201</v>
      </c>
    </row>
    <row r="7" spans="1:27" ht="87.95" customHeight="1">
      <c r="A7" s="40" t="s">
        <v>126</v>
      </c>
      <c r="B7" s="40" t="s">
        <v>1971</v>
      </c>
      <c r="C7" s="40" t="s">
        <v>3217</v>
      </c>
      <c r="D7" s="40" t="s">
        <v>1992</v>
      </c>
      <c r="E7" s="40">
        <v>3</v>
      </c>
      <c r="F7" s="40" t="s">
        <v>1549</v>
      </c>
      <c r="G7" s="40" t="s">
        <v>1550</v>
      </c>
      <c r="H7" s="40" t="s">
        <v>3185</v>
      </c>
      <c r="I7" s="40" t="s">
        <v>3186</v>
      </c>
      <c r="J7" s="40" t="s">
        <v>3218</v>
      </c>
      <c r="K7" s="40" t="s">
        <v>3219</v>
      </c>
      <c r="L7" s="40" t="s">
        <v>3220</v>
      </c>
      <c r="M7" s="40" t="s">
        <v>3221</v>
      </c>
      <c r="N7" s="40" t="s">
        <v>3222</v>
      </c>
      <c r="O7" s="40" t="s">
        <v>3223</v>
      </c>
      <c r="P7" s="40" t="s">
        <v>3224</v>
      </c>
      <c r="Q7" s="40" t="s">
        <v>3225</v>
      </c>
      <c r="R7" s="40" t="s">
        <v>3226</v>
      </c>
      <c r="S7" s="40" t="s">
        <v>3227</v>
      </c>
      <c r="T7" s="40" t="s">
        <v>3228</v>
      </c>
      <c r="U7" s="40" t="s">
        <v>3229</v>
      </c>
      <c r="V7" s="40" t="s">
        <v>3230</v>
      </c>
      <c r="W7" s="40" t="s">
        <v>3231</v>
      </c>
      <c r="X7" s="40"/>
      <c r="Y7" s="46">
        <f t="shared" si="0"/>
        <v>466</v>
      </c>
      <c r="Z7" s="46">
        <f t="shared" si="1"/>
        <v>466</v>
      </c>
      <c r="AA7" s="40" t="s">
        <v>3201</v>
      </c>
    </row>
    <row r="8" spans="1:27" ht="87.95" customHeight="1">
      <c r="A8" s="41" t="s">
        <v>136</v>
      </c>
      <c r="B8" s="41" t="s">
        <v>2014</v>
      </c>
      <c r="C8" s="41" t="s">
        <v>3232</v>
      </c>
      <c r="D8" s="41" t="s">
        <v>3184</v>
      </c>
      <c r="E8" s="41">
        <v>1</v>
      </c>
      <c r="F8" s="41" t="s">
        <v>1565</v>
      </c>
      <c r="G8" s="41" t="s">
        <v>1566</v>
      </c>
      <c r="H8" s="41" t="s">
        <v>3233</v>
      </c>
      <c r="I8" s="41" t="s">
        <v>3186</v>
      </c>
      <c r="J8" s="41" t="s">
        <v>3234</v>
      </c>
      <c r="K8" s="41" t="s">
        <v>3235</v>
      </c>
      <c r="L8" s="41" t="s">
        <v>3236</v>
      </c>
      <c r="M8" s="41" t="s">
        <v>3237</v>
      </c>
      <c r="N8" s="41" t="s">
        <v>3191</v>
      </c>
      <c r="O8" s="41" t="s">
        <v>3238</v>
      </c>
      <c r="P8" s="41" t="s">
        <v>3239</v>
      </c>
      <c r="Q8" s="41" t="s">
        <v>3240</v>
      </c>
      <c r="R8" s="41" t="s">
        <v>3241</v>
      </c>
      <c r="S8" s="41" t="s">
        <v>3242</v>
      </c>
      <c r="T8" s="41" t="s">
        <v>3243</v>
      </c>
      <c r="U8" s="41" t="s">
        <v>3244</v>
      </c>
      <c r="V8" s="41" t="s">
        <v>3245</v>
      </c>
      <c r="W8" s="41" t="s">
        <v>3246</v>
      </c>
      <c r="X8" s="41"/>
      <c r="Y8" s="47">
        <f t="shared" si="0"/>
        <v>454</v>
      </c>
      <c r="Z8" s="47">
        <f t="shared" si="1"/>
        <v>454</v>
      </c>
      <c r="AA8" s="41" t="s">
        <v>3201</v>
      </c>
    </row>
    <row r="9" spans="1:27" ht="87.95" customHeight="1">
      <c r="A9" s="40" t="s">
        <v>136</v>
      </c>
      <c r="B9" s="40" t="s">
        <v>3246</v>
      </c>
      <c r="C9" s="40" t="s">
        <v>3247</v>
      </c>
      <c r="D9" s="40" t="s">
        <v>3203</v>
      </c>
      <c r="E9" s="40">
        <v>2</v>
      </c>
      <c r="F9" s="40" t="s">
        <v>1565</v>
      </c>
      <c r="G9" s="40" t="s">
        <v>1566</v>
      </c>
      <c r="H9" s="40" t="s">
        <v>3233</v>
      </c>
      <c r="I9" s="40" t="s">
        <v>3186</v>
      </c>
      <c r="J9" s="40" t="s">
        <v>3248</v>
      </c>
      <c r="K9" s="40" t="s">
        <v>3205</v>
      </c>
      <c r="L9" s="40" t="s">
        <v>3206</v>
      </c>
      <c r="M9" s="40" t="s">
        <v>3207</v>
      </c>
      <c r="N9" s="40" t="s">
        <v>3208</v>
      </c>
      <c r="O9" s="40" t="s">
        <v>3249</v>
      </c>
      <c r="P9" s="40" t="s">
        <v>3250</v>
      </c>
      <c r="Q9" s="40" t="s">
        <v>3251</v>
      </c>
      <c r="R9" s="40" t="s">
        <v>3252</v>
      </c>
      <c r="S9" s="40" t="s">
        <v>3213</v>
      </c>
      <c r="T9" s="40" t="s">
        <v>3214</v>
      </c>
      <c r="U9" s="40" t="s">
        <v>3215</v>
      </c>
      <c r="V9" s="40" t="s">
        <v>3216</v>
      </c>
      <c r="W9" s="40" t="s">
        <v>2050</v>
      </c>
      <c r="X9" s="40"/>
      <c r="Y9" s="46">
        <f t="shared" si="0"/>
        <v>392</v>
      </c>
      <c r="Z9" s="46">
        <f t="shared" si="1"/>
        <v>392</v>
      </c>
      <c r="AA9" s="40" t="s">
        <v>3201</v>
      </c>
    </row>
    <row r="10" spans="1:27" ht="87.95" customHeight="1">
      <c r="A10" s="41" t="s">
        <v>136</v>
      </c>
      <c r="B10" s="41" t="s">
        <v>2050</v>
      </c>
      <c r="C10" s="41" t="s">
        <v>3253</v>
      </c>
      <c r="D10" s="41" t="s">
        <v>1992</v>
      </c>
      <c r="E10" s="41">
        <v>3</v>
      </c>
      <c r="F10" s="41" t="s">
        <v>1565</v>
      </c>
      <c r="G10" s="41" t="s">
        <v>1566</v>
      </c>
      <c r="H10" s="41" t="s">
        <v>3233</v>
      </c>
      <c r="I10" s="41" t="s">
        <v>3186</v>
      </c>
      <c r="J10" s="41" t="s">
        <v>3254</v>
      </c>
      <c r="K10" s="41" t="s">
        <v>3255</v>
      </c>
      <c r="L10" s="41" t="s">
        <v>3256</v>
      </c>
      <c r="M10" s="41" t="s">
        <v>3257</v>
      </c>
      <c r="N10" s="41" t="s">
        <v>3258</v>
      </c>
      <c r="O10" s="41" t="s">
        <v>3259</v>
      </c>
      <c r="P10" s="41" t="s">
        <v>3260</v>
      </c>
      <c r="Q10" s="41" t="s">
        <v>3261</v>
      </c>
      <c r="R10" s="41" t="s">
        <v>3216</v>
      </c>
      <c r="S10" s="41" t="s">
        <v>3262</v>
      </c>
      <c r="T10" s="41" t="s">
        <v>3263</v>
      </c>
      <c r="U10" s="41" t="s">
        <v>3264</v>
      </c>
      <c r="V10" s="41" t="s">
        <v>3265</v>
      </c>
      <c r="W10" s="41" t="s">
        <v>3231</v>
      </c>
      <c r="X10" s="41"/>
      <c r="Y10" s="47">
        <f t="shared" si="0"/>
        <v>376</v>
      </c>
      <c r="Z10" s="47">
        <f t="shared" si="1"/>
        <v>376</v>
      </c>
      <c r="AA10" s="41" t="s">
        <v>3201</v>
      </c>
    </row>
    <row r="11" spans="1:27" ht="87.95" customHeight="1">
      <c r="A11" s="40" t="s">
        <v>144</v>
      </c>
      <c r="B11" s="40" t="s">
        <v>2056</v>
      </c>
      <c r="C11" s="40" t="s">
        <v>3266</v>
      </c>
      <c r="D11" s="40" t="s">
        <v>3184</v>
      </c>
      <c r="E11" s="40">
        <v>1</v>
      </c>
      <c r="F11" s="40" t="s">
        <v>1575</v>
      </c>
      <c r="G11" s="40" t="s">
        <v>1576</v>
      </c>
      <c r="H11" s="40" t="s">
        <v>3267</v>
      </c>
      <c r="I11" s="40" t="s">
        <v>3186</v>
      </c>
      <c r="J11" s="40" t="s">
        <v>3268</v>
      </c>
      <c r="K11" s="40" t="s">
        <v>3269</v>
      </c>
      <c r="L11" s="40" t="s">
        <v>3270</v>
      </c>
      <c r="M11" s="40" t="s">
        <v>3271</v>
      </c>
      <c r="N11" s="40" t="s">
        <v>3191</v>
      </c>
      <c r="O11" s="40" t="s">
        <v>3272</v>
      </c>
      <c r="P11" s="40" t="s">
        <v>3273</v>
      </c>
      <c r="Q11" s="40" t="s">
        <v>3274</v>
      </c>
      <c r="R11" s="40" t="s">
        <v>3275</v>
      </c>
      <c r="S11" s="40" t="s">
        <v>3276</v>
      </c>
      <c r="T11" s="40" t="s">
        <v>3277</v>
      </c>
      <c r="U11" s="40" t="s">
        <v>3278</v>
      </c>
      <c r="V11" s="40" t="s">
        <v>3279</v>
      </c>
      <c r="W11" s="40" t="s">
        <v>3280</v>
      </c>
      <c r="X11" s="40"/>
      <c r="Y11" s="46">
        <f t="shared" si="0"/>
        <v>581</v>
      </c>
      <c r="Z11" s="46">
        <f t="shared" si="1"/>
        <v>581</v>
      </c>
      <c r="AA11" s="40" t="s">
        <v>3201</v>
      </c>
    </row>
    <row r="12" spans="1:27" ht="87.95" customHeight="1">
      <c r="A12" s="41" t="s">
        <v>144</v>
      </c>
      <c r="B12" s="41" t="s">
        <v>3280</v>
      </c>
      <c r="C12" s="41" t="s">
        <v>3281</v>
      </c>
      <c r="D12" s="41" t="s">
        <v>3203</v>
      </c>
      <c r="E12" s="41">
        <v>2</v>
      </c>
      <c r="F12" s="41" t="s">
        <v>1575</v>
      </c>
      <c r="G12" s="41" t="s">
        <v>1576</v>
      </c>
      <c r="H12" s="41" t="s">
        <v>3267</v>
      </c>
      <c r="I12" s="41" t="s">
        <v>3186</v>
      </c>
      <c r="J12" s="41" t="s">
        <v>3282</v>
      </c>
      <c r="K12" s="41" t="s">
        <v>3205</v>
      </c>
      <c r="L12" s="41" t="s">
        <v>3206</v>
      </c>
      <c r="M12" s="41" t="s">
        <v>3207</v>
      </c>
      <c r="N12" s="41" t="s">
        <v>3208</v>
      </c>
      <c r="O12" s="41" t="s">
        <v>3249</v>
      </c>
      <c r="P12" s="41" t="s">
        <v>3250</v>
      </c>
      <c r="Q12" s="41" t="s">
        <v>3251</v>
      </c>
      <c r="R12" s="41" t="s">
        <v>3252</v>
      </c>
      <c r="S12" s="41" t="s">
        <v>3213</v>
      </c>
      <c r="T12" s="41" t="s">
        <v>3214</v>
      </c>
      <c r="U12" s="41" t="s">
        <v>3215</v>
      </c>
      <c r="V12" s="41" t="s">
        <v>3216</v>
      </c>
      <c r="W12" s="41" t="s">
        <v>2096</v>
      </c>
      <c r="X12" s="41"/>
      <c r="Y12" s="47">
        <f t="shared" si="0"/>
        <v>422</v>
      </c>
      <c r="Z12" s="47">
        <f t="shared" si="1"/>
        <v>422</v>
      </c>
      <c r="AA12" s="41" t="s">
        <v>3201</v>
      </c>
    </row>
    <row r="13" spans="1:27" ht="87.95" customHeight="1">
      <c r="A13" s="40" t="s">
        <v>144</v>
      </c>
      <c r="B13" s="40" t="s">
        <v>2096</v>
      </c>
      <c r="C13" s="40" t="s">
        <v>3283</v>
      </c>
      <c r="D13" s="40" t="s">
        <v>1992</v>
      </c>
      <c r="E13" s="40">
        <v>3</v>
      </c>
      <c r="F13" s="40" t="s">
        <v>1575</v>
      </c>
      <c r="G13" s="40" t="s">
        <v>1576</v>
      </c>
      <c r="H13" s="40" t="s">
        <v>3267</v>
      </c>
      <c r="I13" s="40" t="s">
        <v>3186</v>
      </c>
      <c r="J13" s="40" t="s">
        <v>3284</v>
      </c>
      <c r="K13" s="40" t="s">
        <v>3255</v>
      </c>
      <c r="L13" s="40" t="s">
        <v>3256</v>
      </c>
      <c r="M13" s="40" t="s">
        <v>3257</v>
      </c>
      <c r="N13" s="40" t="s">
        <v>3258</v>
      </c>
      <c r="O13" s="40" t="s">
        <v>3259</v>
      </c>
      <c r="P13" s="40" t="s">
        <v>3260</v>
      </c>
      <c r="Q13" s="40" t="s">
        <v>3261</v>
      </c>
      <c r="R13" s="40" t="s">
        <v>3216</v>
      </c>
      <c r="S13" s="40" t="s">
        <v>3262</v>
      </c>
      <c r="T13" s="40" t="s">
        <v>3263</v>
      </c>
      <c r="U13" s="40" t="s">
        <v>3264</v>
      </c>
      <c r="V13" s="40" t="s">
        <v>3265</v>
      </c>
      <c r="W13" s="40" t="s">
        <v>3231</v>
      </c>
      <c r="X13" s="40"/>
      <c r="Y13" s="46">
        <f t="shared" si="0"/>
        <v>358</v>
      </c>
      <c r="Z13" s="46">
        <f t="shared" si="1"/>
        <v>358</v>
      </c>
      <c r="AA13" s="40" t="s">
        <v>3201</v>
      </c>
    </row>
    <row r="14" spans="1:27" ht="87.95" customHeight="1">
      <c r="A14" s="41" t="s">
        <v>151</v>
      </c>
      <c r="B14" s="41" t="s">
        <v>2102</v>
      </c>
      <c r="C14" s="41" t="s">
        <v>3285</v>
      </c>
      <c r="D14" s="41" t="s">
        <v>3184</v>
      </c>
      <c r="E14" s="41">
        <v>1</v>
      </c>
      <c r="F14" s="41" t="s">
        <v>1583</v>
      </c>
      <c r="G14" s="41" t="s">
        <v>1584</v>
      </c>
      <c r="H14" s="41" t="s">
        <v>3286</v>
      </c>
      <c r="I14" s="41" t="s">
        <v>3186</v>
      </c>
      <c r="J14" s="41" t="s">
        <v>3287</v>
      </c>
      <c r="K14" s="41" t="s">
        <v>3288</v>
      </c>
      <c r="L14" s="41" t="s">
        <v>3289</v>
      </c>
      <c r="M14" s="41" t="s">
        <v>3290</v>
      </c>
      <c r="N14" s="41" t="s">
        <v>3191</v>
      </c>
      <c r="O14" s="41" t="s">
        <v>3291</v>
      </c>
      <c r="P14" s="41" t="s">
        <v>3292</v>
      </c>
      <c r="Q14" s="41" t="s">
        <v>3293</v>
      </c>
      <c r="R14" s="41" t="s">
        <v>3195</v>
      </c>
      <c r="S14" s="41" t="s">
        <v>3294</v>
      </c>
      <c r="T14" s="41" t="s">
        <v>3295</v>
      </c>
      <c r="U14" s="41" t="s">
        <v>3296</v>
      </c>
      <c r="V14" s="41" t="s">
        <v>3297</v>
      </c>
      <c r="W14" s="41" t="s">
        <v>3298</v>
      </c>
      <c r="X14" s="41"/>
      <c r="Y14" s="47">
        <f t="shared" si="0"/>
        <v>497</v>
      </c>
      <c r="Z14" s="47">
        <f t="shared" si="1"/>
        <v>497</v>
      </c>
      <c r="AA14" s="41" t="s">
        <v>3201</v>
      </c>
    </row>
    <row r="15" spans="1:27" ht="87.95" customHeight="1">
      <c r="A15" s="40" t="s">
        <v>151</v>
      </c>
      <c r="B15" s="40" t="s">
        <v>3298</v>
      </c>
      <c r="C15" s="40" t="s">
        <v>3299</v>
      </c>
      <c r="D15" s="40" t="s">
        <v>3203</v>
      </c>
      <c r="E15" s="40">
        <v>2</v>
      </c>
      <c r="F15" s="40" t="s">
        <v>1583</v>
      </c>
      <c r="G15" s="40" t="s">
        <v>1584</v>
      </c>
      <c r="H15" s="40" t="s">
        <v>3286</v>
      </c>
      <c r="I15" s="40" t="s">
        <v>3186</v>
      </c>
      <c r="J15" s="40" t="s">
        <v>3300</v>
      </c>
      <c r="K15" s="40" t="s">
        <v>3205</v>
      </c>
      <c r="L15" s="40" t="s">
        <v>3206</v>
      </c>
      <c r="M15" s="40" t="s">
        <v>3207</v>
      </c>
      <c r="N15" s="40" t="s">
        <v>3208</v>
      </c>
      <c r="O15" s="40" t="s">
        <v>3249</v>
      </c>
      <c r="P15" s="40" t="s">
        <v>3250</v>
      </c>
      <c r="Q15" s="40" t="s">
        <v>3251</v>
      </c>
      <c r="R15" s="40" t="s">
        <v>3252</v>
      </c>
      <c r="S15" s="40" t="s">
        <v>3213</v>
      </c>
      <c r="T15" s="40" t="s">
        <v>3214</v>
      </c>
      <c r="U15" s="40" t="s">
        <v>3215</v>
      </c>
      <c r="V15" s="40" t="s">
        <v>3216</v>
      </c>
      <c r="W15" s="40" t="s">
        <v>2137</v>
      </c>
      <c r="X15" s="40"/>
      <c r="Y15" s="46">
        <f t="shared" si="0"/>
        <v>378</v>
      </c>
      <c r="Z15" s="46">
        <f t="shared" si="1"/>
        <v>378</v>
      </c>
      <c r="AA15" s="40" t="s">
        <v>3201</v>
      </c>
    </row>
    <row r="16" spans="1:27" ht="87.95" customHeight="1">
      <c r="A16" s="41" t="s">
        <v>151</v>
      </c>
      <c r="B16" s="41" t="s">
        <v>2137</v>
      </c>
      <c r="C16" s="41" t="s">
        <v>3301</v>
      </c>
      <c r="D16" s="41" t="s">
        <v>1992</v>
      </c>
      <c r="E16" s="41">
        <v>3</v>
      </c>
      <c r="F16" s="41" t="s">
        <v>1583</v>
      </c>
      <c r="G16" s="41" t="s">
        <v>1584</v>
      </c>
      <c r="H16" s="41" t="s">
        <v>3286</v>
      </c>
      <c r="I16" s="41" t="s">
        <v>3186</v>
      </c>
      <c r="J16" s="41" t="s">
        <v>3302</v>
      </c>
      <c r="K16" s="41" t="s">
        <v>3255</v>
      </c>
      <c r="L16" s="41" t="s">
        <v>3256</v>
      </c>
      <c r="M16" s="41" t="s">
        <v>3257</v>
      </c>
      <c r="N16" s="41" t="s">
        <v>3258</v>
      </c>
      <c r="O16" s="41" t="s">
        <v>3259</v>
      </c>
      <c r="P16" s="41" t="s">
        <v>3260</v>
      </c>
      <c r="Q16" s="41" t="s">
        <v>3261</v>
      </c>
      <c r="R16" s="41" t="s">
        <v>3216</v>
      </c>
      <c r="S16" s="41" t="s">
        <v>3262</v>
      </c>
      <c r="T16" s="41" t="s">
        <v>3263</v>
      </c>
      <c r="U16" s="41" t="s">
        <v>3264</v>
      </c>
      <c r="V16" s="41" t="s">
        <v>3265</v>
      </c>
      <c r="W16" s="41" t="s">
        <v>3231</v>
      </c>
      <c r="X16" s="41"/>
      <c r="Y16" s="47">
        <f t="shared" si="0"/>
        <v>380</v>
      </c>
      <c r="Z16" s="47">
        <f t="shared" si="1"/>
        <v>380</v>
      </c>
      <c r="AA16" s="41" t="s">
        <v>3201</v>
      </c>
    </row>
    <row r="17" spans="1:27" ht="87.95" customHeight="1">
      <c r="A17" s="40" t="s">
        <v>159</v>
      </c>
      <c r="B17" s="40" t="s">
        <v>2143</v>
      </c>
      <c r="C17" s="40" t="s">
        <v>3303</v>
      </c>
      <c r="D17" s="40" t="s">
        <v>3184</v>
      </c>
      <c r="E17" s="40">
        <v>1</v>
      </c>
      <c r="F17" s="40" t="s">
        <v>1592</v>
      </c>
      <c r="G17" s="40" t="s">
        <v>1593</v>
      </c>
      <c r="H17" s="40" t="s">
        <v>3304</v>
      </c>
      <c r="I17" s="40" t="s">
        <v>3186</v>
      </c>
      <c r="J17" s="40" t="s">
        <v>3305</v>
      </c>
      <c r="K17" s="40" t="s">
        <v>3306</v>
      </c>
      <c r="L17" s="40" t="s">
        <v>3307</v>
      </c>
      <c r="M17" s="40" t="s">
        <v>3308</v>
      </c>
      <c r="N17" s="40" t="s">
        <v>3191</v>
      </c>
      <c r="O17" s="40" t="s">
        <v>3309</v>
      </c>
      <c r="P17" s="40" t="s">
        <v>3310</v>
      </c>
      <c r="Q17" s="40" t="s">
        <v>3311</v>
      </c>
      <c r="R17" s="40" t="s">
        <v>3312</v>
      </c>
      <c r="S17" s="40" t="s">
        <v>3313</v>
      </c>
      <c r="T17" s="40" t="s">
        <v>3314</v>
      </c>
      <c r="U17" s="40" t="s">
        <v>3315</v>
      </c>
      <c r="V17" s="40" t="s">
        <v>3316</v>
      </c>
      <c r="W17" s="40" t="s">
        <v>3317</v>
      </c>
      <c r="X17" s="40"/>
      <c r="Y17" s="46">
        <f t="shared" si="0"/>
        <v>446</v>
      </c>
      <c r="Z17" s="46">
        <f t="shared" si="1"/>
        <v>446</v>
      </c>
      <c r="AA17" s="40" t="s">
        <v>3201</v>
      </c>
    </row>
    <row r="18" spans="1:27" ht="87.95" customHeight="1">
      <c r="A18" s="41" t="s">
        <v>159</v>
      </c>
      <c r="B18" s="41" t="s">
        <v>3317</v>
      </c>
      <c r="C18" s="41" t="s">
        <v>3318</v>
      </c>
      <c r="D18" s="41" t="s">
        <v>3203</v>
      </c>
      <c r="E18" s="41">
        <v>2</v>
      </c>
      <c r="F18" s="41" t="s">
        <v>1592</v>
      </c>
      <c r="G18" s="41" t="s">
        <v>1593</v>
      </c>
      <c r="H18" s="41" t="s">
        <v>3304</v>
      </c>
      <c r="I18" s="41" t="s">
        <v>3186</v>
      </c>
      <c r="J18" s="41" t="s">
        <v>3319</v>
      </c>
      <c r="K18" s="41" t="s">
        <v>3205</v>
      </c>
      <c r="L18" s="41" t="s">
        <v>3206</v>
      </c>
      <c r="M18" s="41" t="s">
        <v>3207</v>
      </c>
      <c r="N18" s="41" t="s">
        <v>3208</v>
      </c>
      <c r="O18" s="41" t="s">
        <v>3249</v>
      </c>
      <c r="P18" s="41" t="s">
        <v>3250</v>
      </c>
      <c r="Q18" s="41" t="s">
        <v>3251</v>
      </c>
      <c r="R18" s="41" t="s">
        <v>3252</v>
      </c>
      <c r="S18" s="41" t="s">
        <v>3213</v>
      </c>
      <c r="T18" s="41" t="s">
        <v>3214</v>
      </c>
      <c r="U18" s="41" t="s">
        <v>3215</v>
      </c>
      <c r="V18" s="41" t="s">
        <v>3216</v>
      </c>
      <c r="W18" s="41" t="s">
        <v>2157</v>
      </c>
      <c r="X18" s="41"/>
      <c r="Y18" s="47">
        <f t="shared" si="0"/>
        <v>372</v>
      </c>
      <c r="Z18" s="47">
        <f t="shared" si="1"/>
        <v>372</v>
      </c>
      <c r="AA18" s="41" t="s">
        <v>3201</v>
      </c>
    </row>
    <row r="19" spans="1:27" ht="87.95" customHeight="1">
      <c r="A19" s="40" t="s">
        <v>159</v>
      </c>
      <c r="B19" s="40" t="s">
        <v>2157</v>
      </c>
      <c r="C19" s="40" t="s">
        <v>3320</v>
      </c>
      <c r="D19" s="40" t="s">
        <v>1992</v>
      </c>
      <c r="E19" s="40">
        <v>3</v>
      </c>
      <c r="F19" s="40" t="s">
        <v>1592</v>
      </c>
      <c r="G19" s="40" t="s">
        <v>1593</v>
      </c>
      <c r="H19" s="40" t="s">
        <v>3304</v>
      </c>
      <c r="I19" s="40" t="s">
        <v>3186</v>
      </c>
      <c r="J19" s="40" t="s">
        <v>3321</v>
      </c>
      <c r="K19" s="40" t="s">
        <v>3255</v>
      </c>
      <c r="L19" s="40" t="s">
        <v>3256</v>
      </c>
      <c r="M19" s="40" t="s">
        <v>3257</v>
      </c>
      <c r="N19" s="40" t="s">
        <v>3258</v>
      </c>
      <c r="O19" s="40" t="s">
        <v>3259</v>
      </c>
      <c r="P19" s="40" t="s">
        <v>3260</v>
      </c>
      <c r="Q19" s="40" t="s">
        <v>3261</v>
      </c>
      <c r="R19" s="40" t="s">
        <v>3216</v>
      </c>
      <c r="S19" s="40" t="s">
        <v>3262</v>
      </c>
      <c r="T19" s="40" t="s">
        <v>3263</v>
      </c>
      <c r="U19" s="40" t="s">
        <v>3264</v>
      </c>
      <c r="V19" s="40" t="s">
        <v>3265</v>
      </c>
      <c r="W19" s="40" t="s">
        <v>3231</v>
      </c>
      <c r="X19" s="40"/>
      <c r="Y19" s="46">
        <f t="shared" si="0"/>
        <v>364</v>
      </c>
      <c r="Z19" s="46">
        <f t="shared" si="1"/>
        <v>364</v>
      </c>
      <c r="AA19" s="40" t="s">
        <v>3201</v>
      </c>
    </row>
    <row r="20" spans="1:27" ht="87.95" customHeight="1">
      <c r="A20" s="41" t="s">
        <v>166</v>
      </c>
      <c r="B20" s="41" t="s">
        <v>2163</v>
      </c>
      <c r="C20" s="41" t="s">
        <v>3322</v>
      </c>
      <c r="D20" s="41" t="s">
        <v>3184</v>
      </c>
      <c r="E20" s="41">
        <v>1</v>
      </c>
      <c r="F20" s="41" t="s">
        <v>1598</v>
      </c>
      <c r="G20" s="41" t="s">
        <v>1599</v>
      </c>
      <c r="H20" s="41" t="s">
        <v>3323</v>
      </c>
      <c r="I20" s="41" t="s">
        <v>3186</v>
      </c>
      <c r="J20" s="41" t="s">
        <v>3324</v>
      </c>
      <c r="K20" s="41" t="s">
        <v>3325</v>
      </c>
      <c r="L20" s="41" t="s">
        <v>3326</v>
      </c>
      <c r="M20" s="41" t="s">
        <v>3327</v>
      </c>
      <c r="N20" s="41" t="s">
        <v>3191</v>
      </c>
      <c r="O20" s="41" t="s">
        <v>3328</v>
      </c>
      <c r="P20" s="41" t="s">
        <v>3329</v>
      </c>
      <c r="Q20" s="41" t="s">
        <v>3330</v>
      </c>
      <c r="R20" s="41" t="s">
        <v>3275</v>
      </c>
      <c r="S20" s="41" t="s">
        <v>3331</v>
      </c>
      <c r="T20" s="41" t="s">
        <v>3332</v>
      </c>
      <c r="U20" s="41" t="s">
        <v>3333</v>
      </c>
      <c r="V20" s="41" t="s">
        <v>3334</v>
      </c>
      <c r="W20" s="41" t="s">
        <v>3335</v>
      </c>
      <c r="X20" s="41"/>
      <c r="Y20" s="47">
        <f t="shared" si="0"/>
        <v>572</v>
      </c>
      <c r="Z20" s="47">
        <f t="shared" si="1"/>
        <v>572</v>
      </c>
      <c r="AA20" s="41" t="s">
        <v>3201</v>
      </c>
    </row>
    <row r="21" spans="1:27" ht="87.95" customHeight="1">
      <c r="A21" s="40" t="s">
        <v>166</v>
      </c>
      <c r="B21" s="40" t="s">
        <v>3335</v>
      </c>
      <c r="C21" s="40" t="s">
        <v>3336</v>
      </c>
      <c r="D21" s="40" t="s">
        <v>3203</v>
      </c>
      <c r="E21" s="40">
        <v>2</v>
      </c>
      <c r="F21" s="40" t="s">
        <v>1598</v>
      </c>
      <c r="G21" s="40" t="s">
        <v>1599</v>
      </c>
      <c r="H21" s="40" t="s">
        <v>3323</v>
      </c>
      <c r="I21" s="40" t="s">
        <v>3186</v>
      </c>
      <c r="J21" s="40" t="s">
        <v>3337</v>
      </c>
      <c r="K21" s="40" t="s">
        <v>3205</v>
      </c>
      <c r="L21" s="40" t="s">
        <v>3206</v>
      </c>
      <c r="M21" s="40" t="s">
        <v>3207</v>
      </c>
      <c r="N21" s="40" t="s">
        <v>3208</v>
      </c>
      <c r="O21" s="40" t="s">
        <v>3338</v>
      </c>
      <c r="P21" s="40" t="s">
        <v>3339</v>
      </c>
      <c r="Q21" s="40" t="s">
        <v>3340</v>
      </c>
      <c r="R21" s="40" t="s">
        <v>3341</v>
      </c>
      <c r="S21" s="40" t="s">
        <v>3213</v>
      </c>
      <c r="T21" s="40" t="s">
        <v>3214</v>
      </c>
      <c r="U21" s="40" t="s">
        <v>3215</v>
      </c>
      <c r="V21" s="40" t="s">
        <v>3216</v>
      </c>
      <c r="W21" s="40" t="s">
        <v>2201</v>
      </c>
      <c r="X21" s="40"/>
      <c r="Y21" s="46">
        <f t="shared" si="0"/>
        <v>519</v>
      </c>
      <c r="Z21" s="46">
        <f t="shared" si="1"/>
        <v>519</v>
      </c>
      <c r="AA21" s="40" t="s">
        <v>3201</v>
      </c>
    </row>
    <row r="22" spans="1:27" ht="87.95" customHeight="1">
      <c r="A22" s="41" t="s">
        <v>166</v>
      </c>
      <c r="B22" s="41" t="s">
        <v>2201</v>
      </c>
      <c r="C22" s="41" t="s">
        <v>3342</v>
      </c>
      <c r="D22" s="41" t="s">
        <v>1992</v>
      </c>
      <c r="E22" s="41">
        <v>3</v>
      </c>
      <c r="F22" s="41" t="s">
        <v>1598</v>
      </c>
      <c r="G22" s="41" t="s">
        <v>1599</v>
      </c>
      <c r="H22" s="41" t="s">
        <v>3323</v>
      </c>
      <c r="I22" s="41" t="s">
        <v>3186</v>
      </c>
      <c r="J22" s="41" t="s">
        <v>3343</v>
      </c>
      <c r="K22" s="41" t="s">
        <v>3344</v>
      </c>
      <c r="L22" s="41" t="s">
        <v>3345</v>
      </c>
      <c r="M22" s="41" t="s">
        <v>3346</v>
      </c>
      <c r="N22" s="41" t="s">
        <v>3347</v>
      </c>
      <c r="O22" s="41" t="s">
        <v>3348</v>
      </c>
      <c r="P22" s="41" t="s">
        <v>3349</v>
      </c>
      <c r="Q22" s="41" t="s">
        <v>3350</v>
      </c>
      <c r="R22" s="41" t="s">
        <v>3351</v>
      </c>
      <c r="S22" s="41" t="s">
        <v>3352</v>
      </c>
      <c r="T22" s="41" t="s">
        <v>3353</v>
      </c>
      <c r="U22" s="41" t="s">
        <v>3354</v>
      </c>
      <c r="V22" s="41" t="s">
        <v>3355</v>
      </c>
      <c r="W22" s="41" t="s">
        <v>3231</v>
      </c>
      <c r="X22" s="41"/>
      <c r="Y22" s="47">
        <f t="shared" si="0"/>
        <v>395</v>
      </c>
      <c r="Z22" s="47">
        <f t="shared" si="1"/>
        <v>395</v>
      </c>
      <c r="AA22" s="41" t="s">
        <v>3201</v>
      </c>
    </row>
    <row r="23" spans="1:27" ht="87.95" customHeight="1">
      <c r="A23" s="40" t="s">
        <v>173</v>
      </c>
      <c r="B23" s="40" t="s">
        <v>2213</v>
      </c>
      <c r="C23" s="40" t="s">
        <v>3356</v>
      </c>
      <c r="D23" s="40" t="s">
        <v>3184</v>
      </c>
      <c r="E23" s="40">
        <v>1</v>
      </c>
      <c r="F23" s="40" t="s">
        <v>1606</v>
      </c>
      <c r="G23" s="40" t="s">
        <v>1607</v>
      </c>
      <c r="H23" s="40" t="s">
        <v>3357</v>
      </c>
      <c r="I23" s="40" t="s">
        <v>3186</v>
      </c>
      <c r="J23" s="40" t="s">
        <v>3358</v>
      </c>
      <c r="K23" s="40" t="s">
        <v>3359</v>
      </c>
      <c r="L23" s="40" t="s">
        <v>3360</v>
      </c>
      <c r="M23" s="40" t="s">
        <v>3361</v>
      </c>
      <c r="N23" s="40" t="s">
        <v>3191</v>
      </c>
      <c r="O23" s="40" t="s">
        <v>3362</v>
      </c>
      <c r="P23" s="40" t="s">
        <v>3363</v>
      </c>
      <c r="Q23" s="40" t="s">
        <v>3364</v>
      </c>
      <c r="R23" s="40" t="s">
        <v>3365</v>
      </c>
      <c r="S23" s="40" t="s">
        <v>3366</v>
      </c>
      <c r="T23" s="40" t="s">
        <v>3367</v>
      </c>
      <c r="U23" s="40" t="s">
        <v>3368</v>
      </c>
      <c r="V23" s="40" t="s">
        <v>3369</v>
      </c>
      <c r="W23" s="40" t="s">
        <v>3370</v>
      </c>
      <c r="X23" s="40"/>
      <c r="Y23" s="46">
        <f t="shared" si="0"/>
        <v>438</v>
      </c>
      <c r="Z23" s="46">
        <f t="shared" si="1"/>
        <v>438</v>
      </c>
      <c r="AA23" s="40" t="s">
        <v>3201</v>
      </c>
    </row>
    <row r="24" spans="1:27" ht="87.95" customHeight="1">
      <c r="A24" s="41" t="s">
        <v>173</v>
      </c>
      <c r="B24" s="41" t="s">
        <v>3370</v>
      </c>
      <c r="C24" s="41" t="s">
        <v>3371</v>
      </c>
      <c r="D24" s="41" t="s">
        <v>3203</v>
      </c>
      <c r="E24" s="41">
        <v>2</v>
      </c>
      <c r="F24" s="41" t="s">
        <v>1606</v>
      </c>
      <c r="G24" s="41" t="s">
        <v>1607</v>
      </c>
      <c r="H24" s="41" t="s">
        <v>3357</v>
      </c>
      <c r="I24" s="41" t="s">
        <v>3186</v>
      </c>
      <c r="J24" s="41" t="s">
        <v>3372</v>
      </c>
      <c r="K24" s="41" t="s">
        <v>3205</v>
      </c>
      <c r="L24" s="41" t="s">
        <v>3206</v>
      </c>
      <c r="M24" s="41" t="s">
        <v>3207</v>
      </c>
      <c r="N24" s="41" t="s">
        <v>3208</v>
      </c>
      <c r="O24" s="41" t="s">
        <v>3249</v>
      </c>
      <c r="P24" s="41" t="s">
        <v>3250</v>
      </c>
      <c r="Q24" s="41" t="s">
        <v>3251</v>
      </c>
      <c r="R24" s="41" t="s">
        <v>3252</v>
      </c>
      <c r="S24" s="41" t="s">
        <v>3213</v>
      </c>
      <c r="T24" s="41" t="s">
        <v>3214</v>
      </c>
      <c r="U24" s="41" t="s">
        <v>3215</v>
      </c>
      <c r="V24" s="41" t="s">
        <v>3216</v>
      </c>
      <c r="W24" s="41" t="s">
        <v>2241</v>
      </c>
      <c r="X24" s="41"/>
      <c r="Y24" s="47">
        <f t="shared" si="0"/>
        <v>368</v>
      </c>
      <c r="Z24" s="47">
        <f t="shared" si="1"/>
        <v>368</v>
      </c>
      <c r="AA24" s="41" t="s">
        <v>3201</v>
      </c>
    </row>
    <row r="25" spans="1:27" ht="87.95" customHeight="1">
      <c r="A25" s="40" t="s">
        <v>173</v>
      </c>
      <c r="B25" s="40" t="s">
        <v>2241</v>
      </c>
      <c r="C25" s="40" t="s">
        <v>3373</v>
      </c>
      <c r="D25" s="40" t="s">
        <v>1992</v>
      </c>
      <c r="E25" s="40">
        <v>3</v>
      </c>
      <c r="F25" s="40" t="s">
        <v>1606</v>
      </c>
      <c r="G25" s="40" t="s">
        <v>1607</v>
      </c>
      <c r="H25" s="40" t="s">
        <v>3357</v>
      </c>
      <c r="I25" s="40" t="s">
        <v>3186</v>
      </c>
      <c r="J25" s="40" t="s">
        <v>3374</v>
      </c>
      <c r="K25" s="40" t="s">
        <v>3255</v>
      </c>
      <c r="L25" s="40" t="s">
        <v>3256</v>
      </c>
      <c r="M25" s="40" t="s">
        <v>3257</v>
      </c>
      <c r="N25" s="40" t="s">
        <v>3258</v>
      </c>
      <c r="O25" s="40" t="s">
        <v>3259</v>
      </c>
      <c r="P25" s="40" t="s">
        <v>3260</v>
      </c>
      <c r="Q25" s="40" t="s">
        <v>3261</v>
      </c>
      <c r="R25" s="40" t="s">
        <v>3216</v>
      </c>
      <c r="S25" s="40" t="s">
        <v>3262</v>
      </c>
      <c r="T25" s="40" t="s">
        <v>3263</v>
      </c>
      <c r="U25" s="40" t="s">
        <v>3264</v>
      </c>
      <c r="V25" s="40" t="s">
        <v>3265</v>
      </c>
      <c r="W25" s="40" t="s">
        <v>3231</v>
      </c>
      <c r="X25" s="40"/>
      <c r="Y25" s="46">
        <f t="shared" si="0"/>
        <v>367</v>
      </c>
      <c r="Z25" s="46">
        <f t="shared" si="1"/>
        <v>367</v>
      </c>
      <c r="AA25" s="40" t="s">
        <v>3201</v>
      </c>
    </row>
    <row r="26" spans="1:27" ht="87.95" customHeight="1">
      <c r="A26" s="41" t="s">
        <v>181</v>
      </c>
      <c r="B26" s="41" t="s">
        <v>2247</v>
      </c>
      <c r="C26" s="41" t="s">
        <v>3375</v>
      </c>
      <c r="D26" s="41" t="s">
        <v>3184</v>
      </c>
      <c r="E26" s="41">
        <v>1</v>
      </c>
      <c r="F26" s="41" t="s">
        <v>1615</v>
      </c>
      <c r="G26" s="41" t="s">
        <v>1616</v>
      </c>
      <c r="H26" s="41" t="s">
        <v>3376</v>
      </c>
      <c r="I26" s="41" t="s">
        <v>3186</v>
      </c>
      <c r="J26" s="41" t="s">
        <v>3377</v>
      </c>
      <c r="K26" s="41" t="s">
        <v>3378</v>
      </c>
      <c r="L26" s="41" t="s">
        <v>3379</v>
      </c>
      <c r="M26" s="41" t="s">
        <v>3380</v>
      </c>
      <c r="N26" s="41" t="s">
        <v>3191</v>
      </c>
      <c r="O26" s="41" t="s">
        <v>3381</v>
      </c>
      <c r="P26" s="41" t="s">
        <v>3382</v>
      </c>
      <c r="Q26" s="41" t="s">
        <v>3383</v>
      </c>
      <c r="R26" s="41" t="s">
        <v>3195</v>
      </c>
      <c r="S26" s="41" t="s">
        <v>3384</v>
      </c>
      <c r="T26" s="41" t="s">
        <v>3385</v>
      </c>
      <c r="U26" s="41" t="s">
        <v>3386</v>
      </c>
      <c r="V26" s="41" t="s">
        <v>3387</v>
      </c>
      <c r="W26" s="41" t="s">
        <v>3388</v>
      </c>
      <c r="X26" s="41"/>
      <c r="Y26" s="47">
        <f t="shared" si="0"/>
        <v>493</v>
      </c>
      <c r="Z26" s="47">
        <f t="shared" si="1"/>
        <v>493</v>
      </c>
      <c r="AA26" s="41" t="s">
        <v>3201</v>
      </c>
    </row>
    <row r="27" spans="1:27" ht="87.95" customHeight="1">
      <c r="A27" s="40" t="s">
        <v>181</v>
      </c>
      <c r="B27" s="40" t="s">
        <v>3388</v>
      </c>
      <c r="C27" s="40" t="s">
        <v>3389</v>
      </c>
      <c r="D27" s="40" t="s">
        <v>3203</v>
      </c>
      <c r="E27" s="40">
        <v>2</v>
      </c>
      <c r="F27" s="40" t="s">
        <v>1615</v>
      </c>
      <c r="G27" s="40" t="s">
        <v>1616</v>
      </c>
      <c r="H27" s="40" t="s">
        <v>3376</v>
      </c>
      <c r="I27" s="40" t="s">
        <v>3186</v>
      </c>
      <c r="J27" s="40" t="s">
        <v>3390</v>
      </c>
      <c r="K27" s="40" t="s">
        <v>3205</v>
      </c>
      <c r="L27" s="40" t="s">
        <v>3206</v>
      </c>
      <c r="M27" s="40" t="s">
        <v>3207</v>
      </c>
      <c r="N27" s="40" t="s">
        <v>3208</v>
      </c>
      <c r="O27" s="40" t="s">
        <v>3249</v>
      </c>
      <c r="P27" s="40" t="s">
        <v>3250</v>
      </c>
      <c r="Q27" s="40" t="s">
        <v>3251</v>
      </c>
      <c r="R27" s="40" t="s">
        <v>3252</v>
      </c>
      <c r="S27" s="40" t="s">
        <v>3213</v>
      </c>
      <c r="T27" s="40" t="s">
        <v>3214</v>
      </c>
      <c r="U27" s="40" t="s">
        <v>3215</v>
      </c>
      <c r="V27" s="40" t="s">
        <v>3216</v>
      </c>
      <c r="W27" s="40" t="s">
        <v>2267</v>
      </c>
      <c r="X27" s="40"/>
      <c r="Y27" s="46">
        <f t="shared" si="0"/>
        <v>373</v>
      </c>
      <c r="Z27" s="46">
        <f t="shared" si="1"/>
        <v>373</v>
      </c>
      <c r="AA27" s="40" t="s">
        <v>3201</v>
      </c>
    </row>
    <row r="28" spans="1:27" ht="87.95" customHeight="1">
      <c r="A28" s="41" t="s">
        <v>181</v>
      </c>
      <c r="B28" s="41" t="s">
        <v>2267</v>
      </c>
      <c r="C28" s="41" t="s">
        <v>3391</v>
      </c>
      <c r="D28" s="41" t="s">
        <v>1992</v>
      </c>
      <c r="E28" s="41">
        <v>3</v>
      </c>
      <c r="F28" s="41" t="s">
        <v>1615</v>
      </c>
      <c r="G28" s="41" t="s">
        <v>1616</v>
      </c>
      <c r="H28" s="41" t="s">
        <v>3376</v>
      </c>
      <c r="I28" s="41" t="s">
        <v>3186</v>
      </c>
      <c r="J28" s="41" t="s">
        <v>3392</v>
      </c>
      <c r="K28" s="41" t="s">
        <v>3255</v>
      </c>
      <c r="L28" s="41" t="s">
        <v>3256</v>
      </c>
      <c r="M28" s="41" t="s">
        <v>3257</v>
      </c>
      <c r="N28" s="41" t="s">
        <v>3258</v>
      </c>
      <c r="O28" s="41" t="s">
        <v>3259</v>
      </c>
      <c r="P28" s="41" t="s">
        <v>3260</v>
      </c>
      <c r="Q28" s="41" t="s">
        <v>3261</v>
      </c>
      <c r="R28" s="41" t="s">
        <v>3216</v>
      </c>
      <c r="S28" s="41" t="s">
        <v>3262</v>
      </c>
      <c r="T28" s="41" t="s">
        <v>3263</v>
      </c>
      <c r="U28" s="41" t="s">
        <v>3264</v>
      </c>
      <c r="V28" s="41" t="s">
        <v>3265</v>
      </c>
      <c r="W28" s="41" t="s">
        <v>3231</v>
      </c>
      <c r="X28" s="41"/>
      <c r="Y28" s="47">
        <f t="shared" si="0"/>
        <v>375</v>
      </c>
      <c r="Z28" s="47">
        <f t="shared" si="1"/>
        <v>375</v>
      </c>
      <c r="AA28" s="41" t="s">
        <v>3201</v>
      </c>
    </row>
    <row r="29" spans="1:27" ht="87.95" customHeight="1">
      <c r="A29" s="40" t="s">
        <v>188</v>
      </c>
      <c r="B29" s="40" t="s">
        <v>2273</v>
      </c>
      <c r="C29" s="40" t="s">
        <v>3393</v>
      </c>
      <c r="D29" s="40" t="s">
        <v>3184</v>
      </c>
      <c r="E29" s="40">
        <v>1</v>
      </c>
      <c r="F29" s="40" t="s">
        <v>1623</v>
      </c>
      <c r="G29" s="40" t="s">
        <v>1624</v>
      </c>
      <c r="H29" s="40" t="s">
        <v>3394</v>
      </c>
      <c r="I29" s="40" t="s">
        <v>3186</v>
      </c>
      <c r="J29" s="40" t="s">
        <v>3395</v>
      </c>
      <c r="K29" s="40" t="s">
        <v>3396</v>
      </c>
      <c r="L29" s="40" t="s">
        <v>3397</v>
      </c>
      <c r="M29" s="40" t="s">
        <v>3398</v>
      </c>
      <c r="N29" s="40" t="s">
        <v>3191</v>
      </c>
      <c r="O29" s="40" t="s">
        <v>3399</v>
      </c>
      <c r="P29" s="40" t="s">
        <v>3400</v>
      </c>
      <c r="Q29" s="40" t="s">
        <v>3401</v>
      </c>
      <c r="R29" s="40" t="s">
        <v>3402</v>
      </c>
      <c r="S29" s="40" t="s">
        <v>3403</v>
      </c>
      <c r="T29" s="40" t="s">
        <v>3404</v>
      </c>
      <c r="U29" s="40" t="s">
        <v>3405</v>
      </c>
      <c r="V29" s="40" t="s">
        <v>3406</v>
      </c>
      <c r="W29" s="40" t="s">
        <v>3407</v>
      </c>
      <c r="X29" s="40"/>
      <c r="Y29" s="46">
        <f t="shared" si="0"/>
        <v>451</v>
      </c>
      <c r="Z29" s="46">
        <f t="shared" si="1"/>
        <v>451</v>
      </c>
      <c r="AA29" s="40" t="s">
        <v>3201</v>
      </c>
    </row>
    <row r="30" spans="1:27" ht="87.95" customHeight="1">
      <c r="A30" s="41" t="s">
        <v>188</v>
      </c>
      <c r="B30" s="41" t="s">
        <v>3407</v>
      </c>
      <c r="C30" s="41" t="s">
        <v>3408</v>
      </c>
      <c r="D30" s="41" t="s">
        <v>3203</v>
      </c>
      <c r="E30" s="41">
        <v>2</v>
      </c>
      <c r="F30" s="41" t="s">
        <v>1623</v>
      </c>
      <c r="G30" s="41" t="s">
        <v>1624</v>
      </c>
      <c r="H30" s="41" t="s">
        <v>3394</v>
      </c>
      <c r="I30" s="41" t="s">
        <v>3186</v>
      </c>
      <c r="J30" s="41" t="s">
        <v>3409</v>
      </c>
      <c r="K30" s="41" t="s">
        <v>3205</v>
      </c>
      <c r="L30" s="41" t="s">
        <v>3206</v>
      </c>
      <c r="M30" s="41" t="s">
        <v>3207</v>
      </c>
      <c r="N30" s="41" t="s">
        <v>3208</v>
      </c>
      <c r="O30" s="41" t="s">
        <v>3249</v>
      </c>
      <c r="P30" s="41" t="s">
        <v>3250</v>
      </c>
      <c r="Q30" s="41" t="s">
        <v>3251</v>
      </c>
      <c r="R30" s="41" t="s">
        <v>3252</v>
      </c>
      <c r="S30" s="41" t="s">
        <v>3213</v>
      </c>
      <c r="T30" s="41" t="s">
        <v>3214</v>
      </c>
      <c r="U30" s="41" t="s">
        <v>3215</v>
      </c>
      <c r="V30" s="41" t="s">
        <v>3216</v>
      </c>
      <c r="W30" s="41" t="s">
        <v>2305</v>
      </c>
      <c r="X30" s="41"/>
      <c r="Y30" s="47">
        <f t="shared" si="0"/>
        <v>382</v>
      </c>
      <c r="Z30" s="47">
        <f t="shared" si="1"/>
        <v>382</v>
      </c>
      <c r="AA30" s="41" t="s">
        <v>3201</v>
      </c>
    </row>
    <row r="31" spans="1:27" ht="87.95" customHeight="1">
      <c r="A31" s="40" t="s">
        <v>188</v>
      </c>
      <c r="B31" s="40" t="s">
        <v>2305</v>
      </c>
      <c r="C31" s="40" t="s">
        <v>3410</v>
      </c>
      <c r="D31" s="40" t="s">
        <v>1992</v>
      </c>
      <c r="E31" s="40">
        <v>3</v>
      </c>
      <c r="F31" s="40" t="s">
        <v>1623</v>
      </c>
      <c r="G31" s="40" t="s">
        <v>1624</v>
      </c>
      <c r="H31" s="40" t="s">
        <v>3394</v>
      </c>
      <c r="I31" s="40" t="s">
        <v>3186</v>
      </c>
      <c r="J31" s="40" t="s">
        <v>3411</v>
      </c>
      <c r="K31" s="40" t="s">
        <v>3255</v>
      </c>
      <c r="L31" s="40" t="s">
        <v>3256</v>
      </c>
      <c r="M31" s="40" t="s">
        <v>3257</v>
      </c>
      <c r="N31" s="40" t="s">
        <v>3258</v>
      </c>
      <c r="O31" s="40" t="s">
        <v>3259</v>
      </c>
      <c r="P31" s="40" t="s">
        <v>3260</v>
      </c>
      <c r="Q31" s="40" t="s">
        <v>3261</v>
      </c>
      <c r="R31" s="40" t="s">
        <v>3216</v>
      </c>
      <c r="S31" s="40" t="s">
        <v>3262</v>
      </c>
      <c r="T31" s="40" t="s">
        <v>3263</v>
      </c>
      <c r="U31" s="40" t="s">
        <v>3264</v>
      </c>
      <c r="V31" s="40" t="s">
        <v>3265</v>
      </c>
      <c r="W31" s="40" t="s">
        <v>3231</v>
      </c>
      <c r="X31" s="40" t="s">
        <v>3412</v>
      </c>
      <c r="Y31" s="46">
        <f t="shared" si="0"/>
        <v>389</v>
      </c>
      <c r="Z31" s="46">
        <f t="shared" si="1"/>
        <v>389</v>
      </c>
      <c r="AA31" s="40" t="s">
        <v>3201</v>
      </c>
    </row>
    <row r="32" spans="1:27" ht="87.95" customHeight="1">
      <c r="A32" s="41" t="s">
        <v>196</v>
      </c>
      <c r="B32" s="41" t="s">
        <v>2311</v>
      </c>
      <c r="C32" s="41" t="s">
        <v>3413</v>
      </c>
      <c r="D32" s="41" t="s">
        <v>3184</v>
      </c>
      <c r="E32" s="41">
        <v>1</v>
      </c>
      <c r="F32" s="41" t="s">
        <v>1632</v>
      </c>
      <c r="G32" s="41" t="s">
        <v>1633</v>
      </c>
      <c r="H32" s="41" t="s">
        <v>3414</v>
      </c>
      <c r="I32" s="41" t="s">
        <v>3186</v>
      </c>
      <c r="J32" s="41" t="s">
        <v>3415</v>
      </c>
      <c r="K32" s="41" t="s">
        <v>3416</v>
      </c>
      <c r="L32" s="41" t="s">
        <v>3417</v>
      </c>
      <c r="M32" s="41" t="s">
        <v>3418</v>
      </c>
      <c r="N32" s="41" t="s">
        <v>3191</v>
      </c>
      <c r="O32" s="41" t="s">
        <v>3419</v>
      </c>
      <c r="P32" s="41" t="s">
        <v>3420</v>
      </c>
      <c r="Q32" s="41" t="s">
        <v>3421</v>
      </c>
      <c r="R32" s="41" t="s">
        <v>3195</v>
      </c>
      <c r="S32" s="41" t="s">
        <v>3422</v>
      </c>
      <c r="T32" s="41" t="s">
        <v>3423</v>
      </c>
      <c r="U32" s="41" t="s">
        <v>3424</v>
      </c>
      <c r="V32" s="41" t="s">
        <v>3425</v>
      </c>
      <c r="W32" s="41" t="s">
        <v>3426</v>
      </c>
      <c r="X32" s="41"/>
      <c r="Y32" s="47">
        <f t="shared" si="0"/>
        <v>384</v>
      </c>
      <c r="Z32" s="47">
        <f t="shared" si="1"/>
        <v>384</v>
      </c>
      <c r="AA32" s="41" t="s">
        <v>3201</v>
      </c>
    </row>
    <row r="33" spans="1:27" ht="87.95" customHeight="1">
      <c r="A33" s="40" t="s">
        <v>196</v>
      </c>
      <c r="B33" s="40" t="s">
        <v>3426</v>
      </c>
      <c r="C33" s="40" t="s">
        <v>3427</v>
      </c>
      <c r="D33" s="40" t="s">
        <v>3203</v>
      </c>
      <c r="E33" s="40">
        <v>2</v>
      </c>
      <c r="F33" s="40" t="s">
        <v>1632</v>
      </c>
      <c r="G33" s="40" t="s">
        <v>1633</v>
      </c>
      <c r="H33" s="40" t="s">
        <v>3414</v>
      </c>
      <c r="I33" s="40" t="s">
        <v>3186</v>
      </c>
      <c r="J33" s="40" t="s">
        <v>3428</v>
      </c>
      <c r="K33" s="40" t="s">
        <v>3205</v>
      </c>
      <c r="L33" s="40" t="s">
        <v>3206</v>
      </c>
      <c r="M33" s="40" t="s">
        <v>3207</v>
      </c>
      <c r="N33" s="40" t="s">
        <v>3208</v>
      </c>
      <c r="O33" s="40" t="s">
        <v>3249</v>
      </c>
      <c r="P33" s="40" t="s">
        <v>3250</v>
      </c>
      <c r="Q33" s="40" t="s">
        <v>3251</v>
      </c>
      <c r="R33" s="40" t="s">
        <v>3252</v>
      </c>
      <c r="S33" s="40" t="s">
        <v>3213</v>
      </c>
      <c r="T33" s="40" t="s">
        <v>3214</v>
      </c>
      <c r="U33" s="40" t="s">
        <v>3215</v>
      </c>
      <c r="V33" s="40" t="s">
        <v>3216</v>
      </c>
      <c r="W33" s="40" t="s">
        <v>2338</v>
      </c>
      <c r="X33" s="40"/>
      <c r="Y33" s="46">
        <f t="shared" si="0"/>
        <v>361</v>
      </c>
      <c r="Z33" s="46">
        <f t="shared" si="1"/>
        <v>361</v>
      </c>
      <c r="AA33" s="40" t="s">
        <v>3201</v>
      </c>
    </row>
    <row r="34" spans="1:27" ht="87.95" customHeight="1">
      <c r="A34" s="41" t="s">
        <v>196</v>
      </c>
      <c r="B34" s="41" t="s">
        <v>2338</v>
      </c>
      <c r="C34" s="41" t="s">
        <v>3429</v>
      </c>
      <c r="D34" s="41" t="s">
        <v>1992</v>
      </c>
      <c r="E34" s="41">
        <v>3</v>
      </c>
      <c r="F34" s="41" t="s">
        <v>1632</v>
      </c>
      <c r="G34" s="41" t="s">
        <v>1633</v>
      </c>
      <c r="H34" s="41" t="s">
        <v>3414</v>
      </c>
      <c r="I34" s="41" t="s">
        <v>3186</v>
      </c>
      <c r="J34" s="41" t="s">
        <v>3430</v>
      </c>
      <c r="K34" s="41" t="s">
        <v>3431</v>
      </c>
      <c r="L34" s="41" t="s">
        <v>3432</v>
      </c>
      <c r="M34" s="41" t="s">
        <v>3433</v>
      </c>
      <c r="N34" s="41" t="s">
        <v>3434</v>
      </c>
      <c r="O34" s="41" t="s">
        <v>3435</v>
      </c>
      <c r="P34" s="41" t="s">
        <v>3436</v>
      </c>
      <c r="Q34" s="41" t="s">
        <v>3437</v>
      </c>
      <c r="R34" s="41" t="s">
        <v>3438</v>
      </c>
      <c r="S34" s="41" t="s">
        <v>3439</v>
      </c>
      <c r="T34" s="41" t="s">
        <v>3440</v>
      </c>
      <c r="U34" s="41" t="s">
        <v>3441</v>
      </c>
      <c r="V34" s="41" t="s">
        <v>3442</v>
      </c>
      <c r="W34" s="41" t="s">
        <v>3231</v>
      </c>
      <c r="X34" s="41"/>
      <c r="Y34" s="47">
        <f t="shared" si="0"/>
        <v>399</v>
      </c>
      <c r="Z34" s="47">
        <f t="shared" si="1"/>
        <v>399</v>
      </c>
      <c r="AA34" s="41" t="s">
        <v>3201</v>
      </c>
    </row>
    <row r="35" spans="1:27" ht="87.95" customHeight="1">
      <c r="A35" s="40" t="s">
        <v>204</v>
      </c>
      <c r="B35" s="40" t="s">
        <v>2349</v>
      </c>
      <c r="C35" s="40" t="s">
        <v>3443</v>
      </c>
      <c r="D35" s="40" t="s">
        <v>3184</v>
      </c>
      <c r="E35" s="40">
        <v>1</v>
      </c>
      <c r="F35" s="40" t="s">
        <v>1640</v>
      </c>
      <c r="G35" s="40" t="s">
        <v>1641</v>
      </c>
      <c r="H35" s="40" t="s">
        <v>3444</v>
      </c>
      <c r="I35" s="40" t="s">
        <v>3186</v>
      </c>
      <c r="J35" s="40" t="s">
        <v>3445</v>
      </c>
      <c r="K35" s="40" t="s">
        <v>3446</v>
      </c>
      <c r="L35" s="40" t="s">
        <v>3447</v>
      </c>
      <c r="M35" s="40" t="s">
        <v>3448</v>
      </c>
      <c r="N35" s="40" t="s">
        <v>3191</v>
      </c>
      <c r="O35" s="40" t="s">
        <v>3449</v>
      </c>
      <c r="P35" s="40" t="s">
        <v>3450</v>
      </c>
      <c r="Q35" s="40" t="s">
        <v>3451</v>
      </c>
      <c r="R35" s="40" t="s">
        <v>3195</v>
      </c>
      <c r="S35" s="40" t="s">
        <v>3452</v>
      </c>
      <c r="T35" s="40" t="s">
        <v>3453</v>
      </c>
      <c r="U35" s="40" t="s">
        <v>3454</v>
      </c>
      <c r="V35" s="40" t="s">
        <v>3455</v>
      </c>
      <c r="W35" s="40" t="s">
        <v>3456</v>
      </c>
      <c r="X35" s="40"/>
      <c r="Y35" s="46">
        <f t="shared" si="0"/>
        <v>431</v>
      </c>
      <c r="Z35" s="46">
        <f t="shared" si="1"/>
        <v>431</v>
      </c>
      <c r="AA35" s="40" t="s">
        <v>3201</v>
      </c>
    </row>
    <row r="36" spans="1:27" ht="87.95" customHeight="1">
      <c r="A36" s="41" t="s">
        <v>204</v>
      </c>
      <c r="B36" s="41" t="s">
        <v>3456</v>
      </c>
      <c r="C36" s="41" t="s">
        <v>3457</v>
      </c>
      <c r="D36" s="41" t="s">
        <v>3203</v>
      </c>
      <c r="E36" s="41">
        <v>2</v>
      </c>
      <c r="F36" s="41" t="s">
        <v>1640</v>
      </c>
      <c r="G36" s="41" t="s">
        <v>1641</v>
      </c>
      <c r="H36" s="41" t="s">
        <v>3444</v>
      </c>
      <c r="I36" s="41" t="s">
        <v>3186</v>
      </c>
      <c r="J36" s="41" t="s">
        <v>3458</v>
      </c>
      <c r="K36" s="41" t="s">
        <v>3205</v>
      </c>
      <c r="L36" s="41" t="s">
        <v>3206</v>
      </c>
      <c r="M36" s="41" t="s">
        <v>3207</v>
      </c>
      <c r="N36" s="41" t="s">
        <v>3208</v>
      </c>
      <c r="O36" s="41" t="s">
        <v>3249</v>
      </c>
      <c r="P36" s="41" t="s">
        <v>3250</v>
      </c>
      <c r="Q36" s="41" t="s">
        <v>3251</v>
      </c>
      <c r="R36" s="41" t="s">
        <v>3252</v>
      </c>
      <c r="S36" s="41" t="s">
        <v>3213</v>
      </c>
      <c r="T36" s="41" t="s">
        <v>3214</v>
      </c>
      <c r="U36" s="41" t="s">
        <v>3215</v>
      </c>
      <c r="V36" s="41" t="s">
        <v>3216</v>
      </c>
      <c r="W36" s="41" t="s">
        <v>2362</v>
      </c>
      <c r="X36" s="41"/>
      <c r="Y36" s="47">
        <f t="shared" si="0"/>
        <v>373</v>
      </c>
      <c r="Z36" s="47">
        <f t="shared" si="1"/>
        <v>373</v>
      </c>
      <c r="AA36" s="41" t="s">
        <v>3201</v>
      </c>
    </row>
    <row r="37" spans="1:27" ht="87.95" customHeight="1">
      <c r="A37" s="40" t="s">
        <v>204</v>
      </c>
      <c r="B37" s="40" t="s">
        <v>2362</v>
      </c>
      <c r="C37" s="40" t="s">
        <v>3459</v>
      </c>
      <c r="D37" s="40" t="s">
        <v>1992</v>
      </c>
      <c r="E37" s="40">
        <v>3</v>
      </c>
      <c r="F37" s="40" t="s">
        <v>1640</v>
      </c>
      <c r="G37" s="40" t="s">
        <v>1641</v>
      </c>
      <c r="H37" s="40" t="s">
        <v>3444</v>
      </c>
      <c r="I37" s="40" t="s">
        <v>3186</v>
      </c>
      <c r="J37" s="40" t="s">
        <v>3460</v>
      </c>
      <c r="K37" s="40" t="s">
        <v>3255</v>
      </c>
      <c r="L37" s="40" t="s">
        <v>3256</v>
      </c>
      <c r="M37" s="40" t="s">
        <v>3257</v>
      </c>
      <c r="N37" s="40" t="s">
        <v>3258</v>
      </c>
      <c r="O37" s="40" t="s">
        <v>3259</v>
      </c>
      <c r="P37" s="40" t="s">
        <v>3260</v>
      </c>
      <c r="Q37" s="40" t="s">
        <v>3261</v>
      </c>
      <c r="R37" s="40" t="s">
        <v>3216</v>
      </c>
      <c r="S37" s="40" t="s">
        <v>3262</v>
      </c>
      <c r="T37" s="40" t="s">
        <v>3263</v>
      </c>
      <c r="U37" s="40" t="s">
        <v>3264</v>
      </c>
      <c r="V37" s="40" t="s">
        <v>3265</v>
      </c>
      <c r="W37" s="40" t="s">
        <v>3231</v>
      </c>
      <c r="X37" s="40"/>
      <c r="Y37" s="46">
        <f t="shared" ref="Y37:Y68" si="2">LEN(J37)+LEN(L37)+LEN(M37)+LEN(P37)+LEN(Q37)+LEN(T37)+LEN(U37)</f>
        <v>311</v>
      </c>
      <c r="Z37" s="46">
        <f t="shared" ref="Z37:Z68" si="3">SUMIF($B$5:$B$124,B37,$Y$5:$Y$124)</f>
        <v>311</v>
      </c>
      <c r="AA37" s="40" t="s">
        <v>3201</v>
      </c>
    </row>
    <row r="38" spans="1:27" ht="87.95" customHeight="1">
      <c r="A38" s="41" t="s">
        <v>211</v>
      </c>
      <c r="B38" s="41" t="s">
        <v>2368</v>
      </c>
      <c r="C38" s="41" t="s">
        <v>3461</v>
      </c>
      <c r="D38" s="41" t="s">
        <v>3184</v>
      </c>
      <c r="E38" s="41">
        <v>1</v>
      </c>
      <c r="F38" s="41" t="s">
        <v>1646</v>
      </c>
      <c r="G38" s="41" t="s">
        <v>1647</v>
      </c>
      <c r="H38" s="41" t="s">
        <v>3462</v>
      </c>
      <c r="I38" s="41" t="s">
        <v>3186</v>
      </c>
      <c r="J38" s="41" t="s">
        <v>3463</v>
      </c>
      <c r="K38" s="41" t="s">
        <v>3464</v>
      </c>
      <c r="L38" s="41" t="s">
        <v>3465</v>
      </c>
      <c r="M38" s="41" t="s">
        <v>3466</v>
      </c>
      <c r="N38" s="41" t="s">
        <v>3191</v>
      </c>
      <c r="O38" s="41" t="s">
        <v>3467</v>
      </c>
      <c r="P38" s="41" t="s">
        <v>3468</v>
      </c>
      <c r="Q38" s="41" t="s">
        <v>3469</v>
      </c>
      <c r="R38" s="41" t="s">
        <v>3195</v>
      </c>
      <c r="S38" s="41" t="s">
        <v>3470</v>
      </c>
      <c r="T38" s="41" t="s">
        <v>3471</v>
      </c>
      <c r="U38" s="41" t="s">
        <v>3472</v>
      </c>
      <c r="V38" s="41" t="s">
        <v>3473</v>
      </c>
      <c r="W38" s="41" t="s">
        <v>3474</v>
      </c>
      <c r="X38" s="41"/>
      <c r="Y38" s="47">
        <f t="shared" si="2"/>
        <v>547</v>
      </c>
      <c r="Z38" s="47">
        <f t="shared" si="3"/>
        <v>547</v>
      </c>
      <c r="AA38" s="41" t="s">
        <v>3201</v>
      </c>
    </row>
    <row r="39" spans="1:27" ht="87.95" customHeight="1">
      <c r="A39" s="40" t="s">
        <v>211</v>
      </c>
      <c r="B39" s="40" t="s">
        <v>3474</v>
      </c>
      <c r="C39" s="40" t="s">
        <v>3475</v>
      </c>
      <c r="D39" s="40" t="s">
        <v>3203</v>
      </c>
      <c r="E39" s="40">
        <v>2</v>
      </c>
      <c r="F39" s="40" t="s">
        <v>1646</v>
      </c>
      <c r="G39" s="40" t="s">
        <v>1647</v>
      </c>
      <c r="H39" s="40" t="s">
        <v>3462</v>
      </c>
      <c r="I39" s="40" t="s">
        <v>3186</v>
      </c>
      <c r="J39" s="40" t="s">
        <v>3476</v>
      </c>
      <c r="K39" s="40" t="s">
        <v>3205</v>
      </c>
      <c r="L39" s="40" t="s">
        <v>3206</v>
      </c>
      <c r="M39" s="40" t="s">
        <v>3207</v>
      </c>
      <c r="N39" s="40" t="s">
        <v>3208</v>
      </c>
      <c r="O39" s="40" t="s">
        <v>3477</v>
      </c>
      <c r="P39" s="40" t="s">
        <v>3478</v>
      </c>
      <c r="Q39" s="40" t="s">
        <v>3479</v>
      </c>
      <c r="R39" s="40" t="s">
        <v>3480</v>
      </c>
      <c r="S39" s="40" t="s">
        <v>3213</v>
      </c>
      <c r="T39" s="40" t="s">
        <v>3214</v>
      </c>
      <c r="U39" s="40" t="s">
        <v>3215</v>
      </c>
      <c r="V39" s="40" t="s">
        <v>3216</v>
      </c>
      <c r="W39" s="40" t="s">
        <v>2405</v>
      </c>
      <c r="X39" s="40"/>
      <c r="Y39" s="46">
        <f t="shared" si="2"/>
        <v>540</v>
      </c>
      <c r="Z39" s="46">
        <f t="shared" si="3"/>
        <v>540</v>
      </c>
      <c r="AA39" s="40" t="s">
        <v>3201</v>
      </c>
    </row>
    <row r="40" spans="1:27" ht="87.95" customHeight="1">
      <c r="A40" s="41" t="s">
        <v>211</v>
      </c>
      <c r="B40" s="41" t="s">
        <v>2405</v>
      </c>
      <c r="C40" s="41" t="s">
        <v>3481</v>
      </c>
      <c r="D40" s="41" t="s">
        <v>1992</v>
      </c>
      <c r="E40" s="41">
        <v>3</v>
      </c>
      <c r="F40" s="41" t="s">
        <v>1646</v>
      </c>
      <c r="G40" s="41" t="s">
        <v>1647</v>
      </c>
      <c r="H40" s="41" t="s">
        <v>3462</v>
      </c>
      <c r="I40" s="41" t="s">
        <v>3186</v>
      </c>
      <c r="J40" s="41" t="s">
        <v>3482</v>
      </c>
      <c r="K40" s="41" t="s">
        <v>3483</v>
      </c>
      <c r="L40" s="41" t="s">
        <v>3484</v>
      </c>
      <c r="M40" s="41" t="s">
        <v>3485</v>
      </c>
      <c r="N40" s="41" t="s">
        <v>3486</v>
      </c>
      <c r="O40" s="41" t="s">
        <v>3487</v>
      </c>
      <c r="P40" s="41" t="s">
        <v>3488</v>
      </c>
      <c r="Q40" s="41" t="s">
        <v>3489</v>
      </c>
      <c r="R40" s="41" t="s">
        <v>3490</v>
      </c>
      <c r="S40" s="41" t="s">
        <v>3491</v>
      </c>
      <c r="T40" s="41" t="s">
        <v>3492</v>
      </c>
      <c r="U40" s="41" t="s">
        <v>3493</v>
      </c>
      <c r="V40" s="41" t="s">
        <v>3494</v>
      </c>
      <c r="W40" s="41" t="s">
        <v>3231</v>
      </c>
      <c r="X40" s="41"/>
      <c r="Y40" s="47">
        <f t="shared" si="2"/>
        <v>356</v>
      </c>
      <c r="Z40" s="47">
        <f t="shared" si="3"/>
        <v>356</v>
      </c>
      <c r="AA40" s="41" t="s">
        <v>3201</v>
      </c>
    </row>
    <row r="41" spans="1:27" ht="87.95" customHeight="1">
      <c r="A41" s="40" t="s">
        <v>217</v>
      </c>
      <c r="B41" s="40" t="s">
        <v>2413</v>
      </c>
      <c r="C41" s="40" t="s">
        <v>3495</v>
      </c>
      <c r="D41" s="40" t="s">
        <v>3184</v>
      </c>
      <c r="E41" s="40">
        <v>1</v>
      </c>
      <c r="F41" s="40" t="s">
        <v>1654</v>
      </c>
      <c r="G41" s="40" t="s">
        <v>1655</v>
      </c>
      <c r="H41" s="40" t="s">
        <v>3496</v>
      </c>
      <c r="I41" s="40" t="s">
        <v>3186</v>
      </c>
      <c r="J41" s="40" t="s">
        <v>3497</v>
      </c>
      <c r="K41" s="40" t="s">
        <v>3498</v>
      </c>
      <c r="L41" s="40" t="s">
        <v>3499</v>
      </c>
      <c r="M41" s="40" t="s">
        <v>3500</v>
      </c>
      <c r="N41" s="40" t="s">
        <v>3191</v>
      </c>
      <c r="O41" s="40" t="s">
        <v>3501</v>
      </c>
      <c r="P41" s="40" t="s">
        <v>3502</v>
      </c>
      <c r="Q41" s="40" t="s">
        <v>3503</v>
      </c>
      <c r="R41" s="40" t="s">
        <v>3504</v>
      </c>
      <c r="S41" s="40" t="s">
        <v>3505</v>
      </c>
      <c r="T41" s="40" t="s">
        <v>3506</v>
      </c>
      <c r="U41" s="40" t="s">
        <v>3507</v>
      </c>
      <c r="V41" s="40" t="s">
        <v>3316</v>
      </c>
      <c r="W41" s="40" t="s">
        <v>3508</v>
      </c>
      <c r="X41" s="40"/>
      <c r="Y41" s="46">
        <f t="shared" si="2"/>
        <v>437</v>
      </c>
      <c r="Z41" s="46">
        <f t="shared" si="3"/>
        <v>437</v>
      </c>
      <c r="AA41" s="40" t="s">
        <v>3201</v>
      </c>
    </row>
    <row r="42" spans="1:27" ht="87.95" customHeight="1">
      <c r="A42" s="41" t="s">
        <v>217</v>
      </c>
      <c r="B42" s="41" t="s">
        <v>3508</v>
      </c>
      <c r="C42" s="41" t="s">
        <v>3509</v>
      </c>
      <c r="D42" s="41" t="s">
        <v>3203</v>
      </c>
      <c r="E42" s="41">
        <v>2</v>
      </c>
      <c r="F42" s="41" t="s">
        <v>1654</v>
      </c>
      <c r="G42" s="41" t="s">
        <v>1655</v>
      </c>
      <c r="H42" s="41" t="s">
        <v>3496</v>
      </c>
      <c r="I42" s="41" t="s">
        <v>3186</v>
      </c>
      <c r="J42" s="41" t="s">
        <v>3510</v>
      </c>
      <c r="K42" s="41" t="s">
        <v>3205</v>
      </c>
      <c r="L42" s="41" t="s">
        <v>3206</v>
      </c>
      <c r="M42" s="41" t="s">
        <v>3207</v>
      </c>
      <c r="N42" s="41" t="s">
        <v>3208</v>
      </c>
      <c r="O42" s="41" t="s">
        <v>3249</v>
      </c>
      <c r="P42" s="41" t="s">
        <v>3250</v>
      </c>
      <c r="Q42" s="41" t="s">
        <v>3251</v>
      </c>
      <c r="R42" s="41" t="s">
        <v>3252</v>
      </c>
      <c r="S42" s="41" t="s">
        <v>3213</v>
      </c>
      <c r="T42" s="41" t="s">
        <v>3214</v>
      </c>
      <c r="U42" s="41" t="s">
        <v>3215</v>
      </c>
      <c r="V42" s="41" t="s">
        <v>3216</v>
      </c>
      <c r="W42" s="41" t="s">
        <v>2442</v>
      </c>
      <c r="X42" s="41"/>
      <c r="Y42" s="47">
        <f t="shared" si="2"/>
        <v>386</v>
      </c>
      <c r="Z42" s="47">
        <f t="shared" si="3"/>
        <v>386</v>
      </c>
      <c r="AA42" s="41" t="s">
        <v>3201</v>
      </c>
    </row>
    <row r="43" spans="1:27" ht="87.95" customHeight="1">
      <c r="A43" s="40" t="s">
        <v>217</v>
      </c>
      <c r="B43" s="40" t="s">
        <v>2442</v>
      </c>
      <c r="C43" s="40" t="s">
        <v>3511</v>
      </c>
      <c r="D43" s="40" t="s">
        <v>1992</v>
      </c>
      <c r="E43" s="40">
        <v>3</v>
      </c>
      <c r="F43" s="40" t="s">
        <v>1654</v>
      </c>
      <c r="G43" s="40" t="s">
        <v>1655</v>
      </c>
      <c r="H43" s="40" t="s">
        <v>3496</v>
      </c>
      <c r="I43" s="40" t="s">
        <v>3186</v>
      </c>
      <c r="J43" s="40" t="s">
        <v>3512</v>
      </c>
      <c r="K43" s="40" t="s">
        <v>3255</v>
      </c>
      <c r="L43" s="40" t="s">
        <v>3256</v>
      </c>
      <c r="M43" s="40" t="s">
        <v>3257</v>
      </c>
      <c r="N43" s="40" t="s">
        <v>3258</v>
      </c>
      <c r="O43" s="40" t="s">
        <v>3259</v>
      </c>
      <c r="P43" s="40" t="s">
        <v>3260</v>
      </c>
      <c r="Q43" s="40" t="s">
        <v>3261</v>
      </c>
      <c r="R43" s="40" t="s">
        <v>3216</v>
      </c>
      <c r="S43" s="40" t="s">
        <v>3262</v>
      </c>
      <c r="T43" s="40" t="s">
        <v>3263</v>
      </c>
      <c r="U43" s="40" t="s">
        <v>3264</v>
      </c>
      <c r="V43" s="40" t="s">
        <v>3265</v>
      </c>
      <c r="W43" s="40" t="s">
        <v>3231</v>
      </c>
      <c r="X43" s="40"/>
      <c r="Y43" s="46">
        <f t="shared" si="2"/>
        <v>377</v>
      </c>
      <c r="Z43" s="46">
        <f t="shared" si="3"/>
        <v>377</v>
      </c>
      <c r="AA43" s="40" t="s">
        <v>3201</v>
      </c>
    </row>
    <row r="44" spans="1:27" ht="87.95" customHeight="1">
      <c r="A44" s="41" t="s">
        <v>224</v>
      </c>
      <c r="B44" s="41" t="s">
        <v>2448</v>
      </c>
      <c r="C44" s="41" t="s">
        <v>3513</v>
      </c>
      <c r="D44" s="41" t="s">
        <v>3184</v>
      </c>
      <c r="E44" s="41">
        <v>1</v>
      </c>
      <c r="F44" s="41" t="s">
        <v>1662</v>
      </c>
      <c r="G44" s="41" t="s">
        <v>1663</v>
      </c>
      <c r="H44" s="41" t="s">
        <v>3514</v>
      </c>
      <c r="I44" s="41" t="s">
        <v>3186</v>
      </c>
      <c r="J44" s="41" t="s">
        <v>3515</v>
      </c>
      <c r="K44" s="41" t="s">
        <v>3516</v>
      </c>
      <c r="L44" s="41" t="s">
        <v>3517</v>
      </c>
      <c r="M44" s="41" t="s">
        <v>3518</v>
      </c>
      <c r="N44" s="41" t="s">
        <v>3191</v>
      </c>
      <c r="O44" s="41" t="s">
        <v>3519</v>
      </c>
      <c r="P44" s="41" t="s">
        <v>3520</v>
      </c>
      <c r="Q44" s="41" t="s">
        <v>3521</v>
      </c>
      <c r="R44" s="41" t="s">
        <v>3195</v>
      </c>
      <c r="S44" s="41" t="s">
        <v>3522</v>
      </c>
      <c r="T44" s="41" t="s">
        <v>3523</v>
      </c>
      <c r="U44" s="41" t="s">
        <v>3524</v>
      </c>
      <c r="V44" s="41" t="s">
        <v>3525</v>
      </c>
      <c r="W44" s="41" t="s">
        <v>3526</v>
      </c>
      <c r="X44" s="41"/>
      <c r="Y44" s="47">
        <f t="shared" si="2"/>
        <v>526</v>
      </c>
      <c r="Z44" s="47">
        <f t="shared" si="3"/>
        <v>526</v>
      </c>
      <c r="AA44" s="41" t="s">
        <v>3201</v>
      </c>
    </row>
    <row r="45" spans="1:27" ht="87.95" customHeight="1">
      <c r="A45" s="40" t="s">
        <v>224</v>
      </c>
      <c r="B45" s="40" t="s">
        <v>3526</v>
      </c>
      <c r="C45" s="40" t="s">
        <v>3527</v>
      </c>
      <c r="D45" s="40" t="s">
        <v>3203</v>
      </c>
      <c r="E45" s="40">
        <v>2</v>
      </c>
      <c r="F45" s="40" t="s">
        <v>1662</v>
      </c>
      <c r="G45" s="40" t="s">
        <v>1663</v>
      </c>
      <c r="H45" s="40" t="s">
        <v>3514</v>
      </c>
      <c r="I45" s="40" t="s">
        <v>3186</v>
      </c>
      <c r="J45" s="40" t="s">
        <v>3528</v>
      </c>
      <c r="K45" s="40" t="s">
        <v>3205</v>
      </c>
      <c r="L45" s="40" t="s">
        <v>3206</v>
      </c>
      <c r="M45" s="40" t="s">
        <v>3207</v>
      </c>
      <c r="N45" s="40" t="s">
        <v>3208</v>
      </c>
      <c r="O45" s="40" t="s">
        <v>3249</v>
      </c>
      <c r="P45" s="40" t="s">
        <v>3250</v>
      </c>
      <c r="Q45" s="40" t="s">
        <v>3251</v>
      </c>
      <c r="R45" s="40" t="s">
        <v>3252</v>
      </c>
      <c r="S45" s="40" t="s">
        <v>3213</v>
      </c>
      <c r="T45" s="40" t="s">
        <v>3214</v>
      </c>
      <c r="U45" s="40" t="s">
        <v>3215</v>
      </c>
      <c r="V45" s="40" t="s">
        <v>3216</v>
      </c>
      <c r="W45" s="40" t="s">
        <v>2466</v>
      </c>
      <c r="X45" s="40"/>
      <c r="Y45" s="46">
        <f t="shared" si="2"/>
        <v>396</v>
      </c>
      <c r="Z45" s="46">
        <f t="shared" si="3"/>
        <v>396</v>
      </c>
      <c r="AA45" s="40" t="s">
        <v>3201</v>
      </c>
    </row>
    <row r="46" spans="1:27" ht="87.95" customHeight="1">
      <c r="A46" s="41" t="s">
        <v>224</v>
      </c>
      <c r="B46" s="41" t="s">
        <v>2466</v>
      </c>
      <c r="C46" s="41" t="s">
        <v>3529</v>
      </c>
      <c r="D46" s="41" t="s">
        <v>1992</v>
      </c>
      <c r="E46" s="41">
        <v>3</v>
      </c>
      <c r="F46" s="41" t="s">
        <v>1662</v>
      </c>
      <c r="G46" s="41" t="s">
        <v>1663</v>
      </c>
      <c r="H46" s="41" t="s">
        <v>3514</v>
      </c>
      <c r="I46" s="41" t="s">
        <v>3186</v>
      </c>
      <c r="J46" s="41" t="s">
        <v>3530</v>
      </c>
      <c r="K46" s="41" t="s">
        <v>3255</v>
      </c>
      <c r="L46" s="41" t="s">
        <v>3256</v>
      </c>
      <c r="M46" s="41" t="s">
        <v>3257</v>
      </c>
      <c r="N46" s="41" t="s">
        <v>3258</v>
      </c>
      <c r="O46" s="41" t="s">
        <v>3259</v>
      </c>
      <c r="P46" s="41" t="s">
        <v>3260</v>
      </c>
      <c r="Q46" s="41" t="s">
        <v>3261</v>
      </c>
      <c r="R46" s="41" t="s">
        <v>3216</v>
      </c>
      <c r="S46" s="41" t="s">
        <v>3262</v>
      </c>
      <c r="T46" s="41" t="s">
        <v>3263</v>
      </c>
      <c r="U46" s="41" t="s">
        <v>3264</v>
      </c>
      <c r="V46" s="41" t="s">
        <v>3265</v>
      </c>
      <c r="W46" s="41" t="s">
        <v>3231</v>
      </c>
      <c r="X46" s="41" t="s">
        <v>3412</v>
      </c>
      <c r="Y46" s="47">
        <f t="shared" si="2"/>
        <v>389</v>
      </c>
      <c r="Z46" s="47">
        <f t="shared" si="3"/>
        <v>389</v>
      </c>
      <c r="AA46" s="41" t="s">
        <v>3201</v>
      </c>
    </row>
    <row r="47" spans="1:27" ht="87.95" customHeight="1">
      <c r="A47" s="40" t="s">
        <v>231</v>
      </c>
      <c r="B47" s="40" t="s">
        <v>2472</v>
      </c>
      <c r="C47" s="40" t="s">
        <v>3531</v>
      </c>
      <c r="D47" s="40" t="s">
        <v>3184</v>
      </c>
      <c r="E47" s="40">
        <v>1</v>
      </c>
      <c r="F47" s="40" t="s">
        <v>1669</v>
      </c>
      <c r="G47" s="40" t="s">
        <v>1670</v>
      </c>
      <c r="H47" s="40" t="s">
        <v>3532</v>
      </c>
      <c r="I47" s="40" t="s">
        <v>3186</v>
      </c>
      <c r="J47" s="40" t="s">
        <v>3533</v>
      </c>
      <c r="K47" s="40" t="s">
        <v>3534</v>
      </c>
      <c r="L47" s="40" t="s">
        <v>3535</v>
      </c>
      <c r="M47" s="40" t="s">
        <v>3536</v>
      </c>
      <c r="N47" s="40" t="s">
        <v>3191</v>
      </c>
      <c r="O47" s="40" t="s">
        <v>3537</v>
      </c>
      <c r="P47" s="40" t="s">
        <v>3538</v>
      </c>
      <c r="Q47" s="40" t="s">
        <v>3539</v>
      </c>
      <c r="R47" s="40" t="s">
        <v>3195</v>
      </c>
      <c r="S47" s="40" t="s">
        <v>3540</v>
      </c>
      <c r="T47" s="40" t="s">
        <v>3541</v>
      </c>
      <c r="U47" s="40" t="s">
        <v>3542</v>
      </c>
      <c r="V47" s="40" t="s">
        <v>3543</v>
      </c>
      <c r="W47" s="40" t="s">
        <v>3544</v>
      </c>
      <c r="X47" s="40"/>
      <c r="Y47" s="46">
        <f t="shared" si="2"/>
        <v>481</v>
      </c>
      <c r="Z47" s="46">
        <f t="shared" si="3"/>
        <v>481</v>
      </c>
      <c r="AA47" s="40" t="s">
        <v>3201</v>
      </c>
    </row>
    <row r="48" spans="1:27" ht="87.95" customHeight="1">
      <c r="A48" s="41" t="s">
        <v>231</v>
      </c>
      <c r="B48" s="41" t="s">
        <v>3544</v>
      </c>
      <c r="C48" s="41" t="s">
        <v>3545</v>
      </c>
      <c r="D48" s="41" t="s">
        <v>3203</v>
      </c>
      <c r="E48" s="41">
        <v>2</v>
      </c>
      <c r="F48" s="41" t="s">
        <v>1669</v>
      </c>
      <c r="G48" s="41" t="s">
        <v>1670</v>
      </c>
      <c r="H48" s="41" t="s">
        <v>3532</v>
      </c>
      <c r="I48" s="41" t="s">
        <v>3186</v>
      </c>
      <c r="J48" s="41" t="s">
        <v>3546</v>
      </c>
      <c r="K48" s="41" t="s">
        <v>3205</v>
      </c>
      <c r="L48" s="41" t="s">
        <v>3206</v>
      </c>
      <c r="M48" s="41" t="s">
        <v>3207</v>
      </c>
      <c r="N48" s="41" t="s">
        <v>3208</v>
      </c>
      <c r="O48" s="41" t="s">
        <v>3249</v>
      </c>
      <c r="P48" s="41" t="s">
        <v>3250</v>
      </c>
      <c r="Q48" s="41" t="s">
        <v>3251</v>
      </c>
      <c r="R48" s="41" t="s">
        <v>3252</v>
      </c>
      <c r="S48" s="41" t="s">
        <v>3213</v>
      </c>
      <c r="T48" s="41" t="s">
        <v>3214</v>
      </c>
      <c r="U48" s="41" t="s">
        <v>3215</v>
      </c>
      <c r="V48" s="41" t="s">
        <v>3216</v>
      </c>
      <c r="W48" s="41" t="s">
        <v>2495</v>
      </c>
      <c r="X48" s="41"/>
      <c r="Y48" s="47">
        <f t="shared" si="2"/>
        <v>396</v>
      </c>
      <c r="Z48" s="47">
        <f t="shared" si="3"/>
        <v>396</v>
      </c>
      <c r="AA48" s="41" t="s">
        <v>3201</v>
      </c>
    </row>
    <row r="49" spans="1:27" ht="87.95" customHeight="1">
      <c r="A49" s="40" t="s">
        <v>231</v>
      </c>
      <c r="B49" s="40" t="s">
        <v>2495</v>
      </c>
      <c r="C49" s="40" t="s">
        <v>3547</v>
      </c>
      <c r="D49" s="40" t="s">
        <v>1992</v>
      </c>
      <c r="E49" s="40">
        <v>3</v>
      </c>
      <c r="F49" s="40" t="s">
        <v>1669</v>
      </c>
      <c r="G49" s="40" t="s">
        <v>1670</v>
      </c>
      <c r="H49" s="40" t="s">
        <v>3532</v>
      </c>
      <c r="I49" s="40" t="s">
        <v>3186</v>
      </c>
      <c r="J49" s="40" t="s">
        <v>3548</v>
      </c>
      <c r="K49" s="40" t="s">
        <v>3549</v>
      </c>
      <c r="L49" s="40" t="s">
        <v>3550</v>
      </c>
      <c r="M49" s="40" t="s">
        <v>3551</v>
      </c>
      <c r="N49" s="40" t="s">
        <v>3552</v>
      </c>
      <c r="O49" s="40" t="s">
        <v>3553</v>
      </c>
      <c r="P49" s="40" t="s">
        <v>3554</v>
      </c>
      <c r="Q49" s="40" t="s">
        <v>3555</v>
      </c>
      <c r="R49" s="40" t="s">
        <v>3556</v>
      </c>
      <c r="S49" s="40" t="s">
        <v>3557</v>
      </c>
      <c r="T49" s="40" t="s">
        <v>3558</v>
      </c>
      <c r="U49" s="40" t="s">
        <v>3559</v>
      </c>
      <c r="V49" s="40" t="s">
        <v>3560</v>
      </c>
      <c r="W49" s="40" t="s">
        <v>3231</v>
      </c>
      <c r="X49" s="40"/>
      <c r="Y49" s="46">
        <f t="shared" si="2"/>
        <v>365</v>
      </c>
      <c r="Z49" s="46">
        <f t="shared" si="3"/>
        <v>365</v>
      </c>
      <c r="AA49" s="40" t="s">
        <v>3201</v>
      </c>
    </row>
    <row r="50" spans="1:27" ht="87.95" customHeight="1">
      <c r="A50" s="41" t="s">
        <v>239</v>
      </c>
      <c r="B50" s="41" t="s">
        <v>2503</v>
      </c>
      <c r="C50" s="41" t="s">
        <v>3561</v>
      </c>
      <c r="D50" s="41" t="s">
        <v>3184</v>
      </c>
      <c r="E50" s="41">
        <v>1</v>
      </c>
      <c r="F50" s="41" t="s">
        <v>1677</v>
      </c>
      <c r="G50" s="41" t="s">
        <v>1678</v>
      </c>
      <c r="H50" s="41" t="s">
        <v>3562</v>
      </c>
      <c r="I50" s="41" t="s">
        <v>3186</v>
      </c>
      <c r="J50" s="41" t="s">
        <v>3563</v>
      </c>
      <c r="K50" s="41" t="s">
        <v>3564</v>
      </c>
      <c r="L50" s="41" t="s">
        <v>3565</v>
      </c>
      <c r="M50" s="41" t="s">
        <v>3566</v>
      </c>
      <c r="N50" s="41" t="s">
        <v>3191</v>
      </c>
      <c r="O50" s="41" t="s">
        <v>3567</v>
      </c>
      <c r="P50" s="41" t="s">
        <v>3568</v>
      </c>
      <c r="Q50" s="41" t="s">
        <v>3569</v>
      </c>
      <c r="R50" s="41" t="s">
        <v>3275</v>
      </c>
      <c r="S50" s="41" t="s">
        <v>3570</v>
      </c>
      <c r="T50" s="41" t="s">
        <v>3571</v>
      </c>
      <c r="U50" s="41" t="s">
        <v>3572</v>
      </c>
      <c r="V50" s="41" t="s">
        <v>3573</v>
      </c>
      <c r="W50" s="41" t="s">
        <v>3574</v>
      </c>
      <c r="X50" s="41"/>
      <c r="Y50" s="47">
        <f t="shared" si="2"/>
        <v>488</v>
      </c>
      <c r="Z50" s="47">
        <f t="shared" si="3"/>
        <v>488</v>
      </c>
      <c r="AA50" s="41" t="s">
        <v>3201</v>
      </c>
    </row>
    <row r="51" spans="1:27" ht="87.95" customHeight="1">
      <c r="A51" s="40" t="s">
        <v>239</v>
      </c>
      <c r="B51" s="40" t="s">
        <v>3574</v>
      </c>
      <c r="C51" s="40" t="s">
        <v>3575</v>
      </c>
      <c r="D51" s="40" t="s">
        <v>3203</v>
      </c>
      <c r="E51" s="40">
        <v>2</v>
      </c>
      <c r="F51" s="40" t="s">
        <v>1677</v>
      </c>
      <c r="G51" s="40" t="s">
        <v>1678</v>
      </c>
      <c r="H51" s="40" t="s">
        <v>3562</v>
      </c>
      <c r="I51" s="40" t="s">
        <v>3186</v>
      </c>
      <c r="J51" s="40" t="s">
        <v>3576</v>
      </c>
      <c r="K51" s="40" t="s">
        <v>3205</v>
      </c>
      <c r="L51" s="40" t="s">
        <v>3206</v>
      </c>
      <c r="M51" s="40" t="s">
        <v>3207</v>
      </c>
      <c r="N51" s="40" t="s">
        <v>3208</v>
      </c>
      <c r="O51" s="40" t="s">
        <v>3249</v>
      </c>
      <c r="P51" s="40" t="s">
        <v>3250</v>
      </c>
      <c r="Q51" s="40" t="s">
        <v>3251</v>
      </c>
      <c r="R51" s="40" t="s">
        <v>3252</v>
      </c>
      <c r="S51" s="40" t="s">
        <v>3213</v>
      </c>
      <c r="T51" s="40" t="s">
        <v>3214</v>
      </c>
      <c r="U51" s="40" t="s">
        <v>3215</v>
      </c>
      <c r="V51" s="40" t="s">
        <v>3216</v>
      </c>
      <c r="W51" s="40" t="s">
        <v>2553</v>
      </c>
      <c r="X51" s="40"/>
      <c r="Y51" s="46">
        <f t="shared" si="2"/>
        <v>422</v>
      </c>
      <c r="Z51" s="46">
        <f t="shared" si="3"/>
        <v>422</v>
      </c>
      <c r="AA51" s="40" t="s">
        <v>3201</v>
      </c>
    </row>
    <row r="52" spans="1:27" ht="87.95" customHeight="1">
      <c r="A52" s="41" t="s">
        <v>239</v>
      </c>
      <c r="B52" s="41" t="s">
        <v>2553</v>
      </c>
      <c r="C52" s="41" t="s">
        <v>3577</v>
      </c>
      <c r="D52" s="41" t="s">
        <v>1992</v>
      </c>
      <c r="E52" s="41">
        <v>3</v>
      </c>
      <c r="F52" s="41" t="s">
        <v>1677</v>
      </c>
      <c r="G52" s="41" t="s">
        <v>1678</v>
      </c>
      <c r="H52" s="41" t="s">
        <v>3562</v>
      </c>
      <c r="I52" s="41" t="s">
        <v>3186</v>
      </c>
      <c r="J52" s="41" t="s">
        <v>3578</v>
      </c>
      <c r="K52" s="41" t="s">
        <v>3255</v>
      </c>
      <c r="L52" s="41" t="s">
        <v>3256</v>
      </c>
      <c r="M52" s="41" t="s">
        <v>3257</v>
      </c>
      <c r="N52" s="41" t="s">
        <v>3258</v>
      </c>
      <c r="O52" s="41" t="s">
        <v>3259</v>
      </c>
      <c r="P52" s="41" t="s">
        <v>3260</v>
      </c>
      <c r="Q52" s="41" t="s">
        <v>3261</v>
      </c>
      <c r="R52" s="41" t="s">
        <v>3216</v>
      </c>
      <c r="S52" s="41" t="s">
        <v>3262</v>
      </c>
      <c r="T52" s="41" t="s">
        <v>3263</v>
      </c>
      <c r="U52" s="41" t="s">
        <v>3264</v>
      </c>
      <c r="V52" s="41" t="s">
        <v>3265</v>
      </c>
      <c r="W52" s="41" t="s">
        <v>3231</v>
      </c>
      <c r="X52" s="41"/>
      <c r="Y52" s="47">
        <f t="shared" si="2"/>
        <v>343</v>
      </c>
      <c r="Z52" s="47">
        <f t="shared" si="3"/>
        <v>343</v>
      </c>
      <c r="AA52" s="41" t="s">
        <v>3201</v>
      </c>
    </row>
    <row r="53" spans="1:27" ht="87.95" customHeight="1">
      <c r="A53" s="40" t="s">
        <v>247</v>
      </c>
      <c r="B53" s="40" t="s">
        <v>2559</v>
      </c>
      <c r="C53" s="40" t="s">
        <v>3579</v>
      </c>
      <c r="D53" s="40" t="s">
        <v>3184</v>
      </c>
      <c r="E53" s="40">
        <v>1</v>
      </c>
      <c r="F53" s="40" t="s">
        <v>1685</v>
      </c>
      <c r="G53" s="40" t="s">
        <v>1686</v>
      </c>
      <c r="H53" s="40" t="s">
        <v>3580</v>
      </c>
      <c r="I53" s="40" t="s">
        <v>3186</v>
      </c>
      <c r="J53" s="40" t="s">
        <v>3581</v>
      </c>
      <c r="K53" s="40" t="s">
        <v>3582</v>
      </c>
      <c r="L53" s="40" t="s">
        <v>3583</v>
      </c>
      <c r="M53" s="40" t="s">
        <v>3584</v>
      </c>
      <c r="N53" s="40" t="s">
        <v>3191</v>
      </c>
      <c r="O53" s="40" t="s">
        <v>3585</v>
      </c>
      <c r="P53" s="40" t="s">
        <v>3586</v>
      </c>
      <c r="Q53" s="40" t="s">
        <v>3587</v>
      </c>
      <c r="R53" s="40" t="s">
        <v>3195</v>
      </c>
      <c r="S53" s="40" t="s">
        <v>3588</v>
      </c>
      <c r="T53" s="40" t="s">
        <v>3589</v>
      </c>
      <c r="U53" s="40" t="s">
        <v>3590</v>
      </c>
      <c r="V53" s="40" t="s">
        <v>3316</v>
      </c>
      <c r="W53" s="40" t="s">
        <v>3591</v>
      </c>
      <c r="X53" s="40"/>
      <c r="Y53" s="46">
        <f t="shared" si="2"/>
        <v>448</v>
      </c>
      <c r="Z53" s="46">
        <f t="shared" si="3"/>
        <v>448</v>
      </c>
      <c r="AA53" s="40" t="s">
        <v>3201</v>
      </c>
    </row>
    <row r="54" spans="1:27" ht="87.95" customHeight="1">
      <c r="A54" s="41" t="s">
        <v>247</v>
      </c>
      <c r="B54" s="41" t="s">
        <v>3591</v>
      </c>
      <c r="C54" s="41" t="s">
        <v>3592</v>
      </c>
      <c r="D54" s="41" t="s">
        <v>3203</v>
      </c>
      <c r="E54" s="41">
        <v>2</v>
      </c>
      <c r="F54" s="41" t="s">
        <v>1685</v>
      </c>
      <c r="G54" s="41" t="s">
        <v>1686</v>
      </c>
      <c r="H54" s="41" t="s">
        <v>3580</v>
      </c>
      <c r="I54" s="41" t="s">
        <v>3186</v>
      </c>
      <c r="J54" s="41" t="s">
        <v>3593</v>
      </c>
      <c r="K54" s="41" t="s">
        <v>3205</v>
      </c>
      <c r="L54" s="41" t="s">
        <v>3206</v>
      </c>
      <c r="M54" s="41" t="s">
        <v>3207</v>
      </c>
      <c r="N54" s="41" t="s">
        <v>3208</v>
      </c>
      <c r="O54" s="41" t="s">
        <v>3249</v>
      </c>
      <c r="P54" s="41" t="s">
        <v>3250</v>
      </c>
      <c r="Q54" s="41" t="s">
        <v>3251</v>
      </c>
      <c r="R54" s="41" t="s">
        <v>3252</v>
      </c>
      <c r="S54" s="41" t="s">
        <v>3213</v>
      </c>
      <c r="T54" s="41" t="s">
        <v>3214</v>
      </c>
      <c r="U54" s="41" t="s">
        <v>3215</v>
      </c>
      <c r="V54" s="41" t="s">
        <v>3216</v>
      </c>
      <c r="W54" s="41" t="s">
        <v>2580</v>
      </c>
      <c r="X54" s="41"/>
      <c r="Y54" s="47">
        <f t="shared" si="2"/>
        <v>344</v>
      </c>
      <c r="Z54" s="47">
        <f t="shared" si="3"/>
        <v>344</v>
      </c>
      <c r="AA54" s="41" t="s">
        <v>3201</v>
      </c>
    </row>
    <row r="55" spans="1:27" ht="87.95" customHeight="1">
      <c r="A55" s="40" t="s">
        <v>247</v>
      </c>
      <c r="B55" s="40" t="s">
        <v>2580</v>
      </c>
      <c r="C55" s="40" t="s">
        <v>3594</v>
      </c>
      <c r="D55" s="40" t="s">
        <v>1992</v>
      </c>
      <c r="E55" s="40">
        <v>3</v>
      </c>
      <c r="F55" s="40" t="s">
        <v>1685</v>
      </c>
      <c r="G55" s="40" t="s">
        <v>1686</v>
      </c>
      <c r="H55" s="40" t="s">
        <v>3580</v>
      </c>
      <c r="I55" s="40" t="s">
        <v>3186</v>
      </c>
      <c r="J55" s="40" t="s">
        <v>3595</v>
      </c>
      <c r="K55" s="40" t="s">
        <v>3255</v>
      </c>
      <c r="L55" s="40" t="s">
        <v>3256</v>
      </c>
      <c r="M55" s="40" t="s">
        <v>3257</v>
      </c>
      <c r="N55" s="40" t="s">
        <v>3258</v>
      </c>
      <c r="O55" s="40" t="s">
        <v>3259</v>
      </c>
      <c r="P55" s="40" t="s">
        <v>3260</v>
      </c>
      <c r="Q55" s="40" t="s">
        <v>3261</v>
      </c>
      <c r="R55" s="40" t="s">
        <v>3216</v>
      </c>
      <c r="S55" s="40" t="s">
        <v>3262</v>
      </c>
      <c r="T55" s="40" t="s">
        <v>3263</v>
      </c>
      <c r="U55" s="40" t="s">
        <v>3264</v>
      </c>
      <c r="V55" s="40" t="s">
        <v>3265</v>
      </c>
      <c r="W55" s="40" t="s">
        <v>3231</v>
      </c>
      <c r="X55" s="40"/>
      <c r="Y55" s="46">
        <f t="shared" si="2"/>
        <v>324</v>
      </c>
      <c r="Z55" s="46">
        <f t="shared" si="3"/>
        <v>324</v>
      </c>
      <c r="AA55" s="40" t="s">
        <v>3201</v>
      </c>
    </row>
    <row r="56" spans="1:27" ht="87.95" customHeight="1">
      <c r="A56" s="41" t="s">
        <v>255</v>
      </c>
      <c r="B56" s="41" t="s">
        <v>2586</v>
      </c>
      <c r="C56" s="41" t="s">
        <v>3596</v>
      </c>
      <c r="D56" s="41" t="s">
        <v>3184</v>
      </c>
      <c r="E56" s="41">
        <v>1</v>
      </c>
      <c r="F56" s="41" t="s">
        <v>1694</v>
      </c>
      <c r="G56" s="41" t="s">
        <v>1695</v>
      </c>
      <c r="H56" s="41" t="s">
        <v>3597</v>
      </c>
      <c r="I56" s="41" t="s">
        <v>3186</v>
      </c>
      <c r="J56" s="41" t="s">
        <v>3598</v>
      </c>
      <c r="K56" s="41" t="s">
        <v>3599</v>
      </c>
      <c r="L56" s="41" t="s">
        <v>3600</v>
      </c>
      <c r="M56" s="41" t="s">
        <v>3601</v>
      </c>
      <c r="N56" s="41" t="s">
        <v>3191</v>
      </c>
      <c r="O56" s="41" t="s">
        <v>3602</v>
      </c>
      <c r="P56" s="41" t="s">
        <v>3603</v>
      </c>
      <c r="Q56" s="41" t="s">
        <v>3604</v>
      </c>
      <c r="R56" s="41" t="s">
        <v>3195</v>
      </c>
      <c r="S56" s="41" t="s">
        <v>3605</v>
      </c>
      <c r="T56" s="41" t="s">
        <v>3606</v>
      </c>
      <c r="U56" s="41" t="s">
        <v>3607</v>
      </c>
      <c r="V56" s="41" t="s">
        <v>3608</v>
      </c>
      <c r="W56" s="41" t="s">
        <v>3609</v>
      </c>
      <c r="X56" s="41"/>
      <c r="Y56" s="47">
        <f t="shared" si="2"/>
        <v>430</v>
      </c>
      <c r="Z56" s="47">
        <f t="shared" si="3"/>
        <v>430</v>
      </c>
      <c r="AA56" s="41" t="s">
        <v>3201</v>
      </c>
    </row>
    <row r="57" spans="1:27" ht="87.95" customHeight="1">
      <c r="A57" s="40" t="s">
        <v>255</v>
      </c>
      <c r="B57" s="40" t="s">
        <v>3609</v>
      </c>
      <c r="C57" s="40" t="s">
        <v>3610</v>
      </c>
      <c r="D57" s="40" t="s">
        <v>3203</v>
      </c>
      <c r="E57" s="40">
        <v>2</v>
      </c>
      <c r="F57" s="40" t="s">
        <v>1694</v>
      </c>
      <c r="G57" s="40" t="s">
        <v>1695</v>
      </c>
      <c r="H57" s="40" t="s">
        <v>3597</v>
      </c>
      <c r="I57" s="40" t="s">
        <v>3186</v>
      </c>
      <c r="J57" s="40" t="s">
        <v>3611</v>
      </c>
      <c r="K57" s="40" t="s">
        <v>3205</v>
      </c>
      <c r="L57" s="40" t="s">
        <v>3206</v>
      </c>
      <c r="M57" s="40" t="s">
        <v>3207</v>
      </c>
      <c r="N57" s="40" t="s">
        <v>3208</v>
      </c>
      <c r="O57" s="40" t="s">
        <v>3249</v>
      </c>
      <c r="P57" s="40" t="s">
        <v>3250</v>
      </c>
      <c r="Q57" s="40" t="s">
        <v>3251</v>
      </c>
      <c r="R57" s="40" t="s">
        <v>3252</v>
      </c>
      <c r="S57" s="40" t="s">
        <v>3213</v>
      </c>
      <c r="T57" s="40" t="s">
        <v>3214</v>
      </c>
      <c r="U57" s="40" t="s">
        <v>3215</v>
      </c>
      <c r="V57" s="40" t="s">
        <v>3216</v>
      </c>
      <c r="W57" s="40" t="s">
        <v>2599</v>
      </c>
      <c r="X57" s="40"/>
      <c r="Y57" s="46">
        <f t="shared" si="2"/>
        <v>339</v>
      </c>
      <c r="Z57" s="46">
        <f t="shared" si="3"/>
        <v>339</v>
      </c>
      <c r="AA57" s="40" t="s">
        <v>3201</v>
      </c>
    </row>
    <row r="58" spans="1:27" ht="87.95" customHeight="1">
      <c r="A58" s="41" t="s">
        <v>255</v>
      </c>
      <c r="B58" s="41" t="s">
        <v>2599</v>
      </c>
      <c r="C58" s="41" t="s">
        <v>3612</v>
      </c>
      <c r="D58" s="41" t="s">
        <v>1992</v>
      </c>
      <c r="E58" s="41">
        <v>3</v>
      </c>
      <c r="F58" s="41" t="s">
        <v>1694</v>
      </c>
      <c r="G58" s="41" t="s">
        <v>1695</v>
      </c>
      <c r="H58" s="41" t="s">
        <v>3597</v>
      </c>
      <c r="I58" s="41" t="s">
        <v>3186</v>
      </c>
      <c r="J58" s="41" t="s">
        <v>3613</v>
      </c>
      <c r="K58" s="41" t="s">
        <v>3255</v>
      </c>
      <c r="L58" s="41" t="s">
        <v>3256</v>
      </c>
      <c r="M58" s="41" t="s">
        <v>3257</v>
      </c>
      <c r="N58" s="41" t="s">
        <v>3258</v>
      </c>
      <c r="O58" s="41" t="s">
        <v>3259</v>
      </c>
      <c r="P58" s="41" t="s">
        <v>3260</v>
      </c>
      <c r="Q58" s="41" t="s">
        <v>3261</v>
      </c>
      <c r="R58" s="41" t="s">
        <v>3216</v>
      </c>
      <c r="S58" s="41" t="s">
        <v>3262</v>
      </c>
      <c r="T58" s="41" t="s">
        <v>3263</v>
      </c>
      <c r="U58" s="41" t="s">
        <v>3264</v>
      </c>
      <c r="V58" s="41" t="s">
        <v>3265</v>
      </c>
      <c r="W58" s="41" t="s">
        <v>3231</v>
      </c>
      <c r="X58" s="41"/>
      <c r="Y58" s="47">
        <f t="shared" si="2"/>
        <v>333</v>
      </c>
      <c r="Z58" s="47">
        <f t="shared" si="3"/>
        <v>333</v>
      </c>
      <c r="AA58" s="41" t="s">
        <v>3201</v>
      </c>
    </row>
    <row r="59" spans="1:27" ht="87.95" customHeight="1">
      <c r="A59" s="40" t="s">
        <v>262</v>
      </c>
      <c r="B59" s="40" t="s">
        <v>2605</v>
      </c>
      <c r="C59" s="40" t="s">
        <v>3614</v>
      </c>
      <c r="D59" s="40" t="s">
        <v>3184</v>
      </c>
      <c r="E59" s="40">
        <v>1</v>
      </c>
      <c r="F59" s="40" t="s">
        <v>1700</v>
      </c>
      <c r="G59" s="40" t="s">
        <v>1701</v>
      </c>
      <c r="H59" s="40" t="s">
        <v>3615</v>
      </c>
      <c r="I59" s="40" t="s">
        <v>3186</v>
      </c>
      <c r="J59" s="40" t="s">
        <v>3616</v>
      </c>
      <c r="K59" s="40" t="s">
        <v>3617</v>
      </c>
      <c r="L59" s="40" t="s">
        <v>3618</v>
      </c>
      <c r="M59" s="40" t="s">
        <v>3619</v>
      </c>
      <c r="N59" s="40" t="s">
        <v>3191</v>
      </c>
      <c r="O59" s="40" t="s">
        <v>3620</v>
      </c>
      <c r="P59" s="40" t="s">
        <v>3621</v>
      </c>
      <c r="Q59" s="40" t="s">
        <v>3622</v>
      </c>
      <c r="R59" s="40" t="s">
        <v>3623</v>
      </c>
      <c r="S59" s="40" t="s">
        <v>3624</v>
      </c>
      <c r="T59" s="40" t="s">
        <v>3625</v>
      </c>
      <c r="U59" s="40" t="s">
        <v>3626</v>
      </c>
      <c r="V59" s="40" t="s">
        <v>3627</v>
      </c>
      <c r="W59" s="40" t="s">
        <v>3628</v>
      </c>
      <c r="X59" s="40"/>
      <c r="Y59" s="46">
        <f t="shared" si="2"/>
        <v>423</v>
      </c>
      <c r="Z59" s="46">
        <f t="shared" si="3"/>
        <v>423</v>
      </c>
      <c r="AA59" s="40" t="s">
        <v>3201</v>
      </c>
    </row>
    <row r="60" spans="1:27" ht="87.95" customHeight="1">
      <c r="A60" s="41" t="s">
        <v>262</v>
      </c>
      <c r="B60" s="41" t="s">
        <v>3628</v>
      </c>
      <c r="C60" s="41" t="s">
        <v>3629</v>
      </c>
      <c r="D60" s="41" t="s">
        <v>3203</v>
      </c>
      <c r="E60" s="41">
        <v>2</v>
      </c>
      <c r="F60" s="41" t="s">
        <v>1700</v>
      </c>
      <c r="G60" s="41" t="s">
        <v>1701</v>
      </c>
      <c r="H60" s="41" t="s">
        <v>3615</v>
      </c>
      <c r="I60" s="41" t="s">
        <v>3186</v>
      </c>
      <c r="J60" s="41" t="s">
        <v>3630</v>
      </c>
      <c r="K60" s="41" t="s">
        <v>3205</v>
      </c>
      <c r="L60" s="41" t="s">
        <v>3206</v>
      </c>
      <c r="M60" s="41" t="s">
        <v>3207</v>
      </c>
      <c r="N60" s="41" t="s">
        <v>3208</v>
      </c>
      <c r="O60" s="41" t="s">
        <v>3249</v>
      </c>
      <c r="P60" s="41" t="s">
        <v>3250</v>
      </c>
      <c r="Q60" s="41" t="s">
        <v>3251</v>
      </c>
      <c r="R60" s="41" t="s">
        <v>3252</v>
      </c>
      <c r="S60" s="41" t="s">
        <v>3213</v>
      </c>
      <c r="T60" s="41" t="s">
        <v>3214</v>
      </c>
      <c r="U60" s="41" t="s">
        <v>3215</v>
      </c>
      <c r="V60" s="41" t="s">
        <v>3216</v>
      </c>
      <c r="W60" s="41" t="s">
        <v>2634</v>
      </c>
      <c r="X60" s="41"/>
      <c r="Y60" s="47">
        <f t="shared" si="2"/>
        <v>358</v>
      </c>
      <c r="Z60" s="47">
        <f t="shared" si="3"/>
        <v>358</v>
      </c>
      <c r="AA60" s="41" t="s">
        <v>3201</v>
      </c>
    </row>
    <row r="61" spans="1:27" ht="87.95" customHeight="1">
      <c r="A61" s="40" t="s">
        <v>262</v>
      </c>
      <c r="B61" s="40" t="s">
        <v>2634</v>
      </c>
      <c r="C61" s="40" t="s">
        <v>3631</v>
      </c>
      <c r="D61" s="40" t="s">
        <v>1992</v>
      </c>
      <c r="E61" s="40">
        <v>3</v>
      </c>
      <c r="F61" s="40" t="s">
        <v>1700</v>
      </c>
      <c r="G61" s="40" t="s">
        <v>1701</v>
      </c>
      <c r="H61" s="40" t="s">
        <v>3615</v>
      </c>
      <c r="I61" s="40" t="s">
        <v>3186</v>
      </c>
      <c r="J61" s="40" t="s">
        <v>3632</v>
      </c>
      <c r="K61" s="40" t="s">
        <v>3255</v>
      </c>
      <c r="L61" s="40" t="s">
        <v>3256</v>
      </c>
      <c r="M61" s="40" t="s">
        <v>3257</v>
      </c>
      <c r="N61" s="40" t="s">
        <v>3258</v>
      </c>
      <c r="O61" s="40" t="s">
        <v>3259</v>
      </c>
      <c r="P61" s="40" t="s">
        <v>3260</v>
      </c>
      <c r="Q61" s="40" t="s">
        <v>3261</v>
      </c>
      <c r="R61" s="40" t="s">
        <v>3216</v>
      </c>
      <c r="S61" s="40" t="s">
        <v>3262</v>
      </c>
      <c r="T61" s="40" t="s">
        <v>3263</v>
      </c>
      <c r="U61" s="40" t="s">
        <v>3264</v>
      </c>
      <c r="V61" s="40" t="s">
        <v>3265</v>
      </c>
      <c r="W61" s="40" t="s">
        <v>3231</v>
      </c>
      <c r="X61" s="40"/>
      <c r="Y61" s="46">
        <f t="shared" si="2"/>
        <v>362</v>
      </c>
      <c r="Z61" s="46">
        <f t="shared" si="3"/>
        <v>362</v>
      </c>
      <c r="AA61" s="40" t="s">
        <v>3201</v>
      </c>
    </row>
    <row r="62" spans="1:27" ht="87.95" customHeight="1">
      <c r="A62" s="41" t="s">
        <v>270</v>
      </c>
      <c r="B62" s="41" t="s">
        <v>2640</v>
      </c>
      <c r="C62" s="41" t="s">
        <v>3633</v>
      </c>
      <c r="D62" s="41" t="s">
        <v>3184</v>
      </c>
      <c r="E62" s="41">
        <v>1</v>
      </c>
      <c r="F62" s="41" t="s">
        <v>1708</v>
      </c>
      <c r="G62" s="41" t="s">
        <v>1709</v>
      </c>
      <c r="H62" s="41" t="s">
        <v>3634</v>
      </c>
      <c r="I62" s="41" t="s">
        <v>3186</v>
      </c>
      <c r="J62" s="41" t="s">
        <v>3635</v>
      </c>
      <c r="K62" s="41" t="s">
        <v>3636</v>
      </c>
      <c r="L62" s="41" t="s">
        <v>3637</v>
      </c>
      <c r="M62" s="41" t="s">
        <v>3638</v>
      </c>
      <c r="N62" s="41" t="s">
        <v>3191</v>
      </c>
      <c r="O62" s="41" t="s">
        <v>3537</v>
      </c>
      <c r="P62" s="41" t="s">
        <v>3639</v>
      </c>
      <c r="Q62" s="41" t="s">
        <v>3640</v>
      </c>
      <c r="R62" s="41" t="s">
        <v>3195</v>
      </c>
      <c r="S62" s="41" t="s">
        <v>3641</v>
      </c>
      <c r="T62" s="41" t="s">
        <v>3642</v>
      </c>
      <c r="U62" s="41" t="s">
        <v>3643</v>
      </c>
      <c r="V62" s="41" t="s">
        <v>3644</v>
      </c>
      <c r="W62" s="41" t="s">
        <v>3645</v>
      </c>
      <c r="X62" s="41"/>
      <c r="Y62" s="47">
        <f t="shared" si="2"/>
        <v>535</v>
      </c>
      <c r="Z62" s="47">
        <f t="shared" si="3"/>
        <v>535</v>
      </c>
      <c r="AA62" s="41" t="s">
        <v>3201</v>
      </c>
    </row>
    <row r="63" spans="1:27" ht="87.95" customHeight="1">
      <c r="A63" s="40" t="s">
        <v>270</v>
      </c>
      <c r="B63" s="40" t="s">
        <v>3645</v>
      </c>
      <c r="C63" s="40" t="s">
        <v>3646</v>
      </c>
      <c r="D63" s="40" t="s">
        <v>3203</v>
      </c>
      <c r="E63" s="40">
        <v>2</v>
      </c>
      <c r="F63" s="40" t="s">
        <v>1708</v>
      </c>
      <c r="G63" s="40" t="s">
        <v>1709</v>
      </c>
      <c r="H63" s="40" t="s">
        <v>3634</v>
      </c>
      <c r="I63" s="40" t="s">
        <v>3186</v>
      </c>
      <c r="J63" s="40" t="s">
        <v>3647</v>
      </c>
      <c r="K63" s="40" t="s">
        <v>3205</v>
      </c>
      <c r="L63" s="40" t="s">
        <v>3206</v>
      </c>
      <c r="M63" s="40" t="s">
        <v>3207</v>
      </c>
      <c r="N63" s="40" t="s">
        <v>3208</v>
      </c>
      <c r="O63" s="40" t="s">
        <v>3648</v>
      </c>
      <c r="P63" s="40" t="s">
        <v>3649</v>
      </c>
      <c r="Q63" s="40" t="s">
        <v>3650</v>
      </c>
      <c r="R63" s="40" t="s">
        <v>3651</v>
      </c>
      <c r="S63" s="40" t="s">
        <v>3213</v>
      </c>
      <c r="T63" s="40" t="s">
        <v>3214</v>
      </c>
      <c r="U63" s="40" t="s">
        <v>3215</v>
      </c>
      <c r="V63" s="40" t="s">
        <v>3216</v>
      </c>
      <c r="W63" s="40" t="s">
        <v>2680</v>
      </c>
      <c r="X63" s="40"/>
      <c r="Y63" s="46">
        <f t="shared" si="2"/>
        <v>514</v>
      </c>
      <c r="Z63" s="46">
        <f t="shared" si="3"/>
        <v>514</v>
      </c>
      <c r="AA63" s="40" t="s">
        <v>3201</v>
      </c>
    </row>
    <row r="64" spans="1:27" ht="87.95" customHeight="1">
      <c r="A64" s="41" t="s">
        <v>270</v>
      </c>
      <c r="B64" s="41" t="s">
        <v>2680</v>
      </c>
      <c r="C64" s="41" t="s">
        <v>3652</v>
      </c>
      <c r="D64" s="41" t="s">
        <v>1992</v>
      </c>
      <c r="E64" s="41">
        <v>3</v>
      </c>
      <c r="F64" s="41" t="s">
        <v>1708</v>
      </c>
      <c r="G64" s="41" t="s">
        <v>1709</v>
      </c>
      <c r="H64" s="41" t="s">
        <v>3634</v>
      </c>
      <c r="I64" s="41" t="s">
        <v>3186</v>
      </c>
      <c r="J64" s="41" t="s">
        <v>3653</v>
      </c>
      <c r="K64" s="41" t="s">
        <v>3255</v>
      </c>
      <c r="L64" s="41" t="s">
        <v>3256</v>
      </c>
      <c r="M64" s="41" t="s">
        <v>3257</v>
      </c>
      <c r="N64" s="41" t="s">
        <v>3258</v>
      </c>
      <c r="O64" s="41" t="s">
        <v>3259</v>
      </c>
      <c r="P64" s="41" t="s">
        <v>3260</v>
      </c>
      <c r="Q64" s="41" t="s">
        <v>3261</v>
      </c>
      <c r="R64" s="41" t="s">
        <v>3216</v>
      </c>
      <c r="S64" s="41" t="s">
        <v>3262</v>
      </c>
      <c r="T64" s="41" t="s">
        <v>3263</v>
      </c>
      <c r="U64" s="41" t="s">
        <v>3264</v>
      </c>
      <c r="V64" s="41" t="s">
        <v>3265</v>
      </c>
      <c r="W64" s="41" t="s">
        <v>3231</v>
      </c>
      <c r="X64" s="41"/>
      <c r="Y64" s="47">
        <f t="shared" si="2"/>
        <v>357</v>
      </c>
      <c r="Z64" s="47">
        <f t="shared" si="3"/>
        <v>357</v>
      </c>
      <c r="AA64" s="41" t="s">
        <v>3201</v>
      </c>
    </row>
    <row r="65" spans="1:27" ht="87.95" customHeight="1">
      <c r="A65" s="40" t="s">
        <v>278</v>
      </c>
      <c r="B65" s="40" t="s">
        <v>2686</v>
      </c>
      <c r="C65" s="40" t="s">
        <v>3654</v>
      </c>
      <c r="D65" s="40" t="s">
        <v>3184</v>
      </c>
      <c r="E65" s="40">
        <v>1</v>
      </c>
      <c r="F65" s="40" t="s">
        <v>1716</v>
      </c>
      <c r="G65" s="40" t="s">
        <v>1717</v>
      </c>
      <c r="H65" s="40" t="s">
        <v>3655</v>
      </c>
      <c r="I65" s="40" t="s">
        <v>3186</v>
      </c>
      <c r="J65" s="40" t="s">
        <v>3656</v>
      </c>
      <c r="K65" s="40" t="s">
        <v>3657</v>
      </c>
      <c r="L65" s="40" t="s">
        <v>3658</v>
      </c>
      <c r="M65" s="40" t="s">
        <v>3659</v>
      </c>
      <c r="N65" s="40" t="s">
        <v>3191</v>
      </c>
      <c r="O65" s="40" t="s">
        <v>3660</v>
      </c>
      <c r="P65" s="40" t="s">
        <v>3661</v>
      </c>
      <c r="Q65" s="40" t="s">
        <v>3662</v>
      </c>
      <c r="R65" s="40" t="s">
        <v>3663</v>
      </c>
      <c r="S65" s="40" t="s">
        <v>3664</v>
      </c>
      <c r="T65" s="40" t="s">
        <v>3665</v>
      </c>
      <c r="U65" s="40" t="s">
        <v>3666</v>
      </c>
      <c r="V65" s="40" t="s">
        <v>3667</v>
      </c>
      <c r="W65" s="40" t="s">
        <v>3668</v>
      </c>
      <c r="X65" s="40"/>
      <c r="Y65" s="46">
        <f t="shared" si="2"/>
        <v>391</v>
      </c>
      <c r="Z65" s="46">
        <f t="shared" si="3"/>
        <v>391</v>
      </c>
      <c r="AA65" s="40" t="s">
        <v>3201</v>
      </c>
    </row>
    <row r="66" spans="1:27" ht="87.95" customHeight="1">
      <c r="A66" s="41" t="s">
        <v>278</v>
      </c>
      <c r="B66" s="41" t="s">
        <v>3668</v>
      </c>
      <c r="C66" s="41" t="s">
        <v>3669</v>
      </c>
      <c r="D66" s="41" t="s">
        <v>3203</v>
      </c>
      <c r="E66" s="41">
        <v>2</v>
      </c>
      <c r="F66" s="41" t="s">
        <v>1716</v>
      </c>
      <c r="G66" s="41" t="s">
        <v>1717</v>
      </c>
      <c r="H66" s="41" t="s">
        <v>3655</v>
      </c>
      <c r="I66" s="41" t="s">
        <v>3186</v>
      </c>
      <c r="J66" s="41" t="s">
        <v>3670</v>
      </c>
      <c r="K66" s="41" t="s">
        <v>3205</v>
      </c>
      <c r="L66" s="41" t="s">
        <v>3206</v>
      </c>
      <c r="M66" s="41" t="s">
        <v>3207</v>
      </c>
      <c r="N66" s="41" t="s">
        <v>3208</v>
      </c>
      <c r="O66" s="41" t="s">
        <v>3249</v>
      </c>
      <c r="P66" s="41" t="s">
        <v>3250</v>
      </c>
      <c r="Q66" s="41" t="s">
        <v>3251</v>
      </c>
      <c r="R66" s="41" t="s">
        <v>3252</v>
      </c>
      <c r="S66" s="41" t="s">
        <v>3213</v>
      </c>
      <c r="T66" s="41" t="s">
        <v>3214</v>
      </c>
      <c r="U66" s="41" t="s">
        <v>3215</v>
      </c>
      <c r="V66" s="41" t="s">
        <v>3216</v>
      </c>
      <c r="W66" s="41" t="s">
        <v>2716</v>
      </c>
      <c r="X66" s="41"/>
      <c r="Y66" s="47">
        <f t="shared" si="2"/>
        <v>367</v>
      </c>
      <c r="Z66" s="47">
        <f t="shared" si="3"/>
        <v>367</v>
      </c>
      <c r="AA66" s="41" t="s">
        <v>3201</v>
      </c>
    </row>
    <row r="67" spans="1:27" ht="87.95" customHeight="1">
      <c r="A67" s="40" t="s">
        <v>278</v>
      </c>
      <c r="B67" s="40" t="s">
        <v>2716</v>
      </c>
      <c r="C67" s="40" t="s">
        <v>3671</v>
      </c>
      <c r="D67" s="40" t="s">
        <v>1992</v>
      </c>
      <c r="E67" s="40">
        <v>3</v>
      </c>
      <c r="F67" s="40" t="s">
        <v>1716</v>
      </c>
      <c r="G67" s="40" t="s">
        <v>1717</v>
      </c>
      <c r="H67" s="40" t="s">
        <v>3655</v>
      </c>
      <c r="I67" s="40" t="s">
        <v>3186</v>
      </c>
      <c r="J67" s="40" t="s">
        <v>3672</v>
      </c>
      <c r="K67" s="40" t="s">
        <v>3255</v>
      </c>
      <c r="L67" s="40" t="s">
        <v>3256</v>
      </c>
      <c r="M67" s="40" t="s">
        <v>3257</v>
      </c>
      <c r="N67" s="40" t="s">
        <v>3258</v>
      </c>
      <c r="O67" s="40" t="s">
        <v>3259</v>
      </c>
      <c r="P67" s="40" t="s">
        <v>3260</v>
      </c>
      <c r="Q67" s="40" t="s">
        <v>3261</v>
      </c>
      <c r="R67" s="40" t="s">
        <v>3216</v>
      </c>
      <c r="S67" s="40" t="s">
        <v>3262</v>
      </c>
      <c r="T67" s="40" t="s">
        <v>3263</v>
      </c>
      <c r="U67" s="40" t="s">
        <v>3264</v>
      </c>
      <c r="V67" s="40" t="s">
        <v>3265</v>
      </c>
      <c r="W67" s="40" t="s">
        <v>3231</v>
      </c>
      <c r="X67" s="40" t="s">
        <v>3412</v>
      </c>
      <c r="Y67" s="46">
        <f t="shared" si="2"/>
        <v>430</v>
      </c>
      <c r="Z67" s="46">
        <f t="shared" si="3"/>
        <v>430</v>
      </c>
      <c r="AA67" s="40" t="s">
        <v>3201</v>
      </c>
    </row>
    <row r="68" spans="1:27" ht="87.95" customHeight="1">
      <c r="A68" s="41" t="s">
        <v>286</v>
      </c>
      <c r="B68" s="41" t="s">
        <v>2722</v>
      </c>
      <c r="C68" s="41" t="s">
        <v>3673</v>
      </c>
      <c r="D68" s="41" t="s">
        <v>3184</v>
      </c>
      <c r="E68" s="41">
        <v>1</v>
      </c>
      <c r="F68" s="41" t="s">
        <v>1724</v>
      </c>
      <c r="G68" s="41" t="s">
        <v>1725</v>
      </c>
      <c r="H68" s="41" t="s">
        <v>3674</v>
      </c>
      <c r="I68" s="41" t="s">
        <v>3186</v>
      </c>
      <c r="J68" s="41" t="s">
        <v>3675</v>
      </c>
      <c r="K68" s="41" t="s">
        <v>3676</v>
      </c>
      <c r="L68" s="41" t="s">
        <v>3677</v>
      </c>
      <c r="M68" s="41" t="s">
        <v>3678</v>
      </c>
      <c r="N68" s="41" t="s">
        <v>3191</v>
      </c>
      <c r="O68" s="41" t="s">
        <v>3679</v>
      </c>
      <c r="P68" s="41" t="s">
        <v>3680</v>
      </c>
      <c r="Q68" s="41" t="s">
        <v>3681</v>
      </c>
      <c r="R68" s="41" t="s">
        <v>3682</v>
      </c>
      <c r="S68" s="41" t="s">
        <v>3683</v>
      </c>
      <c r="T68" s="41" t="s">
        <v>3684</v>
      </c>
      <c r="U68" s="41" t="s">
        <v>3685</v>
      </c>
      <c r="V68" s="41" t="s">
        <v>3686</v>
      </c>
      <c r="W68" s="41" t="s">
        <v>3687</v>
      </c>
      <c r="X68" s="41"/>
      <c r="Y68" s="47">
        <f t="shared" si="2"/>
        <v>359</v>
      </c>
      <c r="Z68" s="47">
        <f t="shared" si="3"/>
        <v>359</v>
      </c>
      <c r="AA68" s="41" t="s">
        <v>3201</v>
      </c>
    </row>
    <row r="69" spans="1:27" ht="87.95" customHeight="1">
      <c r="A69" s="40" t="s">
        <v>286</v>
      </c>
      <c r="B69" s="40" t="s">
        <v>3687</v>
      </c>
      <c r="C69" s="40" t="s">
        <v>3688</v>
      </c>
      <c r="D69" s="40" t="s">
        <v>3203</v>
      </c>
      <c r="E69" s="40">
        <v>2</v>
      </c>
      <c r="F69" s="40" t="s">
        <v>1724</v>
      </c>
      <c r="G69" s="40" t="s">
        <v>1725</v>
      </c>
      <c r="H69" s="40" t="s">
        <v>3674</v>
      </c>
      <c r="I69" s="40" t="s">
        <v>3186</v>
      </c>
      <c r="J69" s="40" t="s">
        <v>3689</v>
      </c>
      <c r="K69" s="40" t="s">
        <v>3205</v>
      </c>
      <c r="L69" s="40" t="s">
        <v>3206</v>
      </c>
      <c r="M69" s="40" t="s">
        <v>3207</v>
      </c>
      <c r="N69" s="40" t="s">
        <v>3208</v>
      </c>
      <c r="O69" s="40" t="s">
        <v>3249</v>
      </c>
      <c r="P69" s="40" t="s">
        <v>3250</v>
      </c>
      <c r="Q69" s="40" t="s">
        <v>3251</v>
      </c>
      <c r="R69" s="40" t="s">
        <v>3252</v>
      </c>
      <c r="S69" s="40" t="s">
        <v>3213</v>
      </c>
      <c r="T69" s="40" t="s">
        <v>3214</v>
      </c>
      <c r="U69" s="40" t="s">
        <v>3215</v>
      </c>
      <c r="V69" s="40" t="s">
        <v>3216</v>
      </c>
      <c r="W69" s="40" t="s">
        <v>2734</v>
      </c>
      <c r="X69" s="40"/>
      <c r="Y69" s="46">
        <f t="shared" ref="Y69:Y100" si="4">LEN(J69)+LEN(L69)+LEN(M69)+LEN(P69)+LEN(Q69)+LEN(T69)+LEN(U69)</f>
        <v>376</v>
      </c>
      <c r="Z69" s="46">
        <f t="shared" ref="Z69:Z100" si="5">SUMIF($B$5:$B$124,B69,$Y$5:$Y$124)</f>
        <v>376</v>
      </c>
      <c r="AA69" s="40" t="s">
        <v>3201</v>
      </c>
    </row>
    <row r="70" spans="1:27" ht="87.95" customHeight="1">
      <c r="A70" s="41" t="s">
        <v>286</v>
      </c>
      <c r="B70" s="41" t="s">
        <v>2734</v>
      </c>
      <c r="C70" s="41" t="s">
        <v>3690</v>
      </c>
      <c r="D70" s="41" t="s">
        <v>1992</v>
      </c>
      <c r="E70" s="41">
        <v>3</v>
      </c>
      <c r="F70" s="41" t="s">
        <v>1724</v>
      </c>
      <c r="G70" s="41" t="s">
        <v>1725</v>
      </c>
      <c r="H70" s="41" t="s">
        <v>3674</v>
      </c>
      <c r="I70" s="41" t="s">
        <v>3186</v>
      </c>
      <c r="J70" s="41" t="s">
        <v>3691</v>
      </c>
      <c r="K70" s="41" t="s">
        <v>3255</v>
      </c>
      <c r="L70" s="41" t="s">
        <v>3256</v>
      </c>
      <c r="M70" s="41" t="s">
        <v>3257</v>
      </c>
      <c r="N70" s="41" t="s">
        <v>3258</v>
      </c>
      <c r="O70" s="41" t="s">
        <v>3259</v>
      </c>
      <c r="P70" s="41" t="s">
        <v>3260</v>
      </c>
      <c r="Q70" s="41" t="s">
        <v>3261</v>
      </c>
      <c r="R70" s="41" t="s">
        <v>3216</v>
      </c>
      <c r="S70" s="41" t="s">
        <v>3262</v>
      </c>
      <c r="T70" s="41" t="s">
        <v>3263</v>
      </c>
      <c r="U70" s="41" t="s">
        <v>3264</v>
      </c>
      <c r="V70" s="41" t="s">
        <v>3265</v>
      </c>
      <c r="W70" s="41" t="s">
        <v>3231</v>
      </c>
      <c r="X70" s="41"/>
      <c r="Y70" s="47">
        <f t="shared" si="4"/>
        <v>321</v>
      </c>
      <c r="Z70" s="47">
        <f t="shared" si="5"/>
        <v>321</v>
      </c>
      <c r="AA70" s="41" t="s">
        <v>3201</v>
      </c>
    </row>
    <row r="71" spans="1:27" ht="87.95" customHeight="1">
      <c r="A71" s="40" t="s">
        <v>292</v>
      </c>
      <c r="B71" s="40" t="s">
        <v>2740</v>
      </c>
      <c r="C71" s="40" t="s">
        <v>3692</v>
      </c>
      <c r="D71" s="40" t="s">
        <v>3184</v>
      </c>
      <c r="E71" s="40">
        <v>1</v>
      </c>
      <c r="F71" s="40" t="s">
        <v>1730</v>
      </c>
      <c r="G71" s="40" t="s">
        <v>1731</v>
      </c>
      <c r="H71" s="40" t="s">
        <v>3693</v>
      </c>
      <c r="I71" s="40" t="s">
        <v>3186</v>
      </c>
      <c r="J71" s="40" t="s">
        <v>3694</v>
      </c>
      <c r="K71" s="40" t="s">
        <v>3695</v>
      </c>
      <c r="L71" s="40" t="s">
        <v>3696</v>
      </c>
      <c r="M71" s="40" t="s">
        <v>3697</v>
      </c>
      <c r="N71" s="40" t="s">
        <v>3191</v>
      </c>
      <c r="O71" s="40" t="s">
        <v>3698</v>
      </c>
      <c r="P71" s="40" t="s">
        <v>3699</v>
      </c>
      <c r="Q71" s="40" t="s">
        <v>3700</v>
      </c>
      <c r="R71" s="40" t="s">
        <v>3195</v>
      </c>
      <c r="S71" s="40" t="s">
        <v>3701</v>
      </c>
      <c r="T71" s="40" t="s">
        <v>3702</v>
      </c>
      <c r="U71" s="40" t="s">
        <v>3703</v>
      </c>
      <c r="V71" s="40" t="s">
        <v>3704</v>
      </c>
      <c r="W71" s="40" t="s">
        <v>3705</v>
      </c>
      <c r="X71" s="40"/>
      <c r="Y71" s="46">
        <f t="shared" si="4"/>
        <v>455</v>
      </c>
      <c r="Z71" s="46">
        <f t="shared" si="5"/>
        <v>455</v>
      </c>
      <c r="AA71" s="40" t="s">
        <v>3201</v>
      </c>
    </row>
    <row r="72" spans="1:27" ht="87.95" customHeight="1">
      <c r="A72" s="41" t="s">
        <v>292</v>
      </c>
      <c r="B72" s="41" t="s">
        <v>3705</v>
      </c>
      <c r="C72" s="41" t="s">
        <v>3706</v>
      </c>
      <c r="D72" s="41" t="s">
        <v>3203</v>
      </c>
      <c r="E72" s="41">
        <v>2</v>
      </c>
      <c r="F72" s="41" t="s">
        <v>1730</v>
      </c>
      <c r="G72" s="41" t="s">
        <v>1731</v>
      </c>
      <c r="H72" s="41" t="s">
        <v>3693</v>
      </c>
      <c r="I72" s="41" t="s">
        <v>3186</v>
      </c>
      <c r="J72" s="41" t="s">
        <v>3707</v>
      </c>
      <c r="K72" s="41" t="s">
        <v>3205</v>
      </c>
      <c r="L72" s="41" t="s">
        <v>3206</v>
      </c>
      <c r="M72" s="41" t="s">
        <v>3207</v>
      </c>
      <c r="N72" s="41" t="s">
        <v>3208</v>
      </c>
      <c r="O72" s="41" t="s">
        <v>3249</v>
      </c>
      <c r="P72" s="41" t="s">
        <v>3250</v>
      </c>
      <c r="Q72" s="41" t="s">
        <v>3251</v>
      </c>
      <c r="R72" s="41" t="s">
        <v>3252</v>
      </c>
      <c r="S72" s="41" t="s">
        <v>3213</v>
      </c>
      <c r="T72" s="41" t="s">
        <v>3214</v>
      </c>
      <c r="U72" s="41" t="s">
        <v>3215</v>
      </c>
      <c r="V72" s="41" t="s">
        <v>3216</v>
      </c>
      <c r="W72" s="41" t="s">
        <v>2766</v>
      </c>
      <c r="X72" s="41"/>
      <c r="Y72" s="47">
        <f t="shared" si="4"/>
        <v>363</v>
      </c>
      <c r="Z72" s="47">
        <f t="shared" si="5"/>
        <v>363</v>
      </c>
      <c r="AA72" s="41" t="s">
        <v>3201</v>
      </c>
    </row>
    <row r="73" spans="1:27" ht="87.95" customHeight="1">
      <c r="A73" s="40" t="s">
        <v>292</v>
      </c>
      <c r="B73" s="40" t="s">
        <v>2766</v>
      </c>
      <c r="C73" s="40" t="s">
        <v>3708</v>
      </c>
      <c r="D73" s="40" t="s">
        <v>1992</v>
      </c>
      <c r="E73" s="40">
        <v>3</v>
      </c>
      <c r="F73" s="40" t="s">
        <v>1730</v>
      </c>
      <c r="G73" s="40" t="s">
        <v>1731</v>
      </c>
      <c r="H73" s="40" t="s">
        <v>3693</v>
      </c>
      <c r="I73" s="40" t="s">
        <v>3186</v>
      </c>
      <c r="J73" s="40" t="s">
        <v>3709</v>
      </c>
      <c r="K73" s="40" t="s">
        <v>3710</v>
      </c>
      <c r="L73" s="40" t="s">
        <v>3711</v>
      </c>
      <c r="M73" s="40" t="s">
        <v>3712</v>
      </c>
      <c r="N73" s="40" t="s">
        <v>3713</v>
      </c>
      <c r="O73" s="40" t="s">
        <v>3714</v>
      </c>
      <c r="P73" s="40" t="s">
        <v>3715</v>
      </c>
      <c r="Q73" s="40" t="s">
        <v>3716</v>
      </c>
      <c r="R73" s="40" t="s">
        <v>3717</v>
      </c>
      <c r="S73" s="40" t="s">
        <v>3718</v>
      </c>
      <c r="T73" s="40" t="s">
        <v>3719</v>
      </c>
      <c r="U73" s="40" t="s">
        <v>3720</v>
      </c>
      <c r="V73" s="40" t="s">
        <v>3721</v>
      </c>
      <c r="W73" s="40" t="s">
        <v>3231</v>
      </c>
      <c r="X73" s="40"/>
      <c r="Y73" s="46">
        <f t="shared" si="4"/>
        <v>350</v>
      </c>
      <c r="Z73" s="46">
        <f t="shared" si="5"/>
        <v>350</v>
      </c>
      <c r="AA73" s="40" t="s">
        <v>3201</v>
      </c>
    </row>
    <row r="74" spans="1:27" ht="87.95" customHeight="1">
      <c r="A74" s="41" t="s">
        <v>298</v>
      </c>
      <c r="B74" s="41" t="s">
        <v>2774</v>
      </c>
      <c r="C74" s="41" t="s">
        <v>3722</v>
      </c>
      <c r="D74" s="41" t="s">
        <v>3184</v>
      </c>
      <c r="E74" s="41">
        <v>1</v>
      </c>
      <c r="F74" s="41" t="s">
        <v>1738</v>
      </c>
      <c r="G74" s="41" t="s">
        <v>1739</v>
      </c>
      <c r="H74" s="41" t="s">
        <v>3723</v>
      </c>
      <c r="I74" s="41" t="s">
        <v>3186</v>
      </c>
      <c r="J74" s="41" t="s">
        <v>3724</v>
      </c>
      <c r="K74" s="41" t="s">
        <v>3725</v>
      </c>
      <c r="L74" s="41" t="s">
        <v>3726</v>
      </c>
      <c r="M74" s="41" t="s">
        <v>3727</v>
      </c>
      <c r="N74" s="41" t="s">
        <v>3191</v>
      </c>
      <c r="O74" s="41" t="s">
        <v>3728</v>
      </c>
      <c r="P74" s="41" t="s">
        <v>3729</v>
      </c>
      <c r="Q74" s="41" t="s">
        <v>3730</v>
      </c>
      <c r="R74" s="41" t="s">
        <v>3275</v>
      </c>
      <c r="S74" s="41" t="s">
        <v>3731</v>
      </c>
      <c r="T74" s="41" t="s">
        <v>3732</v>
      </c>
      <c r="U74" s="41" t="s">
        <v>3733</v>
      </c>
      <c r="V74" s="41" t="s">
        <v>3734</v>
      </c>
      <c r="W74" s="41" t="s">
        <v>3735</v>
      </c>
      <c r="X74" s="41"/>
      <c r="Y74" s="47">
        <f t="shared" si="4"/>
        <v>439</v>
      </c>
      <c r="Z74" s="47">
        <f t="shared" si="5"/>
        <v>439</v>
      </c>
      <c r="AA74" s="41" t="s">
        <v>3201</v>
      </c>
    </row>
    <row r="75" spans="1:27" ht="87.95" customHeight="1">
      <c r="A75" s="40" t="s">
        <v>298</v>
      </c>
      <c r="B75" s="40" t="s">
        <v>3735</v>
      </c>
      <c r="C75" s="40" t="s">
        <v>3736</v>
      </c>
      <c r="D75" s="40" t="s">
        <v>3203</v>
      </c>
      <c r="E75" s="40">
        <v>2</v>
      </c>
      <c r="F75" s="40" t="s">
        <v>1738</v>
      </c>
      <c r="G75" s="40" t="s">
        <v>1739</v>
      </c>
      <c r="H75" s="40" t="s">
        <v>3723</v>
      </c>
      <c r="I75" s="40" t="s">
        <v>3186</v>
      </c>
      <c r="J75" s="40" t="s">
        <v>3737</v>
      </c>
      <c r="K75" s="40" t="s">
        <v>3205</v>
      </c>
      <c r="L75" s="40" t="s">
        <v>3206</v>
      </c>
      <c r="M75" s="40" t="s">
        <v>3207</v>
      </c>
      <c r="N75" s="40" t="s">
        <v>3208</v>
      </c>
      <c r="O75" s="40" t="s">
        <v>3249</v>
      </c>
      <c r="P75" s="40" t="s">
        <v>3250</v>
      </c>
      <c r="Q75" s="40" t="s">
        <v>3251</v>
      </c>
      <c r="R75" s="40" t="s">
        <v>3252</v>
      </c>
      <c r="S75" s="40" t="s">
        <v>3213</v>
      </c>
      <c r="T75" s="40" t="s">
        <v>3214</v>
      </c>
      <c r="U75" s="40" t="s">
        <v>3215</v>
      </c>
      <c r="V75" s="40" t="s">
        <v>3216</v>
      </c>
      <c r="W75" s="40" t="s">
        <v>2803</v>
      </c>
      <c r="X75" s="40"/>
      <c r="Y75" s="46">
        <f t="shared" si="4"/>
        <v>416</v>
      </c>
      <c r="Z75" s="46">
        <f t="shared" si="5"/>
        <v>416</v>
      </c>
      <c r="AA75" s="40" t="s">
        <v>3201</v>
      </c>
    </row>
    <row r="76" spans="1:27" ht="87.95" customHeight="1">
      <c r="A76" s="41" t="s">
        <v>298</v>
      </c>
      <c r="B76" s="41" t="s">
        <v>2803</v>
      </c>
      <c r="C76" s="41" t="s">
        <v>3738</v>
      </c>
      <c r="D76" s="41" t="s">
        <v>1992</v>
      </c>
      <c r="E76" s="41">
        <v>3</v>
      </c>
      <c r="F76" s="41" t="s">
        <v>1738</v>
      </c>
      <c r="G76" s="41" t="s">
        <v>1739</v>
      </c>
      <c r="H76" s="41" t="s">
        <v>3723</v>
      </c>
      <c r="I76" s="41" t="s">
        <v>3186</v>
      </c>
      <c r="J76" s="41" t="s">
        <v>3739</v>
      </c>
      <c r="K76" s="41" t="s">
        <v>3255</v>
      </c>
      <c r="L76" s="41" t="s">
        <v>3256</v>
      </c>
      <c r="M76" s="41" t="s">
        <v>3257</v>
      </c>
      <c r="N76" s="41" t="s">
        <v>3258</v>
      </c>
      <c r="O76" s="41" t="s">
        <v>3259</v>
      </c>
      <c r="P76" s="41" t="s">
        <v>3260</v>
      </c>
      <c r="Q76" s="41" t="s">
        <v>3261</v>
      </c>
      <c r="R76" s="41" t="s">
        <v>3216</v>
      </c>
      <c r="S76" s="41" t="s">
        <v>3262</v>
      </c>
      <c r="T76" s="41" t="s">
        <v>3263</v>
      </c>
      <c r="U76" s="41" t="s">
        <v>3264</v>
      </c>
      <c r="V76" s="41" t="s">
        <v>3265</v>
      </c>
      <c r="W76" s="41" t="s">
        <v>3231</v>
      </c>
      <c r="X76" s="41"/>
      <c r="Y76" s="47">
        <f t="shared" si="4"/>
        <v>354</v>
      </c>
      <c r="Z76" s="47">
        <f t="shared" si="5"/>
        <v>354</v>
      </c>
      <c r="AA76" s="41" t="s">
        <v>3201</v>
      </c>
    </row>
    <row r="77" spans="1:27" ht="87.95" customHeight="1">
      <c r="A77" s="40" t="s">
        <v>305</v>
      </c>
      <c r="B77" s="40" t="s">
        <v>2809</v>
      </c>
      <c r="C77" s="40" t="s">
        <v>3740</v>
      </c>
      <c r="D77" s="40" t="s">
        <v>3184</v>
      </c>
      <c r="E77" s="40">
        <v>1</v>
      </c>
      <c r="F77" s="40" t="s">
        <v>1746</v>
      </c>
      <c r="G77" s="40" t="s">
        <v>1747</v>
      </c>
      <c r="H77" s="40" t="s">
        <v>3741</v>
      </c>
      <c r="I77" s="40" t="s">
        <v>3186</v>
      </c>
      <c r="J77" s="40" t="s">
        <v>3742</v>
      </c>
      <c r="K77" s="40" t="s">
        <v>3743</v>
      </c>
      <c r="L77" s="40" t="s">
        <v>3744</v>
      </c>
      <c r="M77" s="40" t="s">
        <v>3745</v>
      </c>
      <c r="N77" s="40" t="s">
        <v>3191</v>
      </c>
      <c r="O77" s="40" t="s">
        <v>3746</v>
      </c>
      <c r="P77" s="40" t="s">
        <v>3747</v>
      </c>
      <c r="Q77" s="40" t="s">
        <v>3748</v>
      </c>
      <c r="R77" s="40" t="s">
        <v>3749</v>
      </c>
      <c r="S77" s="40" t="s">
        <v>3750</v>
      </c>
      <c r="T77" s="40" t="s">
        <v>3751</v>
      </c>
      <c r="U77" s="40" t="s">
        <v>3752</v>
      </c>
      <c r="V77" s="40" t="s">
        <v>3753</v>
      </c>
      <c r="W77" s="40" t="s">
        <v>3754</v>
      </c>
      <c r="X77" s="40"/>
      <c r="Y77" s="46">
        <f t="shared" si="4"/>
        <v>504</v>
      </c>
      <c r="Z77" s="46">
        <f t="shared" si="5"/>
        <v>504</v>
      </c>
      <c r="AA77" s="40" t="s">
        <v>3201</v>
      </c>
    </row>
    <row r="78" spans="1:27" ht="87.95" customHeight="1">
      <c r="A78" s="41" t="s">
        <v>305</v>
      </c>
      <c r="B78" s="41" t="s">
        <v>3754</v>
      </c>
      <c r="C78" s="41" t="s">
        <v>3755</v>
      </c>
      <c r="D78" s="41" t="s">
        <v>3203</v>
      </c>
      <c r="E78" s="41">
        <v>2</v>
      </c>
      <c r="F78" s="41" t="s">
        <v>1746</v>
      </c>
      <c r="G78" s="41" t="s">
        <v>1747</v>
      </c>
      <c r="H78" s="41" t="s">
        <v>3741</v>
      </c>
      <c r="I78" s="41" t="s">
        <v>3186</v>
      </c>
      <c r="J78" s="41" t="s">
        <v>3756</v>
      </c>
      <c r="K78" s="41" t="s">
        <v>3205</v>
      </c>
      <c r="L78" s="41" t="s">
        <v>3206</v>
      </c>
      <c r="M78" s="41" t="s">
        <v>3207</v>
      </c>
      <c r="N78" s="41" t="s">
        <v>3208</v>
      </c>
      <c r="O78" s="41" t="s">
        <v>3249</v>
      </c>
      <c r="P78" s="41" t="s">
        <v>3250</v>
      </c>
      <c r="Q78" s="41" t="s">
        <v>3251</v>
      </c>
      <c r="R78" s="41" t="s">
        <v>3252</v>
      </c>
      <c r="S78" s="41" t="s">
        <v>3213</v>
      </c>
      <c r="T78" s="41" t="s">
        <v>3214</v>
      </c>
      <c r="U78" s="41" t="s">
        <v>3215</v>
      </c>
      <c r="V78" s="41" t="s">
        <v>3216</v>
      </c>
      <c r="W78" s="41" t="s">
        <v>2839</v>
      </c>
      <c r="X78" s="41"/>
      <c r="Y78" s="47">
        <f t="shared" si="4"/>
        <v>380</v>
      </c>
      <c r="Z78" s="47">
        <f t="shared" si="5"/>
        <v>380</v>
      </c>
      <c r="AA78" s="41" t="s">
        <v>3201</v>
      </c>
    </row>
    <row r="79" spans="1:27" ht="87.95" customHeight="1">
      <c r="A79" s="40" t="s">
        <v>305</v>
      </c>
      <c r="B79" s="40" t="s">
        <v>2839</v>
      </c>
      <c r="C79" s="40" t="s">
        <v>3757</v>
      </c>
      <c r="D79" s="40" t="s">
        <v>1992</v>
      </c>
      <c r="E79" s="40">
        <v>3</v>
      </c>
      <c r="F79" s="40" t="s">
        <v>1746</v>
      </c>
      <c r="G79" s="40" t="s">
        <v>1747</v>
      </c>
      <c r="H79" s="40" t="s">
        <v>3741</v>
      </c>
      <c r="I79" s="40" t="s">
        <v>3186</v>
      </c>
      <c r="J79" s="40" t="s">
        <v>3758</v>
      </c>
      <c r="K79" s="40" t="s">
        <v>3255</v>
      </c>
      <c r="L79" s="40" t="s">
        <v>3256</v>
      </c>
      <c r="M79" s="40" t="s">
        <v>3257</v>
      </c>
      <c r="N79" s="40" t="s">
        <v>3258</v>
      </c>
      <c r="O79" s="40" t="s">
        <v>3259</v>
      </c>
      <c r="P79" s="40" t="s">
        <v>3260</v>
      </c>
      <c r="Q79" s="40" t="s">
        <v>3261</v>
      </c>
      <c r="R79" s="40" t="s">
        <v>3216</v>
      </c>
      <c r="S79" s="40" t="s">
        <v>3262</v>
      </c>
      <c r="T79" s="40" t="s">
        <v>3263</v>
      </c>
      <c r="U79" s="40" t="s">
        <v>3264</v>
      </c>
      <c r="V79" s="40" t="s">
        <v>3265</v>
      </c>
      <c r="W79" s="40" t="s">
        <v>3231</v>
      </c>
      <c r="X79" s="40"/>
      <c r="Y79" s="46">
        <f t="shared" si="4"/>
        <v>351</v>
      </c>
      <c r="Z79" s="46">
        <f t="shared" si="5"/>
        <v>351</v>
      </c>
      <c r="AA79" s="40" t="s">
        <v>3201</v>
      </c>
    </row>
    <row r="80" spans="1:27" ht="87.95" customHeight="1">
      <c r="A80" s="41" t="s">
        <v>312</v>
      </c>
      <c r="B80" s="41" t="s">
        <v>2845</v>
      </c>
      <c r="C80" s="41" t="s">
        <v>3759</v>
      </c>
      <c r="D80" s="41" t="s">
        <v>3184</v>
      </c>
      <c r="E80" s="41">
        <v>1</v>
      </c>
      <c r="F80" s="41" t="s">
        <v>1754</v>
      </c>
      <c r="G80" s="41" t="s">
        <v>1755</v>
      </c>
      <c r="H80" s="41" t="s">
        <v>3760</v>
      </c>
      <c r="I80" s="41" t="s">
        <v>3186</v>
      </c>
      <c r="J80" s="41" t="s">
        <v>3761</v>
      </c>
      <c r="K80" s="41" t="s">
        <v>3762</v>
      </c>
      <c r="L80" s="41" t="s">
        <v>3763</v>
      </c>
      <c r="M80" s="41" t="s">
        <v>3764</v>
      </c>
      <c r="N80" s="41" t="s">
        <v>3191</v>
      </c>
      <c r="O80" s="41" t="s">
        <v>3765</v>
      </c>
      <c r="P80" s="41" t="s">
        <v>3766</v>
      </c>
      <c r="Q80" s="41" t="s">
        <v>3767</v>
      </c>
      <c r="R80" s="41" t="s">
        <v>3768</v>
      </c>
      <c r="S80" s="41" t="s">
        <v>3769</v>
      </c>
      <c r="T80" s="41" t="s">
        <v>3770</v>
      </c>
      <c r="U80" s="41" t="s">
        <v>3771</v>
      </c>
      <c r="V80" s="41" t="s">
        <v>3772</v>
      </c>
      <c r="W80" s="41" t="s">
        <v>3773</v>
      </c>
      <c r="X80" s="41"/>
      <c r="Y80" s="47">
        <f t="shared" si="4"/>
        <v>570</v>
      </c>
      <c r="Z80" s="47">
        <f t="shared" si="5"/>
        <v>570</v>
      </c>
      <c r="AA80" s="41" t="s">
        <v>3201</v>
      </c>
    </row>
    <row r="81" spans="1:27" ht="87.95" customHeight="1">
      <c r="A81" s="40" t="s">
        <v>312</v>
      </c>
      <c r="B81" s="40" t="s">
        <v>3773</v>
      </c>
      <c r="C81" s="40" t="s">
        <v>3774</v>
      </c>
      <c r="D81" s="40" t="s">
        <v>3203</v>
      </c>
      <c r="E81" s="40">
        <v>2</v>
      </c>
      <c r="F81" s="40" t="s">
        <v>1754</v>
      </c>
      <c r="G81" s="40" t="s">
        <v>1755</v>
      </c>
      <c r="H81" s="40" t="s">
        <v>3760</v>
      </c>
      <c r="I81" s="40" t="s">
        <v>3186</v>
      </c>
      <c r="J81" s="40" t="s">
        <v>3775</v>
      </c>
      <c r="K81" s="40" t="s">
        <v>3205</v>
      </c>
      <c r="L81" s="40" t="s">
        <v>3206</v>
      </c>
      <c r="M81" s="40" t="s">
        <v>3207</v>
      </c>
      <c r="N81" s="40" t="s">
        <v>3208</v>
      </c>
      <c r="O81" s="40" t="s">
        <v>3776</v>
      </c>
      <c r="P81" s="40" t="s">
        <v>3777</v>
      </c>
      <c r="Q81" s="40" t="s">
        <v>3778</v>
      </c>
      <c r="R81" s="40" t="s">
        <v>3779</v>
      </c>
      <c r="S81" s="40" t="s">
        <v>3213</v>
      </c>
      <c r="T81" s="40" t="s">
        <v>3214</v>
      </c>
      <c r="U81" s="40" t="s">
        <v>3215</v>
      </c>
      <c r="V81" s="40" t="s">
        <v>3216</v>
      </c>
      <c r="W81" s="40" t="s">
        <v>2867</v>
      </c>
      <c r="X81" s="40"/>
      <c r="Y81" s="46">
        <f t="shared" si="4"/>
        <v>506</v>
      </c>
      <c r="Z81" s="46">
        <f t="shared" si="5"/>
        <v>506</v>
      </c>
      <c r="AA81" s="40" t="s">
        <v>3201</v>
      </c>
    </row>
    <row r="82" spans="1:27" ht="87.95" customHeight="1">
      <c r="A82" s="41" t="s">
        <v>312</v>
      </c>
      <c r="B82" s="41" t="s">
        <v>2867</v>
      </c>
      <c r="C82" s="41" t="s">
        <v>3780</v>
      </c>
      <c r="D82" s="41" t="s">
        <v>1992</v>
      </c>
      <c r="E82" s="41">
        <v>3</v>
      </c>
      <c r="F82" s="41" t="s">
        <v>1754</v>
      </c>
      <c r="G82" s="41" t="s">
        <v>1755</v>
      </c>
      <c r="H82" s="41" t="s">
        <v>3760</v>
      </c>
      <c r="I82" s="41" t="s">
        <v>3186</v>
      </c>
      <c r="J82" s="41" t="s">
        <v>3781</v>
      </c>
      <c r="K82" s="41" t="s">
        <v>3255</v>
      </c>
      <c r="L82" s="41" t="s">
        <v>3256</v>
      </c>
      <c r="M82" s="41" t="s">
        <v>3257</v>
      </c>
      <c r="N82" s="41" t="s">
        <v>3258</v>
      </c>
      <c r="O82" s="41" t="s">
        <v>3259</v>
      </c>
      <c r="P82" s="41" t="s">
        <v>3260</v>
      </c>
      <c r="Q82" s="41" t="s">
        <v>3261</v>
      </c>
      <c r="R82" s="41" t="s">
        <v>3216</v>
      </c>
      <c r="S82" s="41" t="s">
        <v>3262</v>
      </c>
      <c r="T82" s="41" t="s">
        <v>3263</v>
      </c>
      <c r="U82" s="41" t="s">
        <v>3264</v>
      </c>
      <c r="V82" s="41" t="s">
        <v>3265</v>
      </c>
      <c r="W82" s="41" t="s">
        <v>3231</v>
      </c>
      <c r="X82" s="41"/>
      <c r="Y82" s="47">
        <f t="shared" si="4"/>
        <v>351</v>
      </c>
      <c r="Z82" s="47">
        <f t="shared" si="5"/>
        <v>351</v>
      </c>
      <c r="AA82" s="41" t="s">
        <v>3201</v>
      </c>
    </row>
    <row r="83" spans="1:27" ht="87.95" customHeight="1">
      <c r="A83" s="40" t="s">
        <v>474</v>
      </c>
      <c r="B83" s="40" t="s">
        <v>2875</v>
      </c>
      <c r="C83" s="40" t="s">
        <v>3782</v>
      </c>
      <c r="D83" s="40" t="s">
        <v>3184</v>
      </c>
      <c r="E83" s="40">
        <v>1</v>
      </c>
      <c r="F83" s="40" t="s">
        <v>1761</v>
      </c>
      <c r="G83" s="40" t="s">
        <v>1762</v>
      </c>
      <c r="H83" s="40" t="s">
        <v>3783</v>
      </c>
      <c r="I83" s="40" t="s">
        <v>3186</v>
      </c>
      <c r="J83" s="40" t="s">
        <v>3784</v>
      </c>
      <c r="K83" s="40" t="s">
        <v>3785</v>
      </c>
      <c r="L83" s="40" t="s">
        <v>3786</v>
      </c>
      <c r="M83" s="40" t="s">
        <v>3787</v>
      </c>
      <c r="N83" s="40" t="s">
        <v>3191</v>
      </c>
      <c r="O83" s="40" t="s">
        <v>3788</v>
      </c>
      <c r="P83" s="40" t="s">
        <v>3789</v>
      </c>
      <c r="Q83" s="40" t="s">
        <v>3790</v>
      </c>
      <c r="R83" s="40" t="s">
        <v>3791</v>
      </c>
      <c r="S83" s="40" t="s">
        <v>3792</v>
      </c>
      <c r="T83" s="40" t="s">
        <v>3793</v>
      </c>
      <c r="U83" s="40" t="s">
        <v>3794</v>
      </c>
      <c r="V83" s="40" t="s">
        <v>3795</v>
      </c>
      <c r="W83" s="40" t="s">
        <v>3796</v>
      </c>
      <c r="X83" s="40"/>
      <c r="Y83" s="46">
        <f t="shared" si="4"/>
        <v>457</v>
      </c>
      <c r="Z83" s="46">
        <f t="shared" si="5"/>
        <v>457</v>
      </c>
      <c r="AA83" s="40" t="s">
        <v>3201</v>
      </c>
    </row>
    <row r="84" spans="1:27" ht="87.95" customHeight="1">
      <c r="A84" s="41" t="s">
        <v>474</v>
      </c>
      <c r="B84" s="41" t="s">
        <v>3796</v>
      </c>
      <c r="C84" s="41" t="s">
        <v>3797</v>
      </c>
      <c r="D84" s="41" t="s">
        <v>3203</v>
      </c>
      <c r="E84" s="41">
        <v>2</v>
      </c>
      <c r="F84" s="41" t="s">
        <v>1761</v>
      </c>
      <c r="G84" s="41" t="s">
        <v>1762</v>
      </c>
      <c r="H84" s="41" t="s">
        <v>3783</v>
      </c>
      <c r="I84" s="41" t="s">
        <v>3186</v>
      </c>
      <c r="J84" s="41" t="s">
        <v>3798</v>
      </c>
      <c r="K84" s="41" t="s">
        <v>3205</v>
      </c>
      <c r="L84" s="41" t="s">
        <v>3206</v>
      </c>
      <c r="M84" s="41" t="s">
        <v>3207</v>
      </c>
      <c r="N84" s="41" t="s">
        <v>3208</v>
      </c>
      <c r="O84" s="41" t="s">
        <v>3249</v>
      </c>
      <c r="P84" s="41" t="s">
        <v>3250</v>
      </c>
      <c r="Q84" s="41" t="s">
        <v>3251</v>
      </c>
      <c r="R84" s="41" t="s">
        <v>3252</v>
      </c>
      <c r="S84" s="41" t="s">
        <v>3213</v>
      </c>
      <c r="T84" s="41" t="s">
        <v>3214</v>
      </c>
      <c r="U84" s="41" t="s">
        <v>3215</v>
      </c>
      <c r="V84" s="41" t="s">
        <v>3216</v>
      </c>
      <c r="W84" s="41" t="s">
        <v>2903</v>
      </c>
      <c r="X84" s="41"/>
      <c r="Y84" s="47">
        <f t="shared" si="4"/>
        <v>357</v>
      </c>
      <c r="Z84" s="47">
        <f t="shared" si="5"/>
        <v>357</v>
      </c>
      <c r="AA84" s="41" t="s">
        <v>3201</v>
      </c>
    </row>
    <row r="85" spans="1:27" ht="87.95" customHeight="1">
      <c r="A85" s="40" t="s">
        <v>474</v>
      </c>
      <c r="B85" s="40" t="s">
        <v>2903</v>
      </c>
      <c r="C85" s="40" t="s">
        <v>3799</v>
      </c>
      <c r="D85" s="40" t="s">
        <v>1992</v>
      </c>
      <c r="E85" s="40">
        <v>3</v>
      </c>
      <c r="F85" s="40" t="s">
        <v>1761</v>
      </c>
      <c r="G85" s="40" t="s">
        <v>1762</v>
      </c>
      <c r="H85" s="40" t="s">
        <v>3783</v>
      </c>
      <c r="I85" s="40" t="s">
        <v>3186</v>
      </c>
      <c r="J85" s="40" t="s">
        <v>3800</v>
      </c>
      <c r="K85" s="40" t="s">
        <v>3255</v>
      </c>
      <c r="L85" s="40" t="s">
        <v>3256</v>
      </c>
      <c r="M85" s="40" t="s">
        <v>3257</v>
      </c>
      <c r="N85" s="40" t="s">
        <v>3258</v>
      </c>
      <c r="O85" s="40" t="s">
        <v>3259</v>
      </c>
      <c r="P85" s="40" t="s">
        <v>3260</v>
      </c>
      <c r="Q85" s="40" t="s">
        <v>3261</v>
      </c>
      <c r="R85" s="40" t="s">
        <v>3216</v>
      </c>
      <c r="S85" s="40" t="s">
        <v>3262</v>
      </c>
      <c r="T85" s="40" t="s">
        <v>3263</v>
      </c>
      <c r="U85" s="40" t="s">
        <v>3264</v>
      </c>
      <c r="V85" s="40" t="s">
        <v>3265</v>
      </c>
      <c r="W85" s="40" t="s">
        <v>3231</v>
      </c>
      <c r="X85" s="40"/>
      <c r="Y85" s="46">
        <f t="shared" si="4"/>
        <v>311</v>
      </c>
      <c r="Z85" s="46">
        <f t="shared" si="5"/>
        <v>311</v>
      </c>
      <c r="AA85" s="40" t="s">
        <v>3201</v>
      </c>
    </row>
    <row r="86" spans="1:27" ht="87.95" customHeight="1">
      <c r="A86" s="41" t="s">
        <v>481</v>
      </c>
      <c r="B86" s="41" t="s">
        <v>2914</v>
      </c>
      <c r="C86" s="41" t="s">
        <v>3801</v>
      </c>
      <c r="D86" s="41" t="s">
        <v>3184</v>
      </c>
      <c r="E86" s="41">
        <v>1</v>
      </c>
      <c r="F86" s="41" t="s">
        <v>1761</v>
      </c>
      <c r="G86" s="41" t="s">
        <v>1762</v>
      </c>
      <c r="H86" s="41" t="s">
        <v>3783</v>
      </c>
      <c r="I86" s="41" t="s">
        <v>3186</v>
      </c>
      <c r="J86" s="41" t="s">
        <v>3802</v>
      </c>
      <c r="K86" s="41" t="s">
        <v>3803</v>
      </c>
      <c r="L86" s="41" t="s">
        <v>3804</v>
      </c>
      <c r="M86" s="41" t="s">
        <v>3805</v>
      </c>
      <c r="N86" s="41" t="s">
        <v>3191</v>
      </c>
      <c r="O86" s="41" t="s">
        <v>3806</v>
      </c>
      <c r="P86" s="41" t="s">
        <v>3807</v>
      </c>
      <c r="Q86" s="41" t="s">
        <v>3808</v>
      </c>
      <c r="R86" s="41" t="s">
        <v>3809</v>
      </c>
      <c r="S86" s="41" t="s">
        <v>3810</v>
      </c>
      <c r="T86" s="41" t="s">
        <v>3811</v>
      </c>
      <c r="U86" s="41" t="s">
        <v>3812</v>
      </c>
      <c r="V86" s="41" t="s">
        <v>3813</v>
      </c>
      <c r="W86" s="41" t="s">
        <v>3814</v>
      </c>
      <c r="X86" s="41"/>
      <c r="Y86" s="47">
        <f t="shared" si="4"/>
        <v>345</v>
      </c>
      <c r="Z86" s="47">
        <f t="shared" si="5"/>
        <v>345</v>
      </c>
      <c r="AA86" s="41" t="s">
        <v>3201</v>
      </c>
    </row>
    <row r="87" spans="1:27" ht="87.95" customHeight="1">
      <c r="A87" s="40" t="s">
        <v>481</v>
      </c>
      <c r="B87" s="40" t="s">
        <v>3814</v>
      </c>
      <c r="C87" s="40" t="s">
        <v>3815</v>
      </c>
      <c r="D87" s="40" t="s">
        <v>3203</v>
      </c>
      <c r="E87" s="40">
        <v>2</v>
      </c>
      <c r="F87" s="40" t="s">
        <v>1761</v>
      </c>
      <c r="G87" s="40" t="s">
        <v>1762</v>
      </c>
      <c r="H87" s="40" t="s">
        <v>3783</v>
      </c>
      <c r="I87" s="40" t="s">
        <v>3186</v>
      </c>
      <c r="J87" s="40" t="s">
        <v>3816</v>
      </c>
      <c r="K87" s="40" t="s">
        <v>3205</v>
      </c>
      <c r="L87" s="40" t="s">
        <v>3206</v>
      </c>
      <c r="M87" s="40" t="s">
        <v>3207</v>
      </c>
      <c r="N87" s="40" t="s">
        <v>3208</v>
      </c>
      <c r="O87" s="40" t="s">
        <v>3249</v>
      </c>
      <c r="P87" s="40" t="s">
        <v>3250</v>
      </c>
      <c r="Q87" s="40" t="s">
        <v>3251</v>
      </c>
      <c r="R87" s="40" t="s">
        <v>3252</v>
      </c>
      <c r="S87" s="40" t="s">
        <v>3213</v>
      </c>
      <c r="T87" s="40" t="s">
        <v>3214</v>
      </c>
      <c r="U87" s="40" t="s">
        <v>3215</v>
      </c>
      <c r="V87" s="40" t="s">
        <v>3216</v>
      </c>
      <c r="W87" s="40" t="s">
        <v>2927</v>
      </c>
      <c r="X87" s="40"/>
      <c r="Y87" s="46">
        <f t="shared" si="4"/>
        <v>316</v>
      </c>
      <c r="Z87" s="46">
        <f t="shared" si="5"/>
        <v>316</v>
      </c>
      <c r="AA87" s="40" t="s">
        <v>3201</v>
      </c>
    </row>
    <row r="88" spans="1:27" ht="87.95" customHeight="1">
      <c r="A88" s="41" t="s">
        <v>481</v>
      </c>
      <c r="B88" s="41" t="s">
        <v>2927</v>
      </c>
      <c r="C88" s="41" t="s">
        <v>3817</v>
      </c>
      <c r="D88" s="41" t="s">
        <v>1992</v>
      </c>
      <c r="E88" s="41">
        <v>3</v>
      </c>
      <c r="F88" s="41" t="s">
        <v>1761</v>
      </c>
      <c r="G88" s="41" t="s">
        <v>1762</v>
      </c>
      <c r="H88" s="41" t="s">
        <v>3783</v>
      </c>
      <c r="I88" s="41" t="s">
        <v>3186</v>
      </c>
      <c r="J88" s="41" t="s">
        <v>3818</v>
      </c>
      <c r="K88" s="41" t="s">
        <v>3255</v>
      </c>
      <c r="L88" s="41" t="s">
        <v>3256</v>
      </c>
      <c r="M88" s="41" t="s">
        <v>3257</v>
      </c>
      <c r="N88" s="41" t="s">
        <v>3258</v>
      </c>
      <c r="O88" s="41" t="s">
        <v>3259</v>
      </c>
      <c r="P88" s="41" t="s">
        <v>3260</v>
      </c>
      <c r="Q88" s="41" t="s">
        <v>3261</v>
      </c>
      <c r="R88" s="41" t="s">
        <v>3216</v>
      </c>
      <c r="S88" s="41" t="s">
        <v>3262</v>
      </c>
      <c r="T88" s="41" t="s">
        <v>3263</v>
      </c>
      <c r="U88" s="41" t="s">
        <v>3264</v>
      </c>
      <c r="V88" s="41" t="s">
        <v>3265</v>
      </c>
      <c r="W88" s="41" t="s">
        <v>3231</v>
      </c>
      <c r="X88" s="41"/>
      <c r="Y88" s="47">
        <f t="shared" si="4"/>
        <v>321</v>
      </c>
      <c r="Z88" s="47">
        <f t="shared" si="5"/>
        <v>321</v>
      </c>
      <c r="AA88" s="41" t="s">
        <v>3201</v>
      </c>
    </row>
    <row r="89" spans="1:27" ht="87.95" customHeight="1">
      <c r="A89" s="40" t="s">
        <v>486</v>
      </c>
      <c r="B89" s="40" t="s">
        <v>2933</v>
      </c>
      <c r="C89" s="40" t="s">
        <v>3819</v>
      </c>
      <c r="D89" s="40" t="s">
        <v>3184</v>
      </c>
      <c r="E89" s="40">
        <v>1</v>
      </c>
      <c r="F89" s="40" t="s">
        <v>1761</v>
      </c>
      <c r="G89" s="40" t="s">
        <v>1762</v>
      </c>
      <c r="H89" s="40" t="s">
        <v>3783</v>
      </c>
      <c r="I89" s="40" t="s">
        <v>3186</v>
      </c>
      <c r="J89" s="40" t="s">
        <v>3820</v>
      </c>
      <c r="K89" s="40" t="s">
        <v>3821</v>
      </c>
      <c r="L89" s="40" t="s">
        <v>3822</v>
      </c>
      <c r="M89" s="40" t="s">
        <v>3823</v>
      </c>
      <c r="N89" s="40" t="s">
        <v>3191</v>
      </c>
      <c r="O89" s="40" t="s">
        <v>3824</v>
      </c>
      <c r="P89" s="40" t="s">
        <v>3825</v>
      </c>
      <c r="Q89" s="40" t="s">
        <v>3826</v>
      </c>
      <c r="R89" s="40" t="s">
        <v>3827</v>
      </c>
      <c r="S89" s="40" t="s">
        <v>3828</v>
      </c>
      <c r="T89" s="40" t="s">
        <v>3829</v>
      </c>
      <c r="U89" s="40" t="s">
        <v>3830</v>
      </c>
      <c r="V89" s="40" t="s">
        <v>3831</v>
      </c>
      <c r="W89" s="40" t="s">
        <v>3832</v>
      </c>
      <c r="X89" s="40"/>
      <c r="Y89" s="46">
        <f t="shared" si="4"/>
        <v>464</v>
      </c>
      <c r="Z89" s="46">
        <f t="shared" si="5"/>
        <v>464</v>
      </c>
      <c r="AA89" s="40" t="s">
        <v>3201</v>
      </c>
    </row>
    <row r="90" spans="1:27" ht="87.95" customHeight="1">
      <c r="A90" s="41" t="s">
        <v>486</v>
      </c>
      <c r="B90" s="41" t="s">
        <v>3832</v>
      </c>
      <c r="C90" s="41" t="s">
        <v>3833</v>
      </c>
      <c r="D90" s="41" t="s">
        <v>3203</v>
      </c>
      <c r="E90" s="41">
        <v>2</v>
      </c>
      <c r="F90" s="41" t="s">
        <v>1761</v>
      </c>
      <c r="G90" s="41" t="s">
        <v>1762</v>
      </c>
      <c r="H90" s="41" t="s">
        <v>3783</v>
      </c>
      <c r="I90" s="41" t="s">
        <v>3186</v>
      </c>
      <c r="J90" s="41" t="s">
        <v>3834</v>
      </c>
      <c r="K90" s="41" t="s">
        <v>3205</v>
      </c>
      <c r="L90" s="41" t="s">
        <v>3206</v>
      </c>
      <c r="M90" s="41" t="s">
        <v>3207</v>
      </c>
      <c r="N90" s="41" t="s">
        <v>3208</v>
      </c>
      <c r="O90" s="41" t="s">
        <v>3249</v>
      </c>
      <c r="P90" s="41" t="s">
        <v>3250</v>
      </c>
      <c r="Q90" s="41" t="s">
        <v>3251</v>
      </c>
      <c r="R90" s="41" t="s">
        <v>3252</v>
      </c>
      <c r="S90" s="41" t="s">
        <v>3213</v>
      </c>
      <c r="T90" s="41" t="s">
        <v>3214</v>
      </c>
      <c r="U90" s="41" t="s">
        <v>3215</v>
      </c>
      <c r="V90" s="41" t="s">
        <v>3216</v>
      </c>
      <c r="W90" s="41" t="s">
        <v>2950</v>
      </c>
      <c r="X90" s="41"/>
      <c r="Y90" s="47">
        <f t="shared" si="4"/>
        <v>353</v>
      </c>
      <c r="Z90" s="47">
        <f t="shared" si="5"/>
        <v>353</v>
      </c>
      <c r="AA90" s="41" t="s">
        <v>3201</v>
      </c>
    </row>
    <row r="91" spans="1:27" ht="87.95" customHeight="1">
      <c r="A91" s="40" t="s">
        <v>486</v>
      </c>
      <c r="B91" s="40" t="s">
        <v>2950</v>
      </c>
      <c r="C91" s="40" t="s">
        <v>3835</v>
      </c>
      <c r="D91" s="40" t="s">
        <v>1992</v>
      </c>
      <c r="E91" s="40">
        <v>3</v>
      </c>
      <c r="F91" s="40" t="s">
        <v>1761</v>
      </c>
      <c r="G91" s="40" t="s">
        <v>1762</v>
      </c>
      <c r="H91" s="40" t="s">
        <v>3783</v>
      </c>
      <c r="I91" s="40" t="s">
        <v>3186</v>
      </c>
      <c r="J91" s="40" t="s">
        <v>3836</v>
      </c>
      <c r="K91" s="40" t="s">
        <v>3255</v>
      </c>
      <c r="L91" s="40" t="s">
        <v>3256</v>
      </c>
      <c r="M91" s="40" t="s">
        <v>3257</v>
      </c>
      <c r="N91" s="40" t="s">
        <v>3258</v>
      </c>
      <c r="O91" s="40" t="s">
        <v>3259</v>
      </c>
      <c r="P91" s="40" t="s">
        <v>3260</v>
      </c>
      <c r="Q91" s="40" t="s">
        <v>3261</v>
      </c>
      <c r="R91" s="40" t="s">
        <v>3216</v>
      </c>
      <c r="S91" s="40" t="s">
        <v>3262</v>
      </c>
      <c r="T91" s="40" t="s">
        <v>3263</v>
      </c>
      <c r="U91" s="40" t="s">
        <v>3264</v>
      </c>
      <c r="V91" s="40" t="s">
        <v>3265</v>
      </c>
      <c r="W91" s="40" t="s">
        <v>3231</v>
      </c>
      <c r="X91" s="40"/>
      <c r="Y91" s="46">
        <f t="shared" si="4"/>
        <v>305</v>
      </c>
      <c r="Z91" s="46">
        <f t="shared" si="5"/>
        <v>305</v>
      </c>
      <c r="AA91" s="40" t="s">
        <v>3201</v>
      </c>
    </row>
    <row r="92" spans="1:27" ht="87.95" customHeight="1">
      <c r="A92" s="41" t="s">
        <v>490</v>
      </c>
      <c r="B92" s="41" t="s">
        <v>2956</v>
      </c>
      <c r="C92" s="41" t="s">
        <v>3837</v>
      </c>
      <c r="D92" s="41" t="s">
        <v>3184</v>
      </c>
      <c r="E92" s="41">
        <v>1</v>
      </c>
      <c r="F92" s="41" t="s">
        <v>1761</v>
      </c>
      <c r="G92" s="41" t="s">
        <v>1762</v>
      </c>
      <c r="H92" s="41" t="s">
        <v>3783</v>
      </c>
      <c r="I92" s="41" t="s">
        <v>3186</v>
      </c>
      <c r="J92" s="41" t="s">
        <v>3838</v>
      </c>
      <c r="K92" s="41" t="s">
        <v>3839</v>
      </c>
      <c r="L92" s="41" t="s">
        <v>3840</v>
      </c>
      <c r="M92" s="41" t="s">
        <v>3841</v>
      </c>
      <c r="N92" s="41" t="s">
        <v>3191</v>
      </c>
      <c r="O92" s="41" t="s">
        <v>3842</v>
      </c>
      <c r="P92" s="41" t="s">
        <v>3843</v>
      </c>
      <c r="Q92" s="41" t="s">
        <v>3844</v>
      </c>
      <c r="R92" s="41" t="s">
        <v>3809</v>
      </c>
      <c r="S92" s="41" t="s">
        <v>3845</v>
      </c>
      <c r="T92" s="41" t="s">
        <v>3846</v>
      </c>
      <c r="U92" s="41" t="s">
        <v>3847</v>
      </c>
      <c r="V92" s="41" t="s">
        <v>3848</v>
      </c>
      <c r="W92" s="41" t="s">
        <v>3849</v>
      </c>
      <c r="X92" s="41"/>
      <c r="Y92" s="47">
        <f t="shared" si="4"/>
        <v>482</v>
      </c>
      <c r="Z92" s="47">
        <f t="shared" si="5"/>
        <v>482</v>
      </c>
      <c r="AA92" s="41" t="s">
        <v>3201</v>
      </c>
    </row>
    <row r="93" spans="1:27" ht="87.95" customHeight="1">
      <c r="A93" s="40" t="s">
        <v>490</v>
      </c>
      <c r="B93" s="40" t="s">
        <v>3849</v>
      </c>
      <c r="C93" s="40" t="s">
        <v>3850</v>
      </c>
      <c r="D93" s="40" t="s">
        <v>3203</v>
      </c>
      <c r="E93" s="40">
        <v>2</v>
      </c>
      <c r="F93" s="40" t="s">
        <v>1761</v>
      </c>
      <c r="G93" s="40" t="s">
        <v>1762</v>
      </c>
      <c r="H93" s="40" t="s">
        <v>3783</v>
      </c>
      <c r="I93" s="40" t="s">
        <v>3186</v>
      </c>
      <c r="J93" s="40" t="s">
        <v>3851</v>
      </c>
      <c r="K93" s="40" t="s">
        <v>3205</v>
      </c>
      <c r="L93" s="40" t="s">
        <v>3206</v>
      </c>
      <c r="M93" s="40" t="s">
        <v>3207</v>
      </c>
      <c r="N93" s="40" t="s">
        <v>3208</v>
      </c>
      <c r="O93" s="40" t="s">
        <v>3249</v>
      </c>
      <c r="P93" s="40" t="s">
        <v>3250</v>
      </c>
      <c r="Q93" s="40" t="s">
        <v>3251</v>
      </c>
      <c r="R93" s="40" t="s">
        <v>3252</v>
      </c>
      <c r="S93" s="40" t="s">
        <v>3213</v>
      </c>
      <c r="T93" s="40" t="s">
        <v>3214</v>
      </c>
      <c r="U93" s="40" t="s">
        <v>3215</v>
      </c>
      <c r="V93" s="40" t="s">
        <v>3216</v>
      </c>
      <c r="W93" s="40" t="s">
        <v>2973</v>
      </c>
      <c r="X93" s="40"/>
      <c r="Y93" s="46">
        <f t="shared" si="4"/>
        <v>353</v>
      </c>
      <c r="Z93" s="46">
        <f t="shared" si="5"/>
        <v>353</v>
      </c>
      <c r="AA93" s="40" t="s">
        <v>3201</v>
      </c>
    </row>
    <row r="94" spans="1:27" ht="87.95" customHeight="1">
      <c r="A94" s="41" t="s">
        <v>490</v>
      </c>
      <c r="B94" s="41" t="s">
        <v>2973</v>
      </c>
      <c r="C94" s="41" t="s">
        <v>3852</v>
      </c>
      <c r="D94" s="41" t="s">
        <v>1992</v>
      </c>
      <c r="E94" s="41">
        <v>3</v>
      </c>
      <c r="F94" s="41" t="s">
        <v>1761</v>
      </c>
      <c r="G94" s="41" t="s">
        <v>1762</v>
      </c>
      <c r="H94" s="41" t="s">
        <v>3783</v>
      </c>
      <c r="I94" s="41" t="s">
        <v>3186</v>
      </c>
      <c r="J94" s="41" t="s">
        <v>3853</v>
      </c>
      <c r="K94" s="41" t="s">
        <v>3255</v>
      </c>
      <c r="L94" s="41" t="s">
        <v>3256</v>
      </c>
      <c r="M94" s="41" t="s">
        <v>3257</v>
      </c>
      <c r="N94" s="41" t="s">
        <v>3258</v>
      </c>
      <c r="O94" s="41" t="s">
        <v>3259</v>
      </c>
      <c r="P94" s="41" t="s">
        <v>3260</v>
      </c>
      <c r="Q94" s="41" t="s">
        <v>3261</v>
      </c>
      <c r="R94" s="41" t="s">
        <v>3216</v>
      </c>
      <c r="S94" s="41" t="s">
        <v>3262</v>
      </c>
      <c r="T94" s="41" t="s">
        <v>3263</v>
      </c>
      <c r="U94" s="41" t="s">
        <v>3264</v>
      </c>
      <c r="V94" s="41" t="s">
        <v>3265</v>
      </c>
      <c r="W94" s="41" t="s">
        <v>3231</v>
      </c>
      <c r="X94" s="41"/>
      <c r="Y94" s="47">
        <f t="shared" si="4"/>
        <v>361</v>
      </c>
      <c r="Z94" s="47">
        <f t="shared" si="5"/>
        <v>361</v>
      </c>
      <c r="AA94" s="41" t="s">
        <v>3201</v>
      </c>
    </row>
    <row r="95" spans="1:27" ht="87.95" customHeight="1">
      <c r="A95" s="40" t="s">
        <v>497</v>
      </c>
      <c r="B95" s="40" t="s">
        <v>2979</v>
      </c>
      <c r="C95" s="40" t="s">
        <v>3854</v>
      </c>
      <c r="D95" s="40" t="s">
        <v>3184</v>
      </c>
      <c r="E95" s="40">
        <v>1</v>
      </c>
      <c r="F95" s="40" t="s">
        <v>1786</v>
      </c>
      <c r="G95" s="40" t="s">
        <v>1787</v>
      </c>
      <c r="H95" s="40" t="s">
        <v>3855</v>
      </c>
      <c r="I95" s="40" t="s">
        <v>3186</v>
      </c>
      <c r="J95" s="40" t="s">
        <v>3856</v>
      </c>
      <c r="K95" s="40" t="s">
        <v>3857</v>
      </c>
      <c r="L95" s="40" t="s">
        <v>3858</v>
      </c>
      <c r="M95" s="40" t="s">
        <v>3859</v>
      </c>
      <c r="N95" s="40" t="s">
        <v>3191</v>
      </c>
      <c r="O95" s="40" t="s">
        <v>3860</v>
      </c>
      <c r="P95" s="40" t="s">
        <v>3861</v>
      </c>
      <c r="Q95" s="40" t="s">
        <v>3862</v>
      </c>
      <c r="R95" s="40" t="s">
        <v>3863</v>
      </c>
      <c r="S95" s="40" t="s">
        <v>3864</v>
      </c>
      <c r="T95" s="40" t="s">
        <v>3865</v>
      </c>
      <c r="U95" s="40" t="s">
        <v>3866</v>
      </c>
      <c r="V95" s="40" t="s">
        <v>3867</v>
      </c>
      <c r="W95" s="40" t="s">
        <v>3868</v>
      </c>
      <c r="X95" s="40"/>
      <c r="Y95" s="46">
        <f t="shared" si="4"/>
        <v>433</v>
      </c>
      <c r="Z95" s="46">
        <f t="shared" si="5"/>
        <v>433</v>
      </c>
      <c r="AA95" s="40" t="s">
        <v>3201</v>
      </c>
    </row>
    <row r="96" spans="1:27" ht="87.95" customHeight="1">
      <c r="A96" s="41" t="s">
        <v>497</v>
      </c>
      <c r="B96" s="41" t="s">
        <v>3868</v>
      </c>
      <c r="C96" s="41" t="s">
        <v>3869</v>
      </c>
      <c r="D96" s="41" t="s">
        <v>3203</v>
      </c>
      <c r="E96" s="41">
        <v>2</v>
      </c>
      <c r="F96" s="41" t="s">
        <v>1786</v>
      </c>
      <c r="G96" s="41" t="s">
        <v>1787</v>
      </c>
      <c r="H96" s="41" t="s">
        <v>3855</v>
      </c>
      <c r="I96" s="41" t="s">
        <v>3186</v>
      </c>
      <c r="J96" s="41" t="s">
        <v>3870</v>
      </c>
      <c r="K96" s="41" t="s">
        <v>3205</v>
      </c>
      <c r="L96" s="41" t="s">
        <v>3206</v>
      </c>
      <c r="M96" s="41" t="s">
        <v>3207</v>
      </c>
      <c r="N96" s="41" t="s">
        <v>3208</v>
      </c>
      <c r="O96" s="41" t="s">
        <v>3249</v>
      </c>
      <c r="P96" s="41" t="s">
        <v>3250</v>
      </c>
      <c r="Q96" s="41" t="s">
        <v>3251</v>
      </c>
      <c r="R96" s="41" t="s">
        <v>3252</v>
      </c>
      <c r="S96" s="41" t="s">
        <v>3213</v>
      </c>
      <c r="T96" s="41" t="s">
        <v>3214</v>
      </c>
      <c r="U96" s="41" t="s">
        <v>3215</v>
      </c>
      <c r="V96" s="41" t="s">
        <v>3216</v>
      </c>
      <c r="W96" s="41" t="s">
        <v>2993</v>
      </c>
      <c r="X96" s="41"/>
      <c r="Y96" s="47">
        <f t="shared" si="4"/>
        <v>356</v>
      </c>
      <c r="Z96" s="47">
        <f t="shared" si="5"/>
        <v>356</v>
      </c>
      <c r="AA96" s="41" t="s">
        <v>3201</v>
      </c>
    </row>
    <row r="97" spans="1:27" ht="87.95" customHeight="1">
      <c r="A97" s="40" t="s">
        <v>497</v>
      </c>
      <c r="B97" s="40" t="s">
        <v>2993</v>
      </c>
      <c r="C97" s="40" t="s">
        <v>3871</v>
      </c>
      <c r="D97" s="40" t="s">
        <v>1992</v>
      </c>
      <c r="E97" s="40">
        <v>3</v>
      </c>
      <c r="F97" s="40" t="s">
        <v>1786</v>
      </c>
      <c r="G97" s="40" t="s">
        <v>1787</v>
      </c>
      <c r="H97" s="40" t="s">
        <v>3855</v>
      </c>
      <c r="I97" s="40" t="s">
        <v>3186</v>
      </c>
      <c r="J97" s="40" t="s">
        <v>3872</v>
      </c>
      <c r="K97" s="40" t="s">
        <v>3255</v>
      </c>
      <c r="L97" s="40" t="s">
        <v>3256</v>
      </c>
      <c r="M97" s="40" t="s">
        <v>3257</v>
      </c>
      <c r="N97" s="40" t="s">
        <v>3258</v>
      </c>
      <c r="O97" s="40" t="s">
        <v>3259</v>
      </c>
      <c r="P97" s="40" t="s">
        <v>3260</v>
      </c>
      <c r="Q97" s="40" t="s">
        <v>3261</v>
      </c>
      <c r="R97" s="40" t="s">
        <v>3216</v>
      </c>
      <c r="S97" s="40" t="s">
        <v>3262</v>
      </c>
      <c r="T97" s="40" t="s">
        <v>3263</v>
      </c>
      <c r="U97" s="40" t="s">
        <v>3264</v>
      </c>
      <c r="V97" s="40" t="s">
        <v>3265</v>
      </c>
      <c r="W97" s="40" t="s">
        <v>3231</v>
      </c>
      <c r="X97" s="40"/>
      <c r="Y97" s="46">
        <f t="shared" si="4"/>
        <v>310</v>
      </c>
      <c r="Z97" s="46">
        <f t="shared" si="5"/>
        <v>310</v>
      </c>
      <c r="AA97" s="40" t="s">
        <v>3201</v>
      </c>
    </row>
    <row r="98" spans="1:27" ht="87.95" customHeight="1">
      <c r="A98" s="41" t="s">
        <v>502</v>
      </c>
      <c r="B98" s="41" t="s">
        <v>2999</v>
      </c>
      <c r="C98" s="41" t="s">
        <v>3873</v>
      </c>
      <c r="D98" s="41" t="s">
        <v>3184</v>
      </c>
      <c r="E98" s="41">
        <v>1</v>
      </c>
      <c r="F98" s="41" t="s">
        <v>1700</v>
      </c>
      <c r="G98" s="41" t="s">
        <v>1701</v>
      </c>
      <c r="H98" s="41" t="s">
        <v>3615</v>
      </c>
      <c r="I98" s="41" t="s">
        <v>3186</v>
      </c>
      <c r="J98" s="41" t="s">
        <v>3874</v>
      </c>
      <c r="K98" s="41" t="s">
        <v>3875</v>
      </c>
      <c r="L98" s="41" t="s">
        <v>3876</v>
      </c>
      <c r="M98" s="41" t="s">
        <v>3877</v>
      </c>
      <c r="N98" s="41" t="s">
        <v>3191</v>
      </c>
      <c r="O98" s="41" t="s">
        <v>3878</v>
      </c>
      <c r="P98" s="41" t="s">
        <v>3879</v>
      </c>
      <c r="Q98" s="41" t="s">
        <v>3880</v>
      </c>
      <c r="R98" s="41" t="s">
        <v>3863</v>
      </c>
      <c r="S98" s="41" t="s">
        <v>3881</v>
      </c>
      <c r="T98" s="41" t="s">
        <v>3882</v>
      </c>
      <c r="U98" s="41" t="s">
        <v>3883</v>
      </c>
      <c r="V98" s="41" t="s">
        <v>3795</v>
      </c>
      <c r="W98" s="41" t="s">
        <v>3884</v>
      </c>
      <c r="X98" s="41"/>
      <c r="Y98" s="47">
        <f t="shared" si="4"/>
        <v>371</v>
      </c>
      <c r="Z98" s="47">
        <f t="shared" si="5"/>
        <v>371</v>
      </c>
      <c r="AA98" s="41" t="s">
        <v>3201</v>
      </c>
    </row>
    <row r="99" spans="1:27" ht="87.95" customHeight="1">
      <c r="A99" s="40" t="s">
        <v>502</v>
      </c>
      <c r="B99" s="40" t="s">
        <v>3884</v>
      </c>
      <c r="C99" s="40" t="s">
        <v>3885</v>
      </c>
      <c r="D99" s="40" t="s">
        <v>3203</v>
      </c>
      <c r="E99" s="40">
        <v>2</v>
      </c>
      <c r="F99" s="40" t="s">
        <v>1700</v>
      </c>
      <c r="G99" s="40" t="s">
        <v>1701</v>
      </c>
      <c r="H99" s="40" t="s">
        <v>3615</v>
      </c>
      <c r="I99" s="40" t="s">
        <v>3186</v>
      </c>
      <c r="J99" s="40" t="s">
        <v>3886</v>
      </c>
      <c r="K99" s="40" t="s">
        <v>3205</v>
      </c>
      <c r="L99" s="40" t="s">
        <v>3206</v>
      </c>
      <c r="M99" s="40" t="s">
        <v>3207</v>
      </c>
      <c r="N99" s="40" t="s">
        <v>3208</v>
      </c>
      <c r="O99" s="40" t="s">
        <v>3249</v>
      </c>
      <c r="P99" s="40" t="s">
        <v>3250</v>
      </c>
      <c r="Q99" s="40" t="s">
        <v>3251</v>
      </c>
      <c r="R99" s="40" t="s">
        <v>3252</v>
      </c>
      <c r="S99" s="40" t="s">
        <v>3213</v>
      </c>
      <c r="T99" s="40" t="s">
        <v>3214</v>
      </c>
      <c r="U99" s="40" t="s">
        <v>3215</v>
      </c>
      <c r="V99" s="40" t="s">
        <v>3216</v>
      </c>
      <c r="W99" s="40" t="s">
        <v>3011</v>
      </c>
      <c r="X99" s="40"/>
      <c r="Y99" s="46">
        <f t="shared" si="4"/>
        <v>360</v>
      </c>
      <c r="Z99" s="46">
        <f t="shared" si="5"/>
        <v>360</v>
      </c>
      <c r="AA99" s="40" t="s">
        <v>3201</v>
      </c>
    </row>
    <row r="100" spans="1:27" ht="87.95" customHeight="1">
      <c r="A100" s="41" t="s">
        <v>502</v>
      </c>
      <c r="B100" s="41" t="s">
        <v>3011</v>
      </c>
      <c r="C100" s="41" t="s">
        <v>3887</v>
      </c>
      <c r="D100" s="41" t="s">
        <v>1992</v>
      </c>
      <c r="E100" s="41">
        <v>3</v>
      </c>
      <c r="F100" s="41" t="s">
        <v>1700</v>
      </c>
      <c r="G100" s="41" t="s">
        <v>1701</v>
      </c>
      <c r="H100" s="41" t="s">
        <v>3615</v>
      </c>
      <c r="I100" s="41" t="s">
        <v>3186</v>
      </c>
      <c r="J100" s="41" t="s">
        <v>3888</v>
      </c>
      <c r="K100" s="41" t="s">
        <v>3255</v>
      </c>
      <c r="L100" s="41" t="s">
        <v>3256</v>
      </c>
      <c r="M100" s="41" t="s">
        <v>3257</v>
      </c>
      <c r="N100" s="41" t="s">
        <v>3258</v>
      </c>
      <c r="O100" s="41" t="s">
        <v>3259</v>
      </c>
      <c r="P100" s="41" t="s">
        <v>3260</v>
      </c>
      <c r="Q100" s="41" t="s">
        <v>3261</v>
      </c>
      <c r="R100" s="41" t="s">
        <v>3216</v>
      </c>
      <c r="S100" s="41" t="s">
        <v>3262</v>
      </c>
      <c r="T100" s="41" t="s">
        <v>3263</v>
      </c>
      <c r="U100" s="41" t="s">
        <v>3264</v>
      </c>
      <c r="V100" s="41" t="s">
        <v>3265</v>
      </c>
      <c r="W100" s="41" t="s">
        <v>3231</v>
      </c>
      <c r="X100" s="41"/>
      <c r="Y100" s="47">
        <f t="shared" si="4"/>
        <v>300</v>
      </c>
      <c r="Z100" s="47">
        <f t="shared" si="5"/>
        <v>300</v>
      </c>
      <c r="AA100" s="41" t="s">
        <v>3201</v>
      </c>
    </row>
    <row r="101" spans="1:27" ht="87.95" customHeight="1">
      <c r="A101" s="40" t="s">
        <v>507</v>
      </c>
      <c r="B101" s="40" t="s">
        <v>3017</v>
      </c>
      <c r="C101" s="40" t="s">
        <v>3889</v>
      </c>
      <c r="D101" s="40" t="s">
        <v>3184</v>
      </c>
      <c r="E101" s="40">
        <v>1</v>
      </c>
      <c r="F101" s="40" t="s">
        <v>1796</v>
      </c>
      <c r="G101" s="40" t="s">
        <v>1797</v>
      </c>
      <c r="H101" s="40" t="s">
        <v>3890</v>
      </c>
      <c r="I101" s="40" t="s">
        <v>3186</v>
      </c>
      <c r="J101" s="40" t="s">
        <v>3891</v>
      </c>
      <c r="K101" s="40" t="s">
        <v>3892</v>
      </c>
      <c r="L101" s="40" t="s">
        <v>3893</v>
      </c>
      <c r="M101" s="40" t="s">
        <v>3894</v>
      </c>
      <c r="N101" s="40" t="s">
        <v>3191</v>
      </c>
      <c r="O101" s="40" t="s">
        <v>3895</v>
      </c>
      <c r="P101" s="40" t="s">
        <v>3896</v>
      </c>
      <c r="Q101" s="40" t="s">
        <v>3897</v>
      </c>
      <c r="R101" s="40" t="s">
        <v>3898</v>
      </c>
      <c r="S101" s="40" t="s">
        <v>3899</v>
      </c>
      <c r="T101" s="40" t="s">
        <v>3900</v>
      </c>
      <c r="U101" s="40" t="s">
        <v>3901</v>
      </c>
      <c r="V101" s="40" t="s">
        <v>3902</v>
      </c>
      <c r="W101" s="40" t="s">
        <v>3903</v>
      </c>
      <c r="X101" s="40"/>
      <c r="Y101" s="46">
        <f t="shared" ref="Y101:Y124" si="6">LEN(J101)+LEN(L101)+LEN(M101)+LEN(P101)+LEN(Q101)+LEN(T101)+LEN(U101)</f>
        <v>542</v>
      </c>
      <c r="Z101" s="46">
        <f t="shared" ref="Z101:Z124" si="7">SUMIF($B$5:$B$124,B101,$Y$5:$Y$124)</f>
        <v>542</v>
      </c>
      <c r="AA101" s="40" t="s">
        <v>3201</v>
      </c>
    </row>
    <row r="102" spans="1:27" ht="87.95" customHeight="1">
      <c r="A102" s="41" t="s">
        <v>507</v>
      </c>
      <c r="B102" s="41" t="s">
        <v>3903</v>
      </c>
      <c r="C102" s="41" t="s">
        <v>3904</v>
      </c>
      <c r="D102" s="41" t="s">
        <v>3203</v>
      </c>
      <c r="E102" s="41">
        <v>2</v>
      </c>
      <c r="F102" s="41" t="s">
        <v>1796</v>
      </c>
      <c r="G102" s="41" t="s">
        <v>1797</v>
      </c>
      <c r="H102" s="41" t="s">
        <v>3890</v>
      </c>
      <c r="I102" s="41" t="s">
        <v>3186</v>
      </c>
      <c r="J102" s="41" t="s">
        <v>3905</v>
      </c>
      <c r="K102" s="41" t="s">
        <v>3205</v>
      </c>
      <c r="L102" s="41" t="s">
        <v>3206</v>
      </c>
      <c r="M102" s="41" t="s">
        <v>3207</v>
      </c>
      <c r="N102" s="41" t="s">
        <v>3208</v>
      </c>
      <c r="O102" s="41" t="s">
        <v>3906</v>
      </c>
      <c r="P102" s="41" t="s">
        <v>3907</v>
      </c>
      <c r="Q102" s="41" t="s">
        <v>3908</v>
      </c>
      <c r="R102" s="41" t="s">
        <v>3909</v>
      </c>
      <c r="S102" s="41" t="s">
        <v>3213</v>
      </c>
      <c r="T102" s="41" t="s">
        <v>3214</v>
      </c>
      <c r="U102" s="41" t="s">
        <v>3215</v>
      </c>
      <c r="V102" s="41" t="s">
        <v>3216</v>
      </c>
      <c r="W102" s="41" t="s">
        <v>3035</v>
      </c>
      <c r="X102" s="41"/>
      <c r="Y102" s="47">
        <f t="shared" si="6"/>
        <v>508</v>
      </c>
      <c r="Z102" s="47">
        <f t="shared" si="7"/>
        <v>508</v>
      </c>
      <c r="AA102" s="41" t="s">
        <v>3201</v>
      </c>
    </row>
    <row r="103" spans="1:27" ht="87.95" customHeight="1">
      <c r="A103" s="40" t="s">
        <v>507</v>
      </c>
      <c r="B103" s="40" t="s">
        <v>3035</v>
      </c>
      <c r="C103" s="40" t="s">
        <v>3910</v>
      </c>
      <c r="D103" s="40" t="s">
        <v>1992</v>
      </c>
      <c r="E103" s="40">
        <v>3</v>
      </c>
      <c r="F103" s="40" t="s">
        <v>1796</v>
      </c>
      <c r="G103" s="40" t="s">
        <v>1797</v>
      </c>
      <c r="H103" s="40" t="s">
        <v>3890</v>
      </c>
      <c r="I103" s="40" t="s">
        <v>3186</v>
      </c>
      <c r="J103" s="40" t="s">
        <v>3911</v>
      </c>
      <c r="K103" s="40" t="s">
        <v>3255</v>
      </c>
      <c r="L103" s="40" t="s">
        <v>3256</v>
      </c>
      <c r="M103" s="40" t="s">
        <v>3257</v>
      </c>
      <c r="N103" s="40" t="s">
        <v>3258</v>
      </c>
      <c r="O103" s="40" t="s">
        <v>3259</v>
      </c>
      <c r="P103" s="40" t="s">
        <v>3260</v>
      </c>
      <c r="Q103" s="40" t="s">
        <v>3261</v>
      </c>
      <c r="R103" s="40" t="s">
        <v>3216</v>
      </c>
      <c r="S103" s="40" t="s">
        <v>3262</v>
      </c>
      <c r="T103" s="40" t="s">
        <v>3263</v>
      </c>
      <c r="U103" s="40" t="s">
        <v>3264</v>
      </c>
      <c r="V103" s="40" t="s">
        <v>3265</v>
      </c>
      <c r="W103" s="40" t="s">
        <v>3231</v>
      </c>
      <c r="X103" s="40"/>
      <c r="Y103" s="46">
        <f t="shared" si="6"/>
        <v>329</v>
      </c>
      <c r="Z103" s="46">
        <f t="shared" si="7"/>
        <v>329</v>
      </c>
      <c r="AA103" s="40" t="s">
        <v>3201</v>
      </c>
    </row>
    <row r="104" spans="1:27" ht="87.95" customHeight="1">
      <c r="A104" s="41" t="s">
        <v>512</v>
      </c>
      <c r="B104" s="41" t="s">
        <v>3041</v>
      </c>
      <c r="C104" s="41" t="s">
        <v>3912</v>
      </c>
      <c r="D104" s="41" t="s">
        <v>3184</v>
      </c>
      <c r="E104" s="41">
        <v>1</v>
      </c>
      <c r="F104" s="41" t="s">
        <v>1802</v>
      </c>
      <c r="G104" s="41" t="s">
        <v>1803</v>
      </c>
      <c r="H104" s="41" t="s">
        <v>3913</v>
      </c>
      <c r="I104" s="41" t="s">
        <v>3186</v>
      </c>
      <c r="J104" s="41" t="s">
        <v>3914</v>
      </c>
      <c r="K104" s="41" t="s">
        <v>3915</v>
      </c>
      <c r="L104" s="41" t="s">
        <v>3916</v>
      </c>
      <c r="M104" s="41" t="s">
        <v>3917</v>
      </c>
      <c r="N104" s="41" t="s">
        <v>3191</v>
      </c>
      <c r="O104" s="41" t="s">
        <v>3918</v>
      </c>
      <c r="P104" s="41" t="s">
        <v>3919</v>
      </c>
      <c r="Q104" s="41" t="s">
        <v>3920</v>
      </c>
      <c r="R104" s="41" t="s">
        <v>3623</v>
      </c>
      <c r="S104" s="41" t="s">
        <v>3921</v>
      </c>
      <c r="T104" s="41" t="s">
        <v>3922</v>
      </c>
      <c r="U104" s="41" t="s">
        <v>3923</v>
      </c>
      <c r="V104" s="41" t="s">
        <v>3924</v>
      </c>
      <c r="W104" s="41" t="s">
        <v>3925</v>
      </c>
      <c r="X104" s="41"/>
      <c r="Y104" s="47">
        <f t="shared" si="6"/>
        <v>278</v>
      </c>
      <c r="Z104" s="47">
        <f t="shared" si="7"/>
        <v>278</v>
      </c>
      <c r="AA104" s="41" t="s">
        <v>3201</v>
      </c>
    </row>
    <row r="105" spans="1:27" ht="87.95" customHeight="1">
      <c r="A105" s="40" t="s">
        <v>512</v>
      </c>
      <c r="B105" s="40" t="s">
        <v>3925</v>
      </c>
      <c r="C105" s="40" t="s">
        <v>3926</v>
      </c>
      <c r="D105" s="40" t="s">
        <v>3203</v>
      </c>
      <c r="E105" s="40">
        <v>2</v>
      </c>
      <c r="F105" s="40" t="s">
        <v>1802</v>
      </c>
      <c r="G105" s="40" t="s">
        <v>1803</v>
      </c>
      <c r="H105" s="40" t="s">
        <v>3913</v>
      </c>
      <c r="I105" s="40" t="s">
        <v>3186</v>
      </c>
      <c r="J105" s="40" t="s">
        <v>3927</v>
      </c>
      <c r="K105" s="40" t="s">
        <v>3205</v>
      </c>
      <c r="L105" s="40" t="s">
        <v>3206</v>
      </c>
      <c r="M105" s="40" t="s">
        <v>3207</v>
      </c>
      <c r="N105" s="40" t="s">
        <v>3208</v>
      </c>
      <c r="O105" s="40" t="s">
        <v>3249</v>
      </c>
      <c r="P105" s="40" t="s">
        <v>3250</v>
      </c>
      <c r="Q105" s="40" t="s">
        <v>3251</v>
      </c>
      <c r="R105" s="40" t="s">
        <v>3252</v>
      </c>
      <c r="S105" s="40" t="s">
        <v>3213</v>
      </c>
      <c r="T105" s="40" t="s">
        <v>3214</v>
      </c>
      <c r="U105" s="40" t="s">
        <v>3215</v>
      </c>
      <c r="V105" s="40" t="s">
        <v>3216</v>
      </c>
      <c r="W105" s="40" t="s">
        <v>3056</v>
      </c>
      <c r="X105" s="40"/>
      <c r="Y105" s="46">
        <f t="shared" si="6"/>
        <v>345</v>
      </c>
      <c r="Z105" s="46">
        <f t="shared" si="7"/>
        <v>345</v>
      </c>
      <c r="AA105" s="40" t="s">
        <v>3201</v>
      </c>
    </row>
    <row r="106" spans="1:27" ht="87.95" customHeight="1">
      <c r="A106" s="41" t="s">
        <v>512</v>
      </c>
      <c r="B106" s="41" t="s">
        <v>3056</v>
      </c>
      <c r="C106" s="41" t="s">
        <v>3928</v>
      </c>
      <c r="D106" s="41" t="s">
        <v>1992</v>
      </c>
      <c r="E106" s="41">
        <v>3</v>
      </c>
      <c r="F106" s="41" t="s">
        <v>1802</v>
      </c>
      <c r="G106" s="41" t="s">
        <v>1803</v>
      </c>
      <c r="H106" s="41" t="s">
        <v>3913</v>
      </c>
      <c r="I106" s="41" t="s">
        <v>3186</v>
      </c>
      <c r="J106" s="41" t="s">
        <v>3929</v>
      </c>
      <c r="K106" s="41" t="s">
        <v>3255</v>
      </c>
      <c r="L106" s="41" t="s">
        <v>3256</v>
      </c>
      <c r="M106" s="41" t="s">
        <v>3257</v>
      </c>
      <c r="N106" s="41" t="s">
        <v>3258</v>
      </c>
      <c r="O106" s="41" t="s">
        <v>3259</v>
      </c>
      <c r="P106" s="41" t="s">
        <v>3260</v>
      </c>
      <c r="Q106" s="41" t="s">
        <v>3261</v>
      </c>
      <c r="R106" s="41" t="s">
        <v>3216</v>
      </c>
      <c r="S106" s="41" t="s">
        <v>3262</v>
      </c>
      <c r="T106" s="41" t="s">
        <v>3263</v>
      </c>
      <c r="U106" s="41" t="s">
        <v>3264</v>
      </c>
      <c r="V106" s="41" t="s">
        <v>3265</v>
      </c>
      <c r="W106" s="41" t="s">
        <v>3231</v>
      </c>
      <c r="X106" s="41"/>
      <c r="Y106" s="47">
        <f t="shared" si="6"/>
        <v>287</v>
      </c>
      <c r="Z106" s="47">
        <f t="shared" si="7"/>
        <v>287</v>
      </c>
      <c r="AA106" s="41" t="s">
        <v>3201</v>
      </c>
    </row>
    <row r="107" spans="1:27" ht="87.95" customHeight="1">
      <c r="A107" s="40" t="s">
        <v>518</v>
      </c>
      <c r="B107" s="40" t="s">
        <v>3062</v>
      </c>
      <c r="C107" s="40" t="s">
        <v>3930</v>
      </c>
      <c r="D107" s="40" t="s">
        <v>3184</v>
      </c>
      <c r="E107" s="40">
        <v>1</v>
      </c>
      <c r="F107" s="40" t="s">
        <v>1811</v>
      </c>
      <c r="G107" s="40" t="s">
        <v>1812</v>
      </c>
      <c r="H107" s="40" t="s">
        <v>3931</v>
      </c>
      <c r="I107" s="40" t="s">
        <v>3186</v>
      </c>
      <c r="J107" s="40" t="s">
        <v>3932</v>
      </c>
      <c r="K107" s="40" t="s">
        <v>3933</v>
      </c>
      <c r="L107" s="40" t="s">
        <v>3934</v>
      </c>
      <c r="M107" s="40" t="s">
        <v>3935</v>
      </c>
      <c r="N107" s="40" t="s">
        <v>3191</v>
      </c>
      <c r="O107" s="40" t="s">
        <v>3936</v>
      </c>
      <c r="P107" s="40" t="s">
        <v>3937</v>
      </c>
      <c r="Q107" s="40" t="s">
        <v>3938</v>
      </c>
      <c r="R107" s="40" t="s">
        <v>3939</v>
      </c>
      <c r="S107" s="40" t="s">
        <v>3940</v>
      </c>
      <c r="T107" s="40" t="s">
        <v>3941</v>
      </c>
      <c r="U107" s="40" t="s">
        <v>3942</v>
      </c>
      <c r="V107" s="40" t="s">
        <v>3297</v>
      </c>
      <c r="W107" s="40" t="s">
        <v>3943</v>
      </c>
      <c r="X107" s="40"/>
      <c r="Y107" s="46">
        <f t="shared" si="6"/>
        <v>292</v>
      </c>
      <c r="Z107" s="46">
        <f t="shared" si="7"/>
        <v>292</v>
      </c>
      <c r="AA107" s="40" t="s">
        <v>3201</v>
      </c>
    </row>
    <row r="108" spans="1:27" ht="87.95" customHeight="1">
      <c r="A108" s="41" t="s">
        <v>518</v>
      </c>
      <c r="B108" s="41" t="s">
        <v>3943</v>
      </c>
      <c r="C108" s="41" t="s">
        <v>3944</v>
      </c>
      <c r="D108" s="41" t="s">
        <v>3203</v>
      </c>
      <c r="E108" s="41">
        <v>2</v>
      </c>
      <c r="F108" s="41" t="s">
        <v>1811</v>
      </c>
      <c r="G108" s="41" t="s">
        <v>1812</v>
      </c>
      <c r="H108" s="41" t="s">
        <v>3931</v>
      </c>
      <c r="I108" s="41" t="s">
        <v>3186</v>
      </c>
      <c r="J108" s="41" t="s">
        <v>3945</v>
      </c>
      <c r="K108" s="41" t="s">
        <v>3205</v>
      </c>
      <c r="L108" s="41" t="s">
        <v>3206</v>
      </c>
      <c r="M108" s="41" t="s">
        <v>3207</v>
      </c>
      <c r="N108" s="41" t="s">
        <v>3208</v>
      </c>
      <c r="O108" s="41" t="s">
        <v>3249</v>
      </c>
      <c r="P108" s="41" t="s">
        <v>3250</v>
      </c>
      <c r="Q108" s="41" t="s">
        <v>3251</v>
      </c>
      <c r="R108" s="41" t="s">
        <v>3252</v>
      </c>
      <c r="S108" s="41" t="s">
        <v>3213</v>
      </c>
      <c r="T108" s="41" t="s">
        <v>3214</v>
      </c>
      <c r="U108" s="41" t="s">
        <v>3215</v>
      </c>
      <c r="V108" s="41" t="s">
        <v>3216</v>
      </c>
      <c r="W108" s="41" t="s">
        <v>3073</v>
      </c>
      <c r="X108" s="41"/>
      <c r="Y108" s="47">
        <f t="shared" si="6"/>
        <v>331</v>
      </c>
      <c r="Z108" s="47">
        <f t="shared" si="7"/>
        <v>331</v>
      </c>
      <c r="AA108" s="41" t="s">
        <v>3201</v>
      </c>
    </row>
    <row r="109" spans="1:27" ht="87.95" customHeight="1">
      <c r="A109" s="40" t="s">
        <v>518</v>
      </c>
      <c r="B109" s="40" t="s">
        <v>3073</v>
      </c>
      <c r="C109" s="40" t="s">
        <v>3946</v>
      </c>
      <c r="D109" s="40" t="s">
        <v>1992</v>
      </c>
      <c r="E109" s="40">
        <v>3</v>
      </c>
      <c r="F109" s="40" t="s">
        <v>1811</v>
      </c>
      <c r="G109" s="40" t="s">
        <v>1812</v>
      </c>
      <c r="H109" s="40" t="s">
        <v>3931</v>
      </c>
      <c r="I109" s="40" t="s">
        <v>3186</v>
      </c>
      <c r="J109" s="40" t="s">
        <v>3947</v>
      </c>
      <c r="K109" s="40" t="s">
        <v>3255</v>
      </c>
      <c r="L109" s="40" t="s">
        <v>3256</v>
      </c>
      <c r="M109" s="40" t="s">
        <v>3257</v>
      </c>
      <c r="N109" s="40" t="s">
        <v>3258</v>
      </c>
      <c r="O109" s="40" t="s">
        <v>3259</v>
      </c>
      <c r="P109" s="40" t="s">
        <v>3260</v>
      </c>
      <c r="Q109" s="40" t="s">
        <v>3261</v>
      </c>
      <c r="R109" s="40" t="s">
        <v>3216</v>
      </c>
      <c r="S109" s="40" t="s">
        <v>3262</v>
      </c>
      <c r="T109" s="40" t="s">
        <v>3263</v>
      </c>
      <c r="U109" s="40" t="s">
        <v>3264</v>
      </c>
      <c r="V109" s="40" t="s">
        <v>3265</v>
      </c>
      <c r="W109" s="40" t="s">
        <v>3231</v>
      </c>
      <c r="X109" s="40"/>
      <c r="Y109" s="46">
        <f t="shared" si="6"/>
        <v>310</v>
      </c>
      <c r="Z109" s="46">
        <f t="shared" si="7"/>
        <v>310</v>
      </c>
      <c r="AA109" s="40" t="s">
        <v>3201</v>
      </c>
    </row>
    <row r="110" spans="1:27" ht="87.95" customHeight="1">
      <c r="A110" s="41" t="s">
        <v>523</v>
      </c>
      <c r="B110" s="41" t="s">
        <v>3079</v>
      </c>
      <c r="C110" s="41" t="s">
        <v>3948</v>
      </c>
      <c r="D110" s="41" t="s">
        <v>3184</v>
      </c>
      <c r="E110" s="41">
        <v>1</v>
      </c>
      <c r="F110" s="41" t="s">
        <v>1817</v>
      </c>
      <c r="G110" s="41" t="s">
        <v>1100</v>
      </c>
      <c r="H110" s="41" t="s">
        <v>3949</v>
      </c>
      <c r="I110" s="41" t="s">
        <v>3186</v>
      </c>
      <c r="J110" s="41" t="s">
        <v>3950</v>
      </c>
      <c r="K110" s="41" t="s">
        <v>3951</v>
      </c>
      <c r="L110" s="41" t="s">
        <v>3952</v>
      </c>
      <c r="M110" s="41" t="s">
        <v>3953</v>
      </c>
      <c r="N110" s="41" t="s">
        <v>3191</v>
      </c>
      <c r="O110" s="41" t="s">
        <v>3954</v>
      </c>
      <c r="P110" s="41" t="s">
        <v>3955</v>
      </c>
      <c r="Q110" s="41" t="s">
        <v>3956</v>
      </c>
      <c r="R110" s="41" t="s">
        <v>3957</v>
      </c>
      <c r="S110" s="41" t="s">
        <v>3958</v>
      </c>
      <c r="T110" s="41" t="s">
        <v>3959</v>
      </c>
      <c r="U110" s="41" t="s">
        <v>3960</v>
      </c>
      <c r="V110" s="41" t="s">
        <v>3961</v>
      </c>
      <c r="W110" s="41" t="s">
        <v>3962</v>
      </c>
      <c r="X110" s="41"/>
      <c r="Y110" s="47">
        <f t="shared" si="6"/>
        <v>263</v>
      </c>
      <c r="Z110" s="47">
        <f t="shared" si="7"/>
        <v>263</v>
      </c>
      <c r="AA110" s="41" t="s">
        <v>3201</v>
      </c>
    </row>
    <row r="111" spans="1:27" ht="87.95" customHeight="1">
      <c r="A111" s="40" t="s">
        <v>523</v>
      </c>
      <c r="B111" s="40" t="s">
        <v>3962</v>
      </c>
      <c r="C111" s="40" t="s">
        <v>3963</v>
      </c>
      <c r="D111" s="40" t="s">
        <v>3203</v>
      </c>
      <c r="E111" s="40">
        <v>2</v>
      </c>
      <c r="F111" s="40" t="s">
        <v>1817</v>
      </c>
      <c r="G111" s="40" t="s">
        <v>1100</v>
      </c>
      <c r="H111" s="40" t="s">
        <v>3949</v>
      </c>
      <c r="I111" s="40" t="s">
        <v>3186</v>
      </c>
      <c r="J111" s="40" t="s">
        <v>3964</v>
      </c>
      <c r="K111" s="40" t="s">
        <v>3205</v>
      </c>
      <c r="L111" s="40" t="s">
        <v>3206</v>
      </c>
      <c r="M111" s="40" t="s">
        <v>3207</v>
      </c>
      <c r="N111" s="40" t="s">
        <v>3208</v>
      </c>
      <c r="O111" s="40" t="s">
        <v>3249</v>
      </c>
      <c r="P111" s="40" t="s">
        <v>3250</v>
      </c>
      <c r="Q111" s="40" t="s">
        <v>3251</v>
      </c>
      <c r="R111" s="40" t="s">
        <v>3252</v>
      </c>
      <c r="S111" s="40" t="s">
        <v>3213</v>
      </c>
      <c r="T111" s="40" t="s">
        <v>3214</v>
      </c>
      <c r="U111" s="40" t="s">
        <v>3215</v>
      </c>
      <c r="V111" s="40" t="s">
        <v>3216</v>
      </c>
      <c r="W111" s="40" t="s">
        <v>3091</v>
      </c>
      <c r="X111" s="40"/>
      <c r="Y111" s="46">
        <f t="shared" si="6"/>
        <v>306</v>
      </c>
      <c r="Z111" s="46">
        <f t="shared" si="7"/>
        <v>306</v>
      </c>
      <c r="AA111" s="40" t="s">
        <v>3201</v>
      </c>
    </row>
    <row r="112" spans="1:27" ht="87.95" customHeight="1">
      <c r="A112" s="41" t="s">
        <v>523</v>
      </c>
      <c r="B112" s="41" t="s">
        <v>3091</v>
      </c>
      <c r="C112" s="41" t="s">
        <v>3965</v>
      </c>
      <c r="D112" s="41" t="s">
        <v>1992</v>
      </c>
      <c r="E112" s="41">
        <v>3</v>
      </c>
      <c r="F112" s="41" t="s">
        <v>1817</v>
      </c>
      <c r="G112" s="41" t="s">
        <v>1100</v>
      </c>
      <c r="H112" s="41" t="s">
        <v>3949</v>
      </c>
      <c r="I112" s="41" t="s">
        <v>3186</v>
      </c>
      <c r="J112" s="41" t="s">
        <v>3966</v>
      </c>
      <c r="K112" s="41" t="s">
        <v>3255</v>
      </c>
      <c r="L112" s="41" t="s">
        <v>3256</v>
      </c>
      <c r="M112" s="41" t="s">
        <v>3257</v>
      </c>
      <c r="N112" s="41" t="s">
        <v>3258</v>
      </c>
      <c r="O112" s="41" t="s">
        <v>3259</v>
      </c>
      <c r="P112" s="41" t="s">
        <v>3260</v>
      </c>
      <c r="Q112" s="41" t="s">
        <v>3261</v>
      </c>
      <c r="R112" s="41" t="s">
        <v>3216</v>
      </c>
      <c r="S112" s="41" t="s">
        <v>3262</v>
      </c>
      <c r="T112" s="41" t="s">
        <v>3263</v>
      </c>
      <c r="U112" s="41" t="s">
        <v>3264</v>
      </c>
      <c r="V112" s="41" t="s">
        <v>3265</v>
      </c>
      <c r="W112" s="41" t="s">
        <v>3231</v>
      </c>
      <c r="X112" s="41"/>
      <c r="Y112" s="47">
        <f t="shared" si="6"/>
        <v>294</v>
      </c>
      <c r="Z112" s="47">
        <f t="shared" si="7"/>
        <v>294</v>
      </c>
      <c r="AA112" s="41" t="s">
        <v>3201</v>
      </c>
    </row>
    <row r="113" spans="1:27" ht="87.95" customHeight="1">
      <c r="A113" s="40" t="s">
        <v>528</v>
      </c>
      <c r="B113" s="40" t="s">
        <v>3097</v>
      </c>
      <c r="C113" s="40" t="s">
        <v>3967</v>
      </c>
      <c r="D113" s="40" t="s">
        <v>3184</v>
      </c>
      <c r="E113" s="40">
        <v>1</v>
      </c>
      <c r="F113" s="40" t="s">
        <v>1822</v>
      </c>
      <c r="G113" s="40" t="s">
        <v>1823</v>
      </c>
      <c r="H113" s="40" t="s">
        <v>3968</v>
      </c>
      <c r="I113" s="40" t="s">
        <v>3186</v>
      </c>
      <c r="J113" s="40" t="s">
        <v>3969</v>
      </c>
      <c r="K113" s="40" t="s">
        <v>3970</v>
      </c>
      <c r="L113" s="40" t="s">
        <v>3971</v>
      </c>
      <c r="M113" s="40" t="s">
        <v>3972</v>
      </c>
      <c r="N113" s="40" t="s">
        <v>3191</v>
      </c>
      <c r="O113" s="40" t="s">
        <v>3973</v>
      </c>
      <c r="P113" s="40" t="s">
        <v>3974</v>
      </c>
      <c r="Q113" s="40" t="s">
        <v>3975</v>
      </c>
      <c r="R113" s="40" t="s">
        <v>3898</v>
      </c>
      <c r="S113" s="40" t="s">
        <v>3976</v>
      </c>
      <c r="T113" s="40" t="s">
        <v>3977</v>
      </c>
      <c r="U113" s="40" t="s">
        <v>3978</v>
      </c>
      <c r="V113" s="40" t="s">
        <v>3297</v>
      </c>
      <c r="W113" s="40" t="s">
        <v>3979</v>
      </c>
      <c r="X113" s="40"/>
      <c r="Y113" s="46">
        <f t="shared" si="6"/>
        <v>375</v>
      </c>
      <c r="Z113" s="46">
        <f t="shared" si="7"/>
        <v>375</v>
      </c>
      <c r="AA113" s="40" t="s">
        <v>3201</v>
      </c>
    </row>
    <row r="114" spans="1:27" ht="87.95" customHeight="1">
      <c r="A114" s="41" t="s">
        <v>528</v>
      </c>
      <c r="B114" s="41" t="s">
        <v>3979</v>
      </c>
      <c r="C114" s="41" t="s">
        <v>3980</v>
      </c>
      <c r="D114" s="41" t="s">
        <v>3203</v>
      </c>
      <c r="E114" s="41">
        <v>2</v>
      </c>
      <c r="F114" s="41" t="s">
        <v>1822</v>
      </c>
      <c r="G114" s="41" t="s">
        <v>1823</v>
      </c>
      <c r="H114" s="41" t="s">
        <v>3968</v>
      </c>
      <c r="I114" s="41" t="s">
        <v>3186</v>
      </c>
      <c r="J114" s="41" t="s">
        <v>3981</v>
      </c>
      <c r="K114" s="41" t="s">
        <v>3205</v>
      </c>
      <c r="L114" s="41" t="s">
        <v>3206</v>
      </c>
      <c r="M114" s="41" t="s">
        <v>3207</v>
      </c>
      <c r="N114" s="41" t="s">
        <v>3208</v>
      </c>
      <c r="O114" s="41" t="s">
        <v>3249</v>
      </c>
      <c r="P114" s="41" t="s">
        <v>3250</v>
      </c>
      <c r="Q114" s="41" t="s">
        <v>3251</v>
      </c>
      <c r="R114" s="41" t="s">
        <v>3252</v>
      </c>
      <c r="S114" s="41" t="s">
        <v>3213</v>
      </c>
      <c r="T114" s="41" t="s">
        <v>3214</v>
      </c>
      <c r="U114" s="41" t="s">
        <v>3215</v>
      </c>
      <c r="V114" s="41" t="s">
        <v>3216</v>
      </c>
      <c r="W114" s="41" t="s">
        <v>3106</v>
      </c>
      <c r="X114" s="41"/>
      <c r="Y114" s="47">
        <f t="shared" si="6"/>
        <v>378</v>
      </c>
      <c r="Z114" s="47">
        <f t="shared" si="7"/>
        <v>378</v>
      </c>
      <c r="AA114" s="41" t="s">
        <v>3201</v>
      </c>
    </row>
    <row r="115" spans="1:27" ht="87.95" customHeight="1">
      <c r="A115" s="40" t="s">
        <v>528</v>
      </c>
      <c r="B115" s="40" t="s">
        <v>3106</v>
      </c>
      <c r="C115" s="40" t="s">
        <v>3982</v>
      </c>
      <c r="D115" s="40" t="s">
        <v>1992</v>
      </c>
      <c r="E115" s="40">
        <v>3</v>
      </c>
      <c r="F115" s="40" t="s">
        <v>1822</v>
      </c>
      <c r="G115" s="40" t="s">
        <v>1823</v>
      </c>
      <c r="H115" s="40" t="s">
        <v>3968</v>
      </c>
      <c r="I115" s="40" t="s">
        <v>3186</v>
      </c>
      <c r="J115" s="40" t="s">
        <v>3983</v>
      </c>
      <c r="K115" s="40" t="s">
        <v>3255</v>
      </c>
      <c r="L115" s="40" t="s">
        <v>3256</v>
      </c>
      <c r="M115" s="40" t="s">
        <v>3257</v>
      </c>
      <c r="N115" s="40" t="s">
        <v>3258</v>
      </c>
      <c r="O115" s="40" t="s">
        <v>3259</v>
      </c>
      <c r="P115" s="40" t="s">
        <v>3260</v>
      </c>
      <c r="Q115" s="40" t="s">
        <v>3261</v>
      </c>
      <c r="R115" s="40" t="s">
        <v>3216</v>
      </c>
      <c r="S115" s="40" t="s">
        <v>3262</v>
      </c>
      <c r="T115" s="40" t="s">
        <v>3263</v>
      </c>
      <c r="U115" s="40" t="s">
        <v>3264</v>
      </c>
      <c r="V115" s="40" t="s">
        <v>3265</v>
      </c>
      <c r="W115" s="40" t="s">
        <v>3231</v>
      </c>
      <c r="X115" s="40"/>
      <c r="Y115" s="46">
        <f t="shared" si="6"/>
        <v>301</v>
      </c>
      <c r="Z115" s="46">
        <f t="shared" si="7"/>
        <v>301</v>
      </c>
      <c r="AA115" s="40" t="s">
        <v>3201</v>
      </c>
    </row>
    <row r="116" spans="1:27" ht="87.95" customHeight="1">
      <c r="A116" s="41" t="s">
        <v>533</v>
      </c>
      <c r="B116" s="41" t="s">
        <v>3112</v>
      </c>
      <c r="C116" s="41" t="s">
        <v>3984</v>
      </c>
      <c r="D116" s="41" t="s">
        <v>3184</v>
      </c>
      <c r="E116" s="41">
        <v>1</v>
      </c>
      <c r="F116" s="41" t="s">
        <v>1828</v>
      </c>
      <c r="G116" s="41" t="s">
        <v>1829</v>
      </c>
      <c r="H116" s="41" t="s">
        <v>3985</v>
      </c>
      <c r="I116" s="41" t="s">
        <v>3186</v>
      </c>
      <c r="J116" s="41" t="s">
        <v>3986</v>
      </c>
      <c r="K116" s="41" t="s">
        <v>3987</v>
      </c>
      <c r="L116" s="41" t="s">
        <v>3988</v>
      </c>
      <c r="M116" s="41" t="s">
        <v>3989</v>
      </c>
      <c r="N116" s="41" t="s">
        <v>3191</v>
      </c>
      <c r="O116" s="41" t="s">
        <v>3990</v>
      </c>
      <c r="P116" s="41" t="s">
        <v>3991</v>
      </c>
      <c r="Q116" s="41" t="s">
        <v>3992</v>
      </c>
      <c r="R116" s="41" t="s">
        <v>3993</v>
      </c>
      <c r="S116" s="41" t="s">
        <v>3994</v>
      </c>
      <c r="T116" s="41" t="s">
        <v>3995</v>
      </c>
      <c r="U116" s="41" t="s">
        <v>3996</v>
      </c>
      <c r="V116" s="41" t="s">
        <v>3997</v>
      </c>
      <c r="W116" s="41" t="s">
        <v>3998</v>
      </c>
      <c r="X116" s="41"/>
      <c r="Y116" s="47">
        <f t="shared" si="6"/>
        <v>325</v>
      </c>
      <c r="Z116" s="47">
        <f t="shared" si="7"/>
        <v>325</v>
      </c>
      <c r="AA116" s="41" t="s">
        <v>3201</v>
      </c>
    </row>
    <row r="117" spans="1:27" ht="87.95" customHeight="1">
      <c r="A117" s="40" t="s">
        <v>533</v>
      </c>
      <c r="B117" s="40" t="s">
        <v>3998</v>
      </c>
      <c r="C117" s="40" t="s">
        <v>3999</v>
      </c>
      <c r="D117" s="40" t="s">
        <v>3203</v>
      </c>
      <c r="E117" s="40">
        <v>2</v>
      </c>
      <c r="F117" s="40" t="s">
        <v>1828</v>
      </c>
      <c r="G117" s="40" t="s">
        <v>1829</v>
      </c>
      <c r="H117" s="40" t="s">
        <v>3985</v>
      </c>
      <c r="I117" s="40" t="s">
        <v>3186</v>
      </c>
      <c r="J117" s="40" t="s">
        <v>4000</v>
      </c>
      <c r="K117" s="40" t="s">
        <v>3205</v>
      </c>
      <c r="L117" s="40" t="s">
        <v>3206</v>
      </c>
      <c r="M117" s="40" t="s">
        <v>3207</v>
      </c>
      <c r="N117" s="40" t="s">
        <v>3208</v>
      </c>
      <c r="O117" s="40" t="s">
        <v>3249</v>
      </c>
      <c r="P117" s="40" t="s">
        <v>3250</v>
      </c>
      <c r="Q117" s="40" t="s">
        <v>3251</v>
      </c>
      <c r="R117" s="40" t="s">
        <v>3252</v>
      </c>
      <c r="S117" s="40" t="s">
        <v>3213</v>
      </c>
      <c r="T117" s="40" t="s">
        <v>3214</v>
      </c>
      <c r="U117" s="40" t="s">
        <v>3215</v>
      </c>
      <c r="V117" s="40" t="s">
        <v>3216</v>
      </c>
      <c r="W117" s="40" t="s">
        <v>3124</v>
      </c>
      <c r="X117" s="40"/>
      <c r="Y117" s="46">
        <f t="shared" si="6"/>
        <v>320</v>
      </c>
      <c r="Z117" s="46">
        <f t="shared" si="7"/>
        <v>320</v>
      </c>
      <c r="AA117" s="40" t="s">
        <v>3201</v>
      </c>
    </row>
    <row r="118" spans="1:27" ht="87.95" customHeight="1">
      <c r="A118" s="41" t="s">
        <v>533</v>
      </c>
      <c r="B118" s="41" t="s">
        <v>3124</v>
      </c>
      <c r="C118" s="41" t="s">
        <v>4001</v>
      </c>
      <c r="D118" s="41" t="s">
        <v>1992</v>
      </c>
      <c r="E118" s="41">
        <v>3</v>
      </c>
      <c r="F118" s="41" t="s">
        <v>1828</v>
      </c>
      <c r="G118" s="41" t="s">
        <v>1829</v>
      </c>
      <c r="H118" s="41" t="s">
        <v>3985</v>
      </c>
      <c r="I118" s="41" t="s">
        <v>3186</v>
      </c>
      <c r="J118" s="41" t="s">
        <v>4002</v>
      </c>
      <c r="K118" s="41" t="s">
        <v>3255</v>
      </c>
      <c r="L118" s="41" t="s">
        <v>3256</v>
      </c>
      <c r="M118" s="41" t="s">
        <v>3257</v>
      </c>
      <c r="N118" s="41" t="s">
        <v>3258</v>
      </c>
      <c r="O118" s="41" t="s">
        <v>3259</v>
      </c>
      <c r="P118" s="41" t="s">
        <v>3260</v>
      </c>
      <c r="Q118" s="41" t="s">
        <v>3261</v>
      </c>
      <c r="R118" s="41" t="s">
        <v>3216</v>
      </c>
      <c r="S118" s="41" t="s">
        <v>3262</v>
      </c>
      <c r="T118" s="41" t="s">
        <v>3263</v>
      </c>
      <c r="U118" s="41" t="s">
        <v>3264</v>
      </c>
      <c r="V118" s="41" t="s">
        <v>3265</v>
      </c>
      <c r="W118" s="41" t="s">
        <v>3231</v>
      </c>
      <c r="X118" s="41"/>
      <c r="Y118" s="47">
        <f t="shared" si="6"/>
        <v>296</v>
      </c>
      <c r="Z118" s="47">
        <f t="shared" si="7"/>
        <v>296</v>
      </c>
      <c r="AA118" s="41" t="s">
        <v>3201</v>
      </c>
    </row>
    <row r="119" spans="1:27" ht="87.95" customHeight="1">
      <c r="A119" s="40" t="s">
        <v>537</v>
      </c>
      <c r="B119" s="40" t="s">
        <v>3130</v>
      </c>
      <c r="C119" s="40" t="s">
        <v>4003</v>
      </c>
      <c r="D119" s="40" t="s">
        <v>3184</v>
      </c>
      <c r="E119" s="40">
        <v>1</v>
      </c>
      <c r="F119" s="40" t="s">
        <v>1834</v>
      </c>
      <c r="G119" s="40" t="s">
        <v>539</v>
      </c>
      <c r="H119" s="40" t="s">
        <v>4004</v>
      </c>
      <c r="I119" s="40" t="s">
        <v>3186</v>
      </c>
      <c r="J119" s="40" t="s">
        <v>4005</v>
      </c>
      <c r="K119" s="40" t="s">
        <v>4006</v>
      </c>
      <c r="L119" s="40" t="s">
        <v>4007</v>
      </c>
      <c r="M119" s="40" t="s">
        <v>4008</v>
      </c>
      <c r="N119" s="40" t="s">
        <v>4009</v>
      </c>
      <c r="O119" s="40" t="s">
        <v>4010</v>
      </c>
      <c r="P119" s="40" t="s">
        <v>4011</v>
      </c>
      <c r="Q119" s="40" t="s">
        <v>4012</v>
      </c>
      <c r="R119" s="40" t="s">
        <v>3749</v>
      </c>
      <c r="S119" s="40" t="s">
        <v>4013</v>
      </c>
      <c r="T119" s="40" t="s">
        <v>4014</v>
      </c>
      <c r="U119" s="40" t="s">
        <v>4015</v>
      </c>
      <c r="V119" s="40" t="s">
        <v>4016</v>
      </c>
      <c r="W119" s="40" t="s">
        <v>4017</v>
      </c>
      <c r="X119" s="40"/>
      <c r="Y119" s="46">
        <f t="shared" si="6"/>
        <v>406</v>
      </c>
      <c r="Z119" s="46">
        <f t="shared" si="7"/>
        <v>406</v>
      </c>
      <c r="AA119" s="40" t="s">
        <v>3201</v>
      </c>
    </row>
    <row r="120" spans="1:27" ht="87.95" customHeight="1">
      <c r="A120" s="41" t="s">
        <v>537</v>
      </c>
      <c r="B120" s="41" t="s">
        <v>4017</v>
      </c>
      <c r="C120" s="41" t="s">
        <v>4018</v>
      </c>
      <c r="D120" s="41" t="s">
        <v>3203</v>
      </c>
      <c r="E120" s="41">
        <v>2</v>
      </c>
      <c r="F120" s="41" t="s">
        <v>1834</v>
      </c>
      <c r="G120" s="41" t="s">
        <v>539</v>
      </c>
      <c r="H120" s="41" t="s">
        <v>4004</v>
      </c>
      <c r="I120" s="41" t="s">
        <v>3186</v>
      </c>
      <c r="J120" s="41" t="s">
        <v>4019</v>
      </c>
      <c r="K120" s="41" t="s">
        <v>3205</v>
      </c>
      <c r="L120" s="41" t="s">
        <v>3206</v>
      </c>
      <c r="M120" s="41" t="s">
        <v>3207</v>
      </c>
      <c r="N120" s="41" t="s">
        <v>3208</v>
      </c>
      <c r="O120" s="41" t="s">
        <v>3249</v>
      </c>
      <c r="P120" s="41" t="s">
        <v>3250</v>
      </c>
      <c r="Q120" s="41" t="s">
        <v>3251</v>
      </c>
      <c r="R120" s="41" t="s">
        <v>3252</v>
      </c>
      <c r="S120" s="41" t="s">
        <v>3213</v>
      </c>
      <c r="T120" s="41" t="s">
        <v>3214</v>
      </c>
      <c r="U120" s="41" t="s">
        <v>3215</v>
      </c>
      <c r="V120" s="41" t="s">
        <v>3216</v>
      </c>
      <c r="W120" s="41" t="s">
        <v>3139</v>
      </c>
      <c r="X120" s="41"/>
      <c r="Y120" s="47">
        <f t="shared" si="6"/>
        <v>359</v>
      </c>
      <c r="Z120" s="47">
        <f t="shared" si="7"/>
        <v>359</v>
      </c>
      <c r="AA120" s="41" t="s">
        <v>3201</v>
      </c>
    </row>
    <row r="121" spans="1:27" ht="87.95" customHeight="1">
      <c r="A121" s="40" t="s">
        <v>537</v>
      </c>
      <c r="B121" s="40" t="s">
        <v>3139</v>
      </c>
      <c r="C121" s="40" t="s">
        <v>4020</v>
      </c>
      <c r="D121" s="40" t="s">
        <v>1992</v>
      </c>
      <c r="E121" s="40">
        <v>3</v>
      </c>
      <c r="F121" s="40" t="s">
        <v>1834</v>
      </c>
      <c r="G121" s="40" t="s">
        <v>539</v>
      </c>
      <c r="H121" s="40" t="s">
        <v>4004</v>
      </c>
      <c r="I121" s="40" t="s">
        <v>3186</v>
      </c>
      <c r="J121" s="40" t="s">
        <v>4021</v>
      </c>
      <c r="K121" s="40" t="s">
        <v>3255</v>
      </c>
      <c r="L121" s="40" t="s">
        <v>3256</v>
      </c>
      <c r="M121" s="40" t="s">
        <v>3257</v>
      </c>
      <c r="N121" s="40" t="s">
        <v>3258</v>
      </c>
      <c r="O121" s="40" t="s">
        <v>3259</v>
      </c>
      <c r="P121" s="40" t="s">
        <v>3260</v>
      </c>
      <c r="Q121" s="40" t="s">
        <v>3261</v>
      </c>
      <c r="R121" s="40" t="s">
        <v>3216</v>
      </c>
      <c r="S121" s="40" t="s">
        <v>3262</v>
      </c>
      <c r="T121" s="40" t="s">
        <v>3263</v>
      </c>
      <c r="U121" s="40" t="s">
        <v>3264</v>
      </c>
      <c r="V121" s="40" t="s">
        <v>3265</v>
      </c>
      <c r="W121" s="40" t="s">
        <v>3231</v>
      </c>
      <c r="X121" s="40"/>
      <c r="Y121" s="46">
        <f t="shared" si="6"/>
        <v>341</v>
      </c>
      <c r="Z121" s="46">
        <f t="shared" si="7"/>
        <v>341</v>
      </c>
      <c r="AA121" s="40" t="s">
        <v>3201</v>
      </c>
    </row>
    <row r="122" spans="1:27" ht="87.95" customHeight="1">
      <c r="A122" s="41" t="s">
        <v>543</v>
      </c>
      <c r="B122" s="41" t="s">
        <v>3145</v>
      </c>
      <c r="C122" s="41" t="s">
        <v>4022</v>
      </c>
      <c r="D122" s="41" t="s">
        <v>3184</v>
      </c>
      <c r="E122" s="41">
        <v>1</v>
      </c>
      <c r="F122" s="41" t="s">
        <v>1842</v>
      </c>
      <c r="G122" s="41" t="s">
        <v>544</v>
      </c>
      <c r="H122" s="41" t="s">
        <v>4023</v>
      </c>
      <c r="I122" s="41" t="s">
        <v>3186</v>
      </c>
      <c r="J122" s="41" t="s">
        <v>4024</v>
      </c>
      <c r="K122" s="41" t="s">
        <v>4006</v>
      </c>
      <c r="L122" s="41" t="s">
        <v>4007</v>
      </c>
      <c r="M122" s="41" t="s">
        <v>4025</v>
      </c>
      <c r="N122" s="41" t="s">
        <v>4009</v>
      </c>
      <c r="O122" s="41" t="s">
        <v>3537</v>
      </c>
      <c r="P122" s="41" t="s">
        <v>4026</v>
      </c>
      <c r="Q122" s="41" t="s">
        <v>4027</v>
      </c>
      <c r="R122" s="41" t="s">
        <v>4028</v>
      </c>
      <c r="S122" s="41" t="s">
        <v>4029</v>
      </c>
      <c r="T122" s="41" t="s">
        <v>4030</v>
      </c>
      <c r="U122" s="41" t="s">
        <v>4031</v>
      </c>
      <c r="V122" s="41" t="s">
        <v>4032</v>
      </c>
      <c r="W122" s="41" t="s">
        <v>4033</v>
      </c>
      <c r="X122" s="41"/>
      <c r="Y122" s="47">
        <f t="shared" si="6"/>
        <v>463</v>
      </c>
      <c r="Z122" s="47">
        <f t="shared" si="7"/>
        <v>463</v>
      </c>
      <c r="AA122" s="41" t="s">
        <v>3201</v>
      </c>
    </row>
    <row r="123" spans="1:27" ht="87.95" customHeight="1">
      <c r="A123" s="40" t="s">
        <v>543</v>
      </c>
      <c r="B123" s="40" t="s">
        <v>4033</v>
      </c>
      <c r="C123" s="40" t="s">
        <v>4034</v>
      </c>
      <c r="D123" s="40" t="s">
        <v>3203</v>
      </c>
      <c r="E123" s="40">
        <v>2</v>
      </c>
      <c r="F123" s="40" t="s">
        <v>1842</v>
      </c>
      <c r="G123" s="40" t="s">
        <v>544</v>
      </c>
      <c r="H123" s="40" t="s">
        <v>4023</v>
      </c>
      <c r="I123" s="40" t="s">
        <v>3186</v>
      </c>
      <c r="J123" s="40" t="s">
        <v>4035</v>
      </c>
      <c r="K123" s="40" t="s">
        <v>3205</v>
      </c>
      <c r="L123" s="40" t="s">
        <v>3206</v>
      </c>
      <c r="M123" s="40" t="s">
        <v>3207</v>
      </c>
      <c r="N123" s="40" t="s">
        <v>3208</v>
      </c>
      <c r="O123" s="40" t="s">
        <v>3249</v>
      </c>
      <c r="P123" s="40" t="s">
        <v>3250</v>
      </c>
      <c r="Q123" s="40" t="s">
        <v>3251</v>
      </c>
      <c r="R123" s="40" t="s">
        <v>3252</v>
      </c>
      <c r="S123" s="40" t="s">
        <v>3213</v>
      </c>
      <c r="T123" s="40" t="s">
        <v>3214</v>
      </c>
      <c r="U123" s="40" t="s">
        <v>3215</v>
      </c>
      <c r="V123" s="40" t="s">
        <v>3216</v>
      </c>
      <c r="W123" s="40" t="s">
        <v>3153</v>
      </c>
      <c r="X123" s="40"/>
      <c r="Y123" s="46">
        <f t="shared" si="6"/>
        <v>352</v>
      </c>
      <c r="Z123" s="46">
        <f t="shared" si="7"/>
        <v>352</v>
      </c>
      <c r="AA123" s="40" t="s">
        <v>3201</v>
      </c>
    </row>
    <row r="124" spans="1:27" ht="87.95" customHeight="1">
      <c r="A124" s="41" t="s">
        <v>543</v>
      </c>
      <c r="B124" s="41" t="s">
        <v>3153</v>
      </c>
      <c r="C124" s="41" t="s">
        <v>4036</v>
      </c>
      <c r="D124" s="41" t="s">
        <v>1992</v>
      </c>
      <c r="E124" s="41">
        <v>3</v>
      </c>
      <c r="F124" s="41" t="s">
        <v>1842</v>
      </c>
      <c r="G124" s="41" t="s">
        <v>544</v>
      </c>
      <c r="H124" s="41" t="s">
        <v>4023</v>
      </c>
      <c r="I124" s="41" t="s">
        <v>3186</v>
      </c>
      <c r="J124" s="41" t="s">
        <v>4037</v>
      </c>
      <c r="K124" s="41" t="s">
        <v>3255</v>
      </c>
      <c r="L124" s="41" t="s">
        <v>3256</v>
      </c>
      <c r="M124" s="41" t="s">
        <v>3257</v>
      </c>
      <c r="N124" s="41" t="s">
        <v>3258</v>
      </c>
      <c r="O124" s="41" t="s">
        <v>3259</v>
      </c>
      <c r="P124" s="41" t="s">
        <v>3260</v>
      </c>
      <c r="Q124" s="41" t="s">
        <v>3261</v>
      </c>
      <c r="R124" s="41" t="s">
        <v>3216</v>
      </c>
      <c r="S124" s="41" t="s">
        <v>3262</v>
      </c>
      <c r="T124" s="41" t="s">
        <v>3263</v>
      </c>
      <c r="U124" s="41" t="s">
        <v>3264</v>
      </c>
      <c r="V124" s="41" t="s">
        <v>3265</v>
      </c>
      <c r="W124" s="41" t="s">
        <v>3231</v>
      </c>
      <c r="X124" s="41"/>
      <c r="Y124" s="47">
        <f t="shared" si="6"/>
        <v>362</v>
      </c>
      <c r="Z124" s="47">
        <f t="shared" si="7"/>
        <v>362</v>
      </c>
      <c r="AA124" s="41" t="s">
        <v>3201</v>
      </c>
    </row>
  </sheetData>
  <mergeCells count="2">
    <mergeCell ref="A1:AA1"/>
    <mergeCell ref="A2:AA2"/>
  </mergeCells>
  <conditionalFormatting sqref="X5:X124">
    <cfRule type="containsText" dxfId="12" priority="2" operator="containsText" text="EASTER"/>
  </conditionalFormatting>
  <conditionalFormatting sqref="Z5:Z124">
    <cfRule type="cellIs" dxfId="11" priority="1" operator="greaterThan">
      <formula>1000</formula>
    </cfRule>
  </conditionalFormatting>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0"/>
  <sheetViews>
    <sheetView showGridLines="0" topLeftCell="N1" workbookViewId="0">
      <selection sqref="A1:O1"/>
    </sheetView>
  </sheetViews>
  <sheetFormatPr baseColWidth="10" defaultColWidth="9" defaultRowHeight="14.25"/>
  <cols>
    <col min="1" max="1" width="28" customWidth="1"/>
    <col min="2" max="2" width="32" customWidth="1"/>
    <col min="3" max="3" width="27" customWidth="1"/>
    <col min="4" max="4" width="34" customWidth="1"/>
    <col min="5" max="5" width="35" customWidth="1"/>
    <col min="6" max="6" width="48" customWidth="1"/>
    <col min="7" max="7" width="30" customWidth="1"/>
    <col min="8" max="8" width="35" customWidth="1"/>
    <col min="9" max="9" width="42" customWidth="1"/>
    <col min="10" max="10" width="55" customWidth="1"/>
    <col min="11" max="11" width="25" customWidth="1"/>
    <col min="12" max="12" width="72" customWidth="1"/>
    <col min="13" max="13" width="55" customWidth="1"/>
    <col min="14" max="14" width="50" customWidth="1"/>
    <col min="15" max="15" width="22" customWidth="1"/>
    <col min="16" max="16" width="46" customWidth="1"/>
    <col min="17" max="17" width="14" customWidth="1"/>
    <col min="18" max="19" width="34" customWidth="1"/>
  </cols>
  <sheetData>
    <row r="1" spans="1:19" ht="27.95" customHeight="1">
      <c r="A1" s="66" t="s">
        <v>4038</v>
      </c>
      <c r="B1" s="66"/>
      <c r="C1" s="66"/>
      <c r="D1" s="66"/>
      <c r="E1" s="66"/>
      <c r="F1" s="66"/>
      <c r="G1" s="66"/>
      <c r="H1" s="66"/>
      <c r="I1" s="66"/>
      <c r="J1" s="66"/>
      <c r="K1" s="66"/>
      <c r="L1" s="66"/>
      <c r="M1" s="66"/>
      <c r="N1" s="66"/>
      <c r="O1" s="66"/>
    </row>
    <row r="2" spans="1:19" ht="38.1" customHeight="1">
      <c r="A2" s="67" t="s">
        <v>4039</v>
      </c>
      <c r="B2" s="67"/>
      <c r="C2" s="67"/>
      <c r="D2" s="67"/>
      <c r="E2" s="67"/>
      <c r="F2" s="67"/>
      <c r="G2" s="67"/>
      <c r="H2" s="67"/>
      <c r="I2" s="67"/>
      <c r="J2" s="67"/>
      <c r="K2" s="67"/>
      <c r="L2" s="67"/>
      <c r="M2" s="67"/>
      <c r="N2" s="67"/>
      <c r="O2" s="67"/>
    </row>
    <row r="3" spans="1:19">
      <c r="A3" s="26"/>
      <c r="B3" s="26"/>
      <c r="C3" s="26"/>
      <c r="D3" s="26"/>
      <c r="E3" s="26"/>
      <c r="F3" s="26"/>
      <c r="G3" s="26"/>
      <c r="H3" s="26"/>
      <c r="I3" s="26"/>
      <c r="J3" s="26"/>
      <c r="K3" s="26"/>
      <c r="L3" s="26"/>
      <c r="M3" s="26"/>
      <c r="N3" s="26"/>
      <c r="O3" s="26"/>
    </row>
    <row r="4" spans="1:19" ht="15" customHeight="1">
      <c r="A4" s="39" t="s">
        <v>4040</v>
      </c>
      <c r="B4" s="39" t="s">
        <v>4041</v>
      </c>
      <c r="C4" s="39" t="s">
        <v>4042</v>
      </c>
      <c r="D4" s="39" t="s">
        <v>4043</v>
      </c>
      <c r="E4" s="39" t="s">
        <v>4044</v>
      </c>
      <c r="F4" s="39" t="s">
        <v>4045</v>
      </c>
      <c r="G4" s="39" t="s">
        <v>3164</v>
      </c>
      <c r="H4" s="39" t="s">
        <v>4046</v>
      </c>
      <c r="I4" s="39" t="s">
        <v>4047</v>
      </c>
      <c r="J4" s="39" t="s">
        <v>4048</v>
      </c>
      <c r="K4" s="39" t="s">
        <v>1383</v>
      </c>
      <c r="L4" s="39" t="s">
        <v>1384</v>
      </c>
      <c r="M4" s="39" t="s">
        <v>4049</v>
      </c>
      <c r="N4" s="39" t="s">
        <v>1536</v>
      </c>
      <c r="O4" s="39" t="s">
        <v>1131</v>
      </c>
      <c r="P4" s="60" t="s">
        <v>4050</v>
      </c>
      <c r="Q4" s="60" t="s">
        <v>4051</v>
      </c>
      <c r="R4" s="60" t="s">
        <v>4052</v>
      </c>
      <c r="S4" s="60" t="s">
        <v>4053</v>
      </c>
    </row>
    <row r="5" spans="1:19" ht="26.45" customHeight="1">
      <c r="A5" s="40" t="s">
        <v>1549</v>
      </c>
      <c r="B5" s="40" t="s">
        <v>1550</v>
      </c>
      <c r="C5" s="40" t="s">
        <v>4054</v>
      </c>
      <c r="D5" s="40" t="s">
        <v>4055</v>
      </c>
      <c r="E5" s="40" t="s">
        <v>126</v>
      </c>
      <c r="F5" s="40" t="s">
        <v>4056</v>
      </c>
      <c r="G5" s="40" t="s">
        <v>3185</v>
      </c>
      <c r="H5" s="40" t="s">
        <v>4057</v>
      </c>
      <c r="I5" s="40" t="s">
        <v>4058</v>
      </c>
      <c r="J5" s="40" t="s">
        <v>4059</v>
      </c>
      <c r="K5" s="48"/>
      <c r="L5" s="40" t="s">
        <v>4060</v>
      </c>
      <c r="M5" s="40" t="s">
        <v>4061</v>
      </c>
      <c r="N5" s="40" t="s">
        <v>1555</v>
      </c>
      <c r="O5" s="40" t="s">
        <v>1401</v>
      </c>
      <c r="P5" s="61" t="s">
        <v>4062</v>
      </c>
      <c r="Q5" s="61">
        <v>1</v>
      </c>
      <c r="R5" s="61" t="s">
        <v>4063</v>
      </c>
      <c r="S5" s="61" t="s">
        <v>4064</v>
      </c>
    </row>
    <row r="6" spans="1:19" ht="26.45" customHeight="1">
      <c r="A6" s="41" t="s">
        <v>1565</v>
      </c>
      <c r="B6" s="41" t="s">
        <v>1566</v>
      </c>
      <c r="C6" s="41" t="s">
        <v>4054</v>
      </c>
      <c r="D6" s="41" t="s">
        <v>4065</v>
      </c>
      <c r="E6" s="41" t="s">
        <v>136</v>
      </c>
      <c r="F6" s="41" t="s">
        <v>4066</v>
      </c>
      <c r="G6" s="41" t="s">
        <v>3233</v>
      </c>
      <c r="H6" s="41" t="s">
        <v>4067</v>
      </c>
      <c r="I6" s="41" t="s">
        <v>4068</v>
      </c>
      <c r="J6" s="41" t="s">
        <v>4069</v>
      </c>
      <c r="K6" s="48"/>
      <c r="L6" s="41" t="s">
        <v>4070</v>
      </c>
      <c r="M6" s="41" t="s">
        <v>4061</v>
      </c>
      <c r="N6" s="41" t="s">
        <v>1571</v>
      </c>
      <c r="O6" s="41" t="s">
        <v>1401</v>
      </c>
      <c r="P6" s="61" t="s">
        <v>4071</v>
      </c>
      <c r="Q6" s="61">
        <v>1</v>
      </c>
      <c r="R6" s="61" t="s">
        <v>4063</v>
      </c>
      <c r="S6" s="61" t="s">
        <v>4072</v>
      </c>
    </row>
    <row r="7" spans="1:19" ht="26.45" customHeight="1">
      <c r="A7" s="40" t="s">
        <v>1575</v>
      </c>
      <c r="B7" s="40" t="s">
        <v>1576</v>
      </c>
      <c r="C7" s="40" t="s">
        <v>4054</v>
      </c>
      <c r="D7" s="40" t="s">
        <v>4073</v>
      </c>
      <c r="E7" s="40" t="s">
        <v>144</v>
      </c>
      <c r="F7" s="40" t="s">
        <v>4074</v>
      </c>
      <c r="G7" s="40" t="s">
        <v>3267</v>
      </c>
      <c r="H7" s="40" t="s">
        <v>4075</v>
      </c>
      <c r="I7" s="40" t="s">
        <v>4076</v>
      </c>
      <c r="J7" s="40" t="s">
        <v>4077</v>
      </c>
      <c r="K7" s="48"/>
      <c r="L7" s="40" t="s">
        <v>4078</v>
      </c>
      <c r="M7" s="40" t="s">
        <v>4061</v>
      </c>
      <c r="N7" s="40" t="s">
        <v>1581</v>
      </c>
      <c r="O7" s="40" t="s">
        <v>1401</v>
      </c>
      <c r="P7" s="61" t="s">
        <v>4079</v>
      </c>
      <c r="Q7" s="61">
        <v>1</v>
      </c>
      <c r="R7" s="61" t="s">
        <v>4063</v>
      </c>
      <c r="S7" s="61" t="s">
        <v>4080</v>
      </c>
    </row>
    <row r="8" spans="1:19" ht="26.45" customHeight="1">
      <c r="A8" s="41" t="s">
        <v>1583</v>
      </c>
      <c r="B8" s="41" t="s">
        <v>1584</v>
      </c>
      <c r="C8" s="41" t="s">
        <v>4054</v>
      </c>
      <c r="D8" s="41" t="s">
        <v>4081</v>
      </c>
      <c r="E8" s="41" t="s">
        <v>151</v>
      </c>
      <c r="F8" s="41" t="s">
        <v>4082</v>
      </c>
      <c r="G8" s="41" t="s">
        <v>3286</v>
      </c>
      <c r="H8" s="41" t="s">
        <v>4083</v>
      </c>
      <c r="I8" s="41" t="s">
        <v>4084</v>
      </c>
      <c r="J8" s="41" t="s">
        <v>4085</v>
      </c>
      <c r="K8" s="48"/>
      <c r="L8" s="41" t="s">
        <v>4086</v>
      </c>
      <c r="M8" s="41" t="s">
        <v>4061</v>
      </c>
      <c r="N8" s="41" t="s">
        <v>1589</v>
      </c>
      <c r="O8" s="41" t="s">
        <v>1401</v>
      </c>
      <c r="P8" s="61" t="s">
        <v>4087</v>
      </c>
      <c r="Q8" s="61">
        <v>1</v>
      </c>
      <c r="R8" s="61" t="s">
        <v>4063</v>
      </c>
      <c r="S8" s="61" t="s">
        <v>4088</v>
      </c>
    </row>
    <row r="9" spans="1:19" ht="26.45" customHeight="1">
      <c r="A9" s="40" t="s">
        <v>1592</v>
      </c>
      <c r="B9" s="40" t="s">
        <v>1593</v>
      </c>
      <c r="C9" s="40" t="s">
        <v>4054</v>
      </c>
      <c r="D9" s="40" t="s">
        <v>4089</v>
      </c>
      <c r="E9" s="40" t="s">
        <v>159</v>
      </c>
      <c r="F9" s="40" t="s">
        <v>4090</v>
      </c>
      <c r="G9" s="40" t="s">
        <v>3304</v>
      </c>
      <c r="H9" s="40" t="s">
        <v>4091</v>
      </c>
      <c r="I9" s="40" t="s">
        <v>4092</v>
      </c>
      <c r="J9" s="40" t="s">
        <v>4093</v>
      </c>
      <c r="K9" s="48"/>
      <c r="L9" s="40" t="s">
        <v>4094</v>
      </c>
      <c r="M9" s="40" t="s">
        <v>4061</v>
      </c>
      <c r="N9" s="40" t="s">
        <v>677</v>
      </c>
      <c r="O9" s="40" t="s">
        <v>1401</v>
      </c>
      <c r="P9" s="61" t="s">
        <v>4095</v>
      </c>
      <c r="Q9" s="61">
        <v>1</v>
      </c>
      <c r="R9" s="61" t="s">
        <v>4063</v>
      </c>
      <c r="S9" s="61" t="s">
        <v>4096</v>
      </c>
    </row>
    <row r="10" spans="1:19" ht="26.45" customHeight="1">
      <c r="A10" s="41" t="s">
        <v>1598</v>
      </c>
      <c r="B10" s="41" t="s">
        <v>1599</v>
      </c>
      <c r="C10" s="41" t="s">
        <v>4097</v>
      </c>
      <c r="D10" s="41" t="s">
        <v>4098</v>
      </c>
      <c r="E10" s="41" t="s">
        <v>166</v>
      </c>
      <c r="F10" s="41" t="s">
        <v>4099</v>
      </c>
      <c r="G10" s="41" t="s">
        <v>3323</v>
      </c>
      <c r="H10" s="41" t="s">
        <v>4100</v>
      </c>
      <c r="I10" s="41" t="s">
        <v>4101</v>
      </c>
      <c r="J10" s="41" t="s">
        <v>4102</v>
      </c>
      <c r="K10" s="48"/>
      <c r="L10" s="41" t="s">
        <v>4103</v>
      </c>
      <c r="M10" s="41" t="s">
        <v>4061</v>
      </c>
      <c r="N10" s="41" t="s">
        <v>1604</v>
      </c>
      <c r="O10" s="41" t="s">
        <v>1401</v>
      </c>
      <c r="P10" s="61" t="s">
        <v>4104</v>
      </c>
      <c r="Q10" s="61">
        <v>1</v>
      </c>
      <c r="R10" s="61" t="s">
        <v>4063</v>
      </c>
      <c r="S10" s="61" t="s">
        <v>4105</v>
      </c>
    </row>
    <row r="11" spans="1:19" ht="26.45" customHeight="1">
      <c r="A11" s="40" t="s">
        <v>1606</v>
      </c>
      <c r="B11" s="40" t="s">
        <v>1607</v>
      </c>
      <c r="C11" s="40" t="s">
        <v>4097</v>
      </c>
      <c r="D11" s="40" t="s">
        <v>4106</v>
      </c>
      <c r="E11" s="40" t="s">
        <v>173</v>
      </c>
      <c r="F11" s="40" t="s">
        <v>4107</v>
      </c>
      <c r="G11" s="40" t="s">
        <v>3357</v>
      </c>
      <c r="H11" s="40" t="s">
        <v>4108</v>
      </c>
      <c r="I11" s="40" t="s">
        <v>4109</v>
      </c>
      <c r="J11" s="40" t="s">
        <v>4110</v>
      </c>
      <c r="K11" s="48"/>
      <c r="L11" s="40" t="s">
        <v>4111</v>
      </c>
      <c r="M11" s="40" t="s">
        <v>4061</v>
      </c>
      <c r="N11" s="40" t="s">
        <v>1612</v>
      </c>
      <c r="O11" s="40" t="s">
        <v>1401</v>
      </c>
      <c r="P11" s="61" t="s">
        <v>4112</v>
      </c>
      <c r="Q11" s="61">
        <v>1</v>
      </c>
      <c r="R11" s="61" t="s">
        <v>4063</v>
      </c>
      <c r="S11" s="61" t="s">
        <v>4113</v>
      </c>
    </row>
    <row r="12" spans="1:19" ht="26.45" customHeight="1">
      <c r="A12" s="41" t="s">
        <v>1615</v>
      </c>
      <c r="B12" s="41" t="s">
        <v>1616</v>
      </c>
      <c r="C12" s="41" t="s">
        <v>4054</v>
      </c>
      <c r="D12" s="41" t="s">
        <v>4114</v>
      </c>
      <c r="E12" s="41" t="s">
        <v>181</v>
      </c>
      <c r="F12" s="41" t="s">
        <v>4115</v>
      </c>
      <c r="G12" s="41" t="s">
        <v>3376</v>
      </c>
      <c r="H12" s="41" t="s">
        <v>4116</v>
      </c>
      <c r="I12" s="41" t="s">
        <v>4117</v>
      </c>
      <c r="J12" s="41" t="s">
        <v>4118</v>
      </c>
      <c r="K12" s="48"/>
      <c r="L12" s="41" t="s">
        <v>4119</v>
      </c>
      <c r="M12" s="41" t="s">
        <v>4061</v>
      </c>
      <c r="N12" s="41" t="s">
        <v>1621</v>
      </c>
      <c r="O12" s="41" t="s">
        <v>1401</v>
      </c>
      <c r="P12" s="61" t="s">
        <v>4120</v>
      </c>
      <c r="Q12" s="61">
        <v>1</v>
      </c>
      <c r="R12" s="61" t="s">
        <v>4063</v>
      </c>
      <c r="S12" s="61" t="s">
        <v>4121</v>
      </c>
    </row>
    <row r="13" spans="1:19" ht="26.45" customHeight="1">
      <c r="A13" s="40" t="s">
        <v>1623</v>
      </c>
      <c r="B13" s="40" t="s">
        <v>1624</v>
      </c>
      <c r="C13" s="40" t="s">
        <v>4122</v>
      </c>
      <c r="D13" s="40" t="s">
        <v>4123</v>
      </c>
      <c r="E13" s="40" t="s">
        <v>188</v>
      </c>
      <c r="F13" s="40" t="s">
        <v>4124</v>
      </c>
      <c r="G13" s="40" t="s">
        <v>3394</v>
      </c>
      <c r="H13" s="40" t="s">
        <v>4125</v>
      </c>
      <c r="I13" s="40" t="s">
        <v>4126</v>
      </c>
      <c r="J13" s="40" t="s">
        <v>4127</v>
      </c>
      <c r="K13" s="48"/>
      <c r="L13" s="40" t="s">
        <v>4128</v>
      </c>
      <c r="M13" s="40" t="s">
        <v>4061</v>
      </c>
      <c r="N13" s="40" t="s">
        <v>1629</v>
      </c>
      <c r="O13" s="40" t="s">
        <v>1401</v>
      </c>
      <c r="P13" s="61" t="s">
        <v>4129</v>
      </c>
      <c r="Q13" s="61">
        <v>1</v>
      </c>
      <c r="R13" s="61" t="s">
        <v>4063</v>
      </c>
      <c r="S13" s="61" t="s">
        <v>4130</v>
      </c>
    </row>
    <row r="14" spans="1:19" ht="26.45" customHeight="1">
      <c r="A14" s="41" t="s">
        <v>1632</v>
      </c>
      <c r="B14" s="41" t="s">
        <v>1633</v>
      </c>
      <c r="C14" s="41" t="s">
        <v>4097</v>
      </c>
      <c r="D14" s="41" t="s">
        <v>4131</v>
      </c>
      <c r="E14" s="41" t="s">
        <v>196</v>
      </c>
      <c r="F14" s="41" t="s">
        <v>4132</v>
      </c>
      <c r="G14" s="41" t="s">
        <v>3414</v>
      </c>
      <c r="H14" s="41" t="s">
        <v>4133</v>
      </c>
      <c r="I14" s="41" t="s">
        <v>4134</v>
      </c>
      <c r="J14" s="41" t="s">
        <v>4135</v>
      </c>
      <c r="K14" s="48"/>
      <c r="L14" s="41" t="s">
        <v>4136</v>
      </c>
      <c r="M14" s="41" t="s">
        <v>4061</v>
      </c>
      <c r="N14" s="41" t="s">
        <v>1638</v>
      </c>
      <c r="O14" s="41" t="s">
        <v>1401</v>
      </c>
      <c r="P14" s="61" t="s">
        <v>4137</v>
      </c>
      <c r="Q14" s="61">
        <v>1</v>
      </c>
      <c r="R14" s="61" t="s">
        <v>4063</v>
      </c>
      <c r="S14" s="61" t="s">
        <v>4138</v>
      </c>
    </row>
    <row r="15" spans="1:19" ht="26.45" customHeight="1">
      <c r="A15" s="40" t="s">
        <v>1640</v>
      </c>
      <c r="B15" s="40" t="s">
        <v>1641</v>
      </c>
      <c r="C15" s="40" t="s">
        <v>4054</v>
      </c>
      <c r="D15" s="40" t="s">
        <v>4139</v>
      </c>
      <c r="E15" s="40" t="s">
        <v>204</v>
      </c>
      <c r="F15" s="40" t="s">
        <v>4140</v>
      </c>
      <c r="G15" s="40" t="s">
        <v>3444</v>
      </c>
      <c r="H15" s="40" t="s">
        <v>4141</v>
      </c>
      <c r="I15" s="40" t="s">
        <v>4142</v>
      </c>
      <c r="J15" s="40" t="s">
        <v>4143</v>
      </c>
      <c r="K15" s="48"/>
      <c r="L15" s="40" t="s">
        <v>4144</v>
      </c>
      <c r="M15" s="40" t="s">
        <v>4061</v>
      </c>
      <c r="N15" s="40" t="s">
        <v>780</v>
      </c>
      <c r="O15" s="40" t="s">
        <v>1401</v>
      </c>
      <c r="P15" s="61" t="s">
        <v>4145</v>
      </c>
      <c r="Q15" s="61">
        <v>1</v>
      </c>
      <c r="R15" s="61" t="s">
        <v>4063</v>
      </c>
      <c r="S15" s="61" t="s">
        <v>4146</v>
      </c>
    </row>
    <row r="16" spans="1:19" ht="26.45" customHeight="1">
      <c r="A16" s="41" t="s">
        <v>1646</v>
      </c>
      <c r="B16" s="41" t="s">
        <v>1647</v>
      </c>
      <c r="C16" s="41" t="s">
        <v>4097</v>
      </c>
      <c r="D16" s="41" t="s">
        <v>4147</v>
      </c>
      <c r="E16" s="41" t="s">
        <v>211</v>
      </c>
      <c r="F16" s="41" t="s">
        <v>4148</v>
      </c>
      <c r="G16" s="41" t="s">
        <v>3462</v>
      </c>
      <c r="H16" s="41" t="s">
        <v>4149</v>
      </c>
      <c r="I16" s="41" t="s">
        <v>4150</v>
      </c>
      <c r="J16" s="41" t="s">
        <v>4151</v>
      </c>
      <c r="K16" s="48"/>
      <c r="L16" s="41" t="s">
        <v>4152</v>
      </c>
      <c r="M16" s="41" t="s">
        <v>4061</v>
      </c>
      <c r="N16" s="41" t="s">
        <v>1652</v>
      </c>
      <c r="O16" s="41" t="s">
        <v>1401</v>
      </c>
      <c r="P16" s="61" t="s">
        <v>4153</v>
      </c>
      <c r="Q16" s="61">
        <v>1</v>
      </c>
      <c r="R16" s="61" t="s">
        <v>4063</v>
      </c>
      <c r="S16" s="61" t="s">
        <v>4154</v>
      </c>
    </row>
    <row r="17" spans="1:19" ht="26.45" customHeight="1">
      <c r="A17" s="40" t="s">
        <v>1654</v>
      </c>
      <c r="B17" s="40" t="s">
        <v>1655</v>
      </c>
      <c r="C17" s="40" t="s">
        <v>4054</v>
      </c>
      <c r="D17" s="40" t="s">
        <v>4155</v>
      </c>
      <c r="E17" s="40" t="s">
        <v>217</v>
      </c>
      <c r="F17" s="40" t="s">
        <v>4156</v>
      </c>
      <c r="G17" s="40" t="s">
        <v>3496</v>
      </c>
      <c r="H17" s="40" t="s">
        <v>4157</v>
      </c>
      <c r="I17" s="40" t="s">
        <v>4158</v>
      </c>
      <c r="J17" s="40" t="s">
        <v>4159</v>
      </c>
      <c r="K17" s="48"/>
      <c r="L17" s="40" t="s">
        <v>4160</v>
      </c>
      <c r="M17" s="40" t="s">
        <v>4061</v>
      </c>
      <c r="N17" s="40" t="s">
        <v>1660</v>
      </c>
      <c r="O17" s="40" t="s">
        <v>1401</v>
      </c>
      <c r="P17" s="61" t="s">
        <v>4161</v>
      </c>
      <c r="Q17" s="61">
        <v>1</v>
      </c>
      <c r="R17" s="61" t="s">
        <v>4063</v>
      </c>
      <c r="S17" s="61" t="s">
        <v>4162</v>
      </c>
    </row>
    <row r="18" spans="1:19" ht="26.45" customHeight="1">
      <c r="A18" s="41" t="s">
        <v>1662</v>
      </c>
      <c r="B18" s="41" t="s">
        <v>1663</v>
      </c>
      <c r="C18" s="41" t="s">
        <v>4054</v>
      </c>
      <c r="D18" s="41" t="s">
        <v>4163</v>
      </c>
      <c r="E18" s="41" t="s">
        <v>224</v>
      </c>
      <c r="F18" s="41" t="s">
        <v>4164</v>
      </c>
      <c r="G18" s="41" t="s">
        <v>3514</v>
      </c>
      <c r="H18" s="41" t="s">
        <v>4165</v>
      </c>
      <c r="I18" s="41" t="s">
        <v>4166</v>
      </c>
      <c r="J18" s="41" t="s">
        <v>4167</v>
      </c>
      <c r="K18" s="48"/>
      <c r="L18" s="41" t="s">
        <v>4168</v>
      </c>
      <c r="M18" s="41" t="s">
        <v>4061</v>
      </c>
      <c r="N18" s="41" t="s">
        <v>842</v>
      </c>
      <c r="O18" s="41" t="s">
        <v>1401</v>
      </c>
      <c r="P18" s="61" t="s">
        <v>4169</v>
      </c>
      <c r="Q18" s="61">
        <v>1</v>
      </c>
      <c r="R18" s="61" t="s">
        <v>4063</v>
      </c>
      <c r="S18" s="61" t="s">
        <v>4170</v>
      </c>
    </row>
    <row r="19" spans="1:19" ht="26.45" customHeight="1">
      <c r="A19" s="40" t="s">
        <v>1669</v>
      </c>
      <c r="B19" s="40" t="s">
        <v>1670</v>
      </c>
      <c r="C19" s="40" t="s">
        <v>4097</v>
      </c>
      <c r="D19" s="40" t="s">
        <v>4171</v>
      </c>
      <c r="E19" s="40" t="s">
        <v>231</v>
      </c>
      <c r="F19" s="40" t="s">
        <v>4172</v>
      </c>
      <c r="G19" s="40" t="s">
        <v>3532</v>
      </c>
      <c r="H19" s="40" t="s">
        <v>4173</v>
      </c>
      <c r="I19" s="40" t="s">
        <v>4174</v>
      </c>
      <c r="J19" s="40" t="s">
        <v>4175</v>
      </c>
      <c r="K19" s="48"/>
      <c r="L19" s="40" t="s">
        <v>4176</v>
      </c>
      <c r="M19" s="40" t="s">
        <v>4061</v>
      </c>
      <c r="N19" s="40" t="s">
        <v>1675</v>
      </c>
      <c r="O19" s="40" t="s">
        <v>1401</v>
      </c>
      <c r="P19" s="61" t="s">
        <v>4177</v>
      </c>
      <c r="Q19" s="61">
        <v>1</v>
      </c>
      <c r="R19" s="61" t="s">
        <v>4063</v>
      </c>
      <c r="S19" s="61" t="s">
        <v>4178</v>
      </c>
    </row>
    <row r="20" spans="1:19" ht="26.45" customHeight="1">
      <c r="A20" s="41" t="s">
        <v>1677</v>
      </c>
      <c r="B20" s="41" t="s">
        <v>1678</v>
      </c>
      <c r="C20" s="41" t="s">
        <v>4097</v>
      </c>
      <c r="D20" s="41" t="s">
        <v>4179</v>
      </c>
      <c r="E20" s="41" t="s">
        <v>239</v>
      </c>
      <c r="F20" s="41" t="s">
        <v>4180</v>
      </c>
      <c r="G20" s="41" t="s">
        <v>3562</v>
      </c>
      <c r="H20" s="41" t="s">
        <v>4181</v>
      </c>
      <c r="I20" s="41" t="s">
        <v>4182</v>
      </c>
      <c r="J20" s="41" t="s">
        <v>4183</v>
      </c>
      <c r="K20" s="48"/>
      <c r="L20" s="41" t="s">
        <v>4184</v>
      </c>
      <c r="M20" s="41" t="s">
        <v>4061</v>
      </c>
      <c r="N20" s="41" t="s">
        <v>1683</v>
      </c>
      <c r="O20" s="41" t="s">
        <v>1401</v>
      </c>
      <c r="P20" s="61" t="s">
        <v>4185</v>
      </c>
      <c r="Q20" s="61">
        <v>1</v>
      </c>
      <c r="R20" s="61" t="s">
        <v>4063</v>
      </c>
      <c r="S20" s="61" t="s">
        <v>4186</v>
      </c>
    </row>
    <row r="21" spans="1:19" ht="26.45" customHeight="1">
      <c r="A21" s="40" t="s">
        <v>1685</v>
      </c>
      <c r="B21" s="40" t="s">
        <v>1686</v>
      </c>
      <c r="C21" s="40" t="s">
        <v>4097</v>
      </c>
      <c r="D21" s="40" t="s">
        <v>4187</v>
      </c>
      <c r="E21" s="40" t="s">
        <v>247</v>
      </c>
      <c r="F21" s="40" t="s">
        <v>4188</v>
      </c>
      <c r="G21" s="40" t="s">
        <v>3580</v>
      </c>
      <c r="H21" s="40" t="s">
        <v>4189</v>
      </c>
      <c r="I21" s="40" t="s">
        <v>4190</v>
      </c>
      <c r="J21" s="40" t="s">
        <v>4191</v>
      </c>
      <c r="K21" s="48"/>
      <c r="L21" s="40" t="s">
        <v>4192</v>
      </c>
      <c r="M21" s="40" t="s">
        <v>4061</v>
      </c>
      <c r="N21" s="40" t="s">
        <v>1691</v>
      </c>
      <c r="O21" s="40" t="s">
        <v>1401</v>
      </c>
      <c r="P21" s="61" t="s">
        <v>4193</v>
      </c>
      <c r="Q21" s="61">
        <v>1</v>
      </c>
      <c r="R21" s="61" t="s">
        <v>4063</v>
      </c>
      <c r="S21" s="61" t="s">
        <v>4194</v>
      </c>
    </row>
    <row r="22" spans="1:19" ht="26.45" customHeight="1">
      <c r="A22" s="41" t="s">
        <v>1694</v>
      </c>
      <c r="B22" s="41" t="s">
        <v>1695</v>
      </c>
      <c r="C22" s="41" t="s">
        <v>4054</v>
      </c>
      <c r="D22" s="41" t="s">
        <v>4195</v>
      </c>
      <c r="E22" s="41" t="s">
        <v>255</v>
      </c>
      <c r="F22" s="41" t="s">
        <v>4196</v>
      </c>
      <c r="G22" s="41" t="s">
        <v>3597</v>
      </c>
      <c r="H22" s="41" t="s">
        <v>4197</v>
      </c>
      <c r="I22" s="41" t="s">
        <v>4198</v>
      </c>
      <c r="J22" s="41" t="s">
        <v>4199</v>
      </c>
      <c r="K22" s="48"/>
      <c r="L22" s="41" t="s">
        <v>4200</v>
      </c>
      <c r="M22" s="41" t="s">
        <v>4061</v>
      </c>
      <c r="N22" s="41" t="s">
        <v>919</v>
      </c>
      <c r="O22" s="41" t="s">
        <v>1401</v>
      </c>
      <c r="P22" s="61" t="s">
        <v>4201</v>
      </c>
      <c r="Q22" s="61">
        <v>1</v>
      </c>
      <c r="R22" s="61" t="s">
        <v>4063</v>
      </c>
      <c r="S22" s="61" t="s">
        <v>4202</v>
      </c>
    </row>
    <row r="23" spans="1:19" ht="26.45" customHeight="1">
      <c r="A23" s="40" t="s">
        <v>1700</v>
      </c>
      <c r="B23" s="40" t="s">
        <v>1701</v>
      </c>
      <c r="C23" s="40" t="s">
        <v>4054</v>
      </c>
      <c r="D23" s="40" t="s">
        <v>4203</v>
      </c>
      <c r="E23" s="40" t="s">
        <v>4204</v>
      </c>
      <c r="F23" s="40" t="s">
        <v>4205</v>
      </c>
      <c r="G23" s="40" t="s">
        <v>3615</v>
      </c>
      <c r="H23" s="40" t="s">
        <v>4206</v>
      </c>
      <c r="I23" s="40" t="s">
        <v>4207</v>
      </c>
      <c r="J23" s="40" t="s">
        <v>4208</v>
      </c>
      <c r="K23" s="48"/>
      <c r="L23" s="40" t="s">
        <v>4209</v>
      </c>
      <c r="M23" s="40" t="s">
        <v>4061</v>
      </c>
      <c r="N23" s="40" t="s">
        <v>1706</v>
      </c>
      <c r="O23" s="40" t="s">
        <v>1401</v>
      </c>
      <c r="P23" s="61" t="s">
        <v>4210</v>
      </c>
      <c r="Q23" s="61">
        <v>1</v>
      </c>
      <c r="R23" s="61" t="s">
        <v>4063</v>
      </c>
      <c r="S23" s="61" t="s">
        <v>4211</v>
      </c>
    </row>
    <row r="24" spans="1:19" ht="26.45" customHeight="1">
      <c r="A24" s="41" t="s">
        <v>1708</v>
      </c>
      <c r="B24" s="41" t="s">
        <v>1709</v>
      </c>
      <c r="C24" s="41" t="s">
        <v>4054</v>
      </c>
      <c r="D24" s="41" t="s">
        <v>4212</v>
      </c>
      <c r="E24" s="41" t="s">
        <v>270</v>
      </c>
      <c r="F24" s="41" t="s">
        <v>4213</v>
      </c>
      <c r="G24" s="41" t="s">
        <v>3634</v>
      </c>
      <c r="H24" s="41" t="s">
        <v>4214</v>
      </c>
      <c r="I24" s="41" t="s">
        <v>4215</v>
      </c>
      <c r="J24" s="41" t="s">
        <v>4216</v>
      </c>
      <c r="K24" s="48"/>
      <c r="L24" s="41" t="s">
        <v>4217</v>
      </c>
      <c r="M24" s="41" t="s">
        <v>4061</v>
      </c>
      <c r="N24" s="41" t="s">
        <v>1714</v>
      </c>
      <c r="O24" s="41" t="s">
        <v>1401</v>
      </c>
      <c r="P24" s="61" t="s">
        <v>4218</v>
      </c>
      <c r="Q24" s="61">
        <v>1</v>
      </c>
      <c r="R24" s="61" t="s">
        <v>4063</v>
      </c>
      <c r="S24" s="61" t="s">
        <v>4219</v>
      </c>
    </row>
    <row r="25" spans="1:19" ht="26.45" customHeight="1">
      <c r="A25" s="40" t="s">
        <v>1716</v>
      </c>
      <c r="B25" s="40" t="s">
        <v>1717</v>
      </c>
      <c r="C25" s="40" t="s">
        <v>4122</v>
      </c>
      <c r="D25" s="40" t="s">
        <v>4220</v>
      </c>
      <c r="E25" s="40" t="s">
        <v>278</v>
      </c>
      <c r="F25" s="40" t="s">
        <v>4221</v>
      </c>
      <c r="G25" s="40" t="s">
        <v>3655</v>
      </c>
      <c r="H25" s="40" t="s">
        <v>4222</v>
      </c>
      <c r="I25" s="40" t="s">
        <v>4223</v>
      </c>
      <c r="J25" s="40" t="s">
        <v>4224</v>
      </c>
      <c r="K25" s="48"/>
      <c r="L25" s="40" t="s">
        <v>4225</v>
      </c>
      <c r="M25" s="40" t="s">
        <v>4061</v>
      </c>
      <c r="N25" s="40" t="s">
        <v>1722</v>
      </c>
      <c r="O25" s="40" t="s">
        <v>1401</v>
      </c>
      <c r="P25" s="61" t="s">
        <v>4226</v>
      </c>
      <c r="Q25" s="61">
        <v>1</v>
      </c>
      <c r="R25" s="61" t="s">
        <v>4063</v>
      </c>
      <c r="S25" s="61" t="s">
        <v>4227</v>
      </c>
    </row>
    <row r="26" spans="1:19" ht="26.45" customHeight="1">
      <c r="A26" s="41" t="s">
        <v>1724</v>
      </c>
      <c r="B26" s="41" t="s">
        <v>1725</v>
      </c>
      <c r="C26" s="41" t="s">
        <v>4054</v>
      </c>
      <c r="D26" s="41" t="s">
        <v>4228</v>
      </c>
      <c r="E26" s="41" t="s">
        <v>286</v>
      </c>
      <c r="F26" s="41" t="s">
        <v>4229</v>
      </c>
      <c r="G26" s="41" t="s">
        <v>3674</v>
      </c>
      <c r="H26" s="41" t="s">
        <v>4230</v>
      </c>
      <c r="I26" s="41" t="s">
        <v>4231</v>
      </c>
      <c r="J26" s="41" t="s">
        <v>4232</v>
      </c>
      <c r="K26" s="48"/>
      <c r="L26" s="41" t="s">
        <v>4233</v>
      </c>
      <c r="M26" s="41" t="s">
        <v>4061</v>
      </c>
      <c r="N26" s="41" t="s">
        <v>997</v>
      </c>
      <c r="O26" s="41" t="s">
        <v>1401</v>
      </c>
      <c r="P26" s="61" t="s">
        <v>4234</v>
      </c>
      <c r="Q26" s="61">
        <v>1</v>
      </c>
      <c r="R26" s="61" t="s">
        <v>4063</v>
      </c>
      <c r="S26" s="61" t="s">
        <v>4235</v>
      </c>
    </row>
    <row r="27" spans="1:19" ht="26.45" customHeight="1">
      <c r="A27" s="40" t="s">
        <v>1730</v>
      </c>
      <c r="B27" s="40" t="s">
        <v>1731</v>
      </c>
      <c r="C27" s="40" t="s">
        <v>4097</v>
      </c>
      <c r="D27" s="40" t="s">
        <v>4236</v>
      </c>
      <c r="E27" s="40" t="s">
        <v>292</v>
      </c>
      <c r="F27" s="40" t="s">
        <v>4237</v>
      </c>
      <c r="G27" s="40" t="s">
        <v>3693</v>
      </c>
      <c r="H27" s="40" t="s">
        <v>4238</v>
      </c>
      <c r="I27" s="40" t="s">
        <v>4239</v>
      </c>
      <c r="J27" s="40" t="s">
        <v>4240</v>
      </c>
      <c r="K27" s="48"/>
      <c r="L27" s="40" t="s">
        <v>4241</v>
      </c>
      <c r="M27" s="40" t="s">
        <v>4061</v>
      </c>
      <c r="N27" s="40" t="s">
        <v>1736</v>
      </c>
      <c r="O27" s="40" t="s">
        <v>1401</v>
      </c>
      <c r="P27" s="61" t="s">
        <v>4242</v>
      </c>
      <c r="Q27" s="61">
        <v>1</v>
      </c>
      <c r="R27" s="61" t="s">
        <v>4063</v>
      </c>
      <c r="S27" s="61" t="s">
        <v>4243</v>
      </c>
    </row>
    <row r="28" spans="1:19" ht="26.45" customHeight="1">
      <c r="A28" s="41" t="s">
        <v>1738</v>
      </c>
      <c r="B28" s="41" t="s">
        <v>1739</v>
      </c>
      <c r="C28" s="41" t="s">
        <v>4097</v>
      </c>
      <c r="D28" s="41" t="s">
        <v>4244</v>
      </c>
      <c r="E28" s="41" t="s">
        <v>298</v>
      </c>
      <c r="F28" s="41" t="s">
        <v>4245</v>
      </c>
      <c r="G28" s="41" t="s">
        <v>3723</v>
      </c>
      <c r="H28" s="41" t="s">
        <v>4246</v>
      </c>
      <c r="I28" s="41" t="s">
        <v>4247</v>
      </c>
      <c r="J28" s="41" t="s">
        <v>4248</v>
      </c>
      <c r="K28" s="48"/>
      <c r="L28" s="41" t="s">
        <v>4249</v>
      </c>
      <c r="M28" s="41" t="s">
        <v>4061</v>
      </c>
      <c r="N28" s="41" t="s">
        <v>1744</v>
      </c>
      <c r="O28" s="41" t="s">
        <v>1401</v>
      </c>
      <c r="P28" s="61" t="s">
        <v>4250</v>
      </c>
      <c r="Q28" s="61">
        <v>1</v>
      </c>
      <c r="R28" s="61" t="s">
        <v>4063</v>
      </c>
      <c r="S28" s="61" t="s">
        <v>4251</v>
      </c>
    </row>
    <row r="29" spans="1:19" ht="26.45" customHeight="1">
      <c r="A29" s="40" t="s">
        <v>1746</v>
      </c>
      <c r="B29" s="40" t="s">
        <v>1747</v>
      </c>
      <c r="C29" s="40" t="s">
        <v>4054</v>
      </c>
      <c r="D29" s="40" t="s">
        <v>4252</v>
      </c>
      <c r="E29" s="40" t="s">
        <v>305</v>
      </c>
      <c r="F29" s="40" t="s">
        <v>4253</v>
      </c>
      <c r="G29" s="40" t="s">
        <v>3741</v>
      </c>
      <c r="H29" s="40" t="s">
        <v>4254</v>
      </c>
      <c r="I29" s="40" t="s">
        <v>4255</v>
      </c>
      <c r="J29" s="40" t="s">
        <v>4256</v>
      </c>
      <c r="K29" s="48"/>
      <c r="L29" s="40" t="s">
        <v>4257</v>
      </c>
      <c r="M29" s="40" t="s">
        <v>4061</v>
      </c>
      <c r="N29" s="40" t="s">
        <v>1752</v>
      </c>
      <c r="O29" s="40" t="s">
        <v>1401</v>
      </c>
      <c r="P29" s="61" t="s">
        <v>4258</v>
      </c>
      <c r="Q29" s="61">
        <v>1</v>
      </c>
      <c r="R29" s="61" t="s">
        <v>4063</v>
      </c>
      <c r="S29" s="61" t="s">
        <v>4259</v>
      </c>
    </row>
    <row r="30" spans="1:19" ht="26.45" customHeight="1">
      <c r="A30" s="41" t="s">
        <v>1754</v>
      </c>
      <c r="B30" s="41" t="s">
        <v>1755</v>
      </c>
      <c r="C30" s="41" t="s">
        <v>4097</v>
      </c>
      <c r="D30" s="41" t="s">
        <v>4260</v>
      </c>
      <c r="E30" s="41" t="s">
        <v>312</v>
      </c>
      <c r="F30" s="41" t="s">
        <v>4261</v>
      </c>
      <c r="G30" s="41" t="s">
        <v>3760</v>
      </c>
      <c r="H30" s="41" t="s">
        <v>4262</v>
      </c>
      <c r="I30" s="41" t="s">
        <v>4263</v>
      </c>
      <c r="J30" s="41" t="s">
        <v>4264</v>
      </c>
      <c r="K30" s="48"/>
      <c r="L30" s="41" t="s">
        <v>4265</v>
      </c>
      <c r="M30" s="41" t="s">
        <v>4061</v>
      </c>
      <c r="N30" s="41" t="s">
        <v>1064</v>
      </c>
      <c r="O30" s="41" t="s">
        <v>1401</v>
      </c>
      <c r="P30" s="61" t="s">
        <v>4266</v>
      </c>
      <c r="Q30" s="61">
        <v>1</v>
      </c>
      <c r="R30" s="61" t="s">
        <v>4063</v>
      </c>
      <c r="S30" s="61" t="s">
        <v>4267</v>
      </c>
    </row>
    <row r="31" spans="1:19" ht="26.45" customHeight="1">
      <c r="A31" s="40" t="s">
        <v>1761</v>
      </c>
      <c r="B31" s="40" t="s">
        <v>1762</v>
      </c>
      <c r="C31" s="40" t="s">
        <v>4054</v>
      </c>
      <c r="D31" s="40" t="s">
        <v>4268</v>
      </c>
      <c r="E31" s="40" t="s">
        <v>4269</v>
      </c>
      <c r="F31" s="40" t="s">
        <v>4270</v>
      </c>
      <c r="G31" s="40" t="s">
        <v>3783</v>
      </c>
      <c r="H31" s="40" t="s">
        <v>4271</v>
      </c>
      <c r="I31" s="40" t="s">
        <v>4272</v>
      </c>
      <c r="J31" s="40" t="s">
        <v>4273</v>
      </c>
      <c r="K31" s="48"/>
      <c r="L31" s="40" t="s">
        <v>4274</v>
      </c>
      <c r="M31" s="40" t="s">
        <v>4061</v>
      </c>
      <c r="N31" s="40" t="s">
        <v>4275</v>
      </c>
      <c r="O31" s="40" t="s">
        <v>1401</v>
      </c>
      <c r="P31" s="61" t="s">
        <v>4276</v>
      </c>
      <c r="Q31" s="61">
        <v>1</v>
      </c>
      <c r="R31" s="61" t="s">
        <v>4063</v>
      </c>
      <c r="S31" s="61" t="s">
        <v>4277</v>
      </c>
    </row>
    <row r="32" spans="1:19" ht="26.45" customHeight="1">
      <c r="A32" s="41" t="s">
        <v>1786</v>
      </c>
      <c r="B32" s="41" t="s">
        <v>1787</v>
      </c>
      <c r="C32" s="41" t="s">
        <v>4054</v>
      </c>
      <c r="D32" s="41" t="s">
        <v>4278</v>
      </c>
      <c r="E32" s="41" t="s">
        <v>497</v>
      </c>
      <c r="F32" s="41" t="s">
        <v>4279</v>
      </c>
      <c r="G32" s="41" t="s">
        <v>3855</v>
      </c>
      <c r="H32" s="41" t="s">
        <v>4280</v>
      </c>
      <c r="I32" s="41" t="s">
        <v>4281</v>
      </c>
      <c r="J32" s="41" t="s">
        <v>4282</v>
      </c>
      <c r="K32" s="48"/>
      <c r="L32" s="41" t="s">
        <v>4283</v>
      </c>
      <c r="M32" s="41" t="s">
        <v>4061</v>
      </c>
      <c r="N32" s="41" t="s">
        <v>1079</v>
      </c>
      <c r="O32" s="41" t="s">
        <v>1401</v>
      </c>
      <c r="P32" s="61" t="s">
        <v>4284</v>
      </c>
      <c r="Q32" s="61">
        <v>1</v>
      </c>
      <c r="R32" s="61" t="s">
        <v>4063</v>
      </c>
      <c r="S32" s="61" t="s">
        <v>4285</v>
      </c>
    </row>
    <row r="33" spans="1:19" ht="26.45" customHeight="1">
      <c r="A33" s="40" t="s">
        <v>1796</v>
      </c>
      <c r="B33" s="40" t="s">
        <v>1797</v>
      </c>
      <c r="C33" s="40" t="s">
        <v>4054</v>
      </c>
      <c r="D33" s="40" t="s">
        <v>4286</v>
      </c>
      <c r="E33" s="40" t="s">
        <v>507</v>
      </c>
      <c r="F33" s="40" t="s">
        <v>4287</v>
      </c>
      <c r="G33" s="40" t="s">
        <v>3890</v>
      </c>
      <c r="H33" s="40" t="s">
        <v>4288</v>
      </c>
      <c r="I33" s="40" t="s">
        <v>4289</v>
      </c>
      <c r="J33" s="40" t="s">
        <v>4290</v>
      </c>
      <c r="K33" s="48"/>
      <c r="L33" s="40" t="s">
        <v>4291</v>
      </c>
      <c r="M33" s="40" t="s">
        <v>4061</v>
      </c>
      <c r="N33" s="40" t="s">
        <v>1088</v>
      </c>
      <c r="O33" s="40" t="s">
        <v>1401</v>
      </c>
      <c r="P33" s="61" t="s">
        <v>4292</v>
      </c>
      <c r="Q33" s="61">
        <v>1</v>
      </c>
      <c r="R33" s="61" t="s">
        <v>4063</v>
      </c>
      <c r="S33" s="61" t="s">
        <v>4293</v>
      </c>
    </row>
    <row r="34" spans="1:19" ht="26.45" customHeight="1">
      <c r="A34" s="41" t="s">
        <v>1802</v>
      </c>
      <c r="B34" s="41" t="s">
        <v>1803</v>
      </c>
      <c r="C34" s="41" t="s">
        <v>4054</v>
      </c>
      <c r="D34" s="41" t="s">
        <v>4294</v>
      </c>
      <c r="E34" s="41" t="s">
        <v>512</v>
      </c>
      <c r="F34" s="41" t="s">
        <v>4295</v>
      </c>
      <c r="G34" s="41" t="s">
        <v>3913</v>
      </c>
      <c r="H34" s="41" t="s">
        <v>4296</v>
      </c>
      <c r="I34" s="41" t="s">
        <v>4297</v>
      </c>
      <c r="J34" s="41" t="s">
        <v>4298</v>
      </c>
      <c r="K34" s="48"/>
      <c r="L34" s="41" t="s">
        <v>4299</v>
      </c>
      <c r="M34" s="41" t="s">
        <v>4061</v>
      </c>
      <c r="N34" s="41" t="s">
        <v>828</v>
      </c>
      <c r="O34" s="41" t="s">
        <v>1401</v>
      </c>
      <c r="P34" s="61" t="s">
        <v>4300</v>
      </c>
      <c r="Q34" s="61">
        <v>1</v>
      </c>
      <c r="R34" s="61" t="s">
        <v>4063</v>
      </c>
      <c r="S34" s="61" t="s">
        <v>4301</v>
      </c>
    </row>
    <row r="35" spans="1:19" ht="26.45" customHeight="1">
      <c r="A35" s="40" t="s">
        <v>1811</v>
      </c>
      <c r="B35" s="40" t="s">
        <v>1812</v>
      </c>
      <c r="C35" s="40" t="s">
        <v>4054</v>
      </c>
      <c r="D35" s="40" t="s">
        <v>4302</v>
      </c>
      <c r="E35" s="40" t="s">
        <v>518</v>
      </c>
      <c r="F35" s="40" t="s">
        <v>4303</v>
      </c>
      <c r="G35" s="40" t="s">
        <v>3931</v>
      </c>
      <c r="H35" s="40" t="s">
        <v>4304</v>
      </c>
      <c r="I35" s="40" t="s">
        <v>4305</v>
      </c>
      <c r="J35" s="40" t="s">
        <v>4306</v>
      </c>
      <c r="K35" s="48"/>
      <c r="L35" s="40" t="s">
        <v>4307</v>
      </c>
      <c r="M35" s="40" t="s">
        <v>4061</v>
      </c>
      <c r="N35" s="40" t="s">
        <v>744</v>
      </c>
      <c r="O35" s="40" t="s">
        <v>1401</v>
      </c>
      <c r="P35" s="61" t="s">
        <v>4308</v>
      </c>
      <c r="Q35" s="61">
        <v>1</v>
      </c>
      <c r="R35" s="61" t="s">
        <v>4063</v>
      </c>
      <c r="S35" s="61" t="s">
        <v>4309</v>
      </c>
    </row>
    <row r="36" spans="1:19" ht="26.45" customHeight="1">
      <c r="A36" s="41" t="s">
        <v>1817</v>
      </c>
      <c r="B36" s="41" t="s">
        <v>1100</v>
      </c>
      <c r="C36" s="41" t="s">
        <v>4122</v>
      </c>
      <c r="D36" s="41" t="s">
        <v>4310</v>
      </c>
      <c r="E36" s="41" t="s">
        <v>523</v>
      </c>
      <c r="F36" s="41" t="s">
        <v>4311</v>
      </c>
      <c r="G36" s="41" t="s">
        <v>3949</v>
      </c>
      <c r="H36" s="41" t="s">
        <v>4312</v>
      </c>
      <c r="I36" s="41" t="s">
        <v>4313</v>
      </c>
      <c r="J36" s="41" t="s">
        <v>4314</v>
      </c>
      <c r="K36" s="48"/>
      <c r="L36" s="41" t="s">
        <v>4315</v>
      </c>
      <c r="M36" s="41" t="s">
        <v>4061</v>
      </c>
      <c r="N36" s="41" t="s">
        <v>1097</v>
      </c>
      <c r="O36" s="41" t="s">
        <v>1401</v>
      </c>
      <c r="P36" s="61" t="s">
        <v>4316</v>
      </c>
      <c r="Q36" s="61">
        <v>1</v>
      </c>
      <c r="R36" s="61" t="s">
        <v>4063</v>
      </c>
      <c r="S36" s="61" t="s">
        <v>4317</v>
      </c>
    </row>
    <row r="37" spans="1:19" ht="26.45" customHeight="1">
      <c r="A37" s="40" t="s">
        <v>1822</v>
      </c>
      <c r="B37" s="40" t="s">
        <v>1823</v>
      </c>
      <c r="C37" s="40" t="s">
        <v>4054</v>
      </c>
      <c r="D37" s="40" t="s">
        <v>4318</v>
      </c>
      <c r="E37" s="40" t="s">
        <v>528</v>
      </c>
      <c r="F37" s="40" t="s">
        <v>4319</v>
      </c>
      <c r="G37" s="40" t="s">
        <v>3968</v>
      </c>
      <c r="H37" s="40" t="s">
        <v>4320</v>
      </c>
      <c r="I37" s="40" t="s">
        <v>4321</v>
      </c>
      <c r="J37" s="40" t="s">
        <v>4322</v>
      </c>
      <c r="K37" s="48"/>
      <c r="L37" s="40" t="s">
        <v>4323</v>
      </c>
      <c r="M37" s="40" t="s">
        <v>4061</v>
      </c>
      <c r="N37" s="40" t="s">
        <v>1104</v>
      </c>
      <c r="O37" s="40" t="s">
        <v>1401</v>
      </c>
      <c r="P37" s="61" t="s">
        <v>4324</v>
      </c>
      <c r="Q37" s="61">
        <v>1</v>
      </c>
      <c r="R37" s="61" t="s">
        <v>4063</v>
      </c>
      <c r="S37" s="61" t="s">
        <v>4325</v>
      </c>
    </row>
    <row r="38" spans="1:19" ht="26.45" customHeight="1">
      <c r="A38" s="41" t="s">
        <v>1828</v>
      </c>
      <c r="B38" s="41" t="s">
        <v>1829</v>
      </c>
      <c r="C38" s="41" t="s">
        <v>4326</v>
      </c>
      <c r="D38" s="41" t="s">
        <v>4327</v>
      </c>
      <c r="E38" s="41" t="s">
        <v>533</v>
      </c>
      <c r="F38" s="41" t="s">
        <v>4328</v>
      </c>
      <c r="G38" s="41" t="s">
        <v>3985</v>
      </c>
      <c r="H38" s="41" t="s">
        <v>4329</v>
      </c>
      <c r="I38" s="41" t="s">
        <v>4330</v>
      </c>
      <c r="J38" s="41" t="s">
        <v>4331</v>
      </c>
      <c r="K38" s="48"/>
      <c r="L38" s="41" t="s">
        <v>4332</v>
      </c>
      <c r="M38" s="41" t="s">
        <v>4061</v>
      </c>
      <c r="N38" s="41" t="s">
        <v>1112</v>
      </c>
      <c r="O38" s="41" t="s">
        <v>1401</v>
      </c>
      <c r="P38" s="61" t="s">
        <v>4333</v>
      </c>
      <c r="Q38" s="61">
        <v>1</v>
      </c>
      <c r="R38" s="61" t="s">
        <v>4063</v>
      </c>
      <c r="S38" s="61" t="s">
        <v>4334</v>
      </c>
    </row>
    <row r="39" spans="1:19" ht="66" customHeight="1">
      <c r="A39" s="40" t="s">
        <v>1834</v>
      </c>
      <c r="B39" s="40" t="s">
        <v>539</v>
      </c>
      <c r="C39" s="40" t="s">
        <v>4335</v>
      </c>
      <c r="D39" s="40" t="s">
        <v>4336</v>
      </c>
      <c r="E39" s="40" t="s">
        <v>537</v>
      </c>
      <c r="F39" s="40" t="s">
        <v>4337</v>
      </c>
      <c r="G39" s="40" t="s">
        <v>4004</v>
      </c>
      <c r="H39" s="40" t="s">
        <v>4338</v>
      </c>
      <c r="I39" s="40" t="s">
        <v>4339</v>
      </c>
      <c r="J39" s="40" t="s">
        <v>4340</v>
      </c>
      <c r="K39" s="48"/>
      <c r="L39" s="40" t="s">
        <v>4341</v>
      </c>
      <c r="M39" s="40" t="s">
        <v>4061</v>
      </c>
      <c r="N39" s="40" t="s">
        <v>1121</v>
      </c>
      <c r="O39" s="40" t="s">
        <v>1401</v>
      </c>
      <c r="P39" s="61" t="s">
        <v>4342</v>
      </c>
      <c r="Q39" s="61">
        <v>3</v>
      </c>
      <c r="R39" s="61" t="s">
        <v>4063</v>
      </c>
      <c r="S39" s="61" t="s">
        <v>4343</v>
      </c>
    </row>
    <row r="40" spans="1:19" ht="39.6" customHeight="1">
      <c r="A40" s="41" t="s">
        <v>1842</v>
      </c>
      <c r="B40" s="41" t="s">
        <v>544</v>
      </c>
      <c r="C40" s="41" t="s">
        <v>4344</v>
      </c>
      <c r="D40" s="41" t="s">
        <v>4345</v>
      </c>
      <c r="E40" s="41" t="s">
        <v>543</v>
      </c>
      <c r="F40" s="41" t="s">
        <v>4346</v>
      </c>
      <c r="G40" s="41" t="s">
        <v>4023</v>
      </c>
      <c r="H40" s="41" t="s">
        <v>4347</v>
      </c>
      <c r="I40" s="41" t="s">
        <v>4348</v>
      </c>
      <c r="J40" s="41" t="s">
        <v>4349</v>
      </c>
      <c r="K40" s="48"/>
      <c r="L40" s="41" t="s">
        <v>4350</v>
      </c>
      <c r="M40" s="41" t="s">
        <v>4061</v>
      </c>
      <c r="N40" s="41" t="s">
        <v>1042</v>
      </c>
      <c r="O40" s="41" t="s">
        <v>1401</v>
      </c>
      <c r="P40" s="61" t="s">
        <v>4351</v>
      </c>
      <c r="Q40" s="61">
        <v>3</v>
      </c>
      <c r="R40" s="61" t="s">
        <v>4063</v>
      </c>
      <c r="S40" s="61" t="s">
        <v>4352</v>
      </c>
    </row>
  </sheetData>
  <mergeCells count="2">
    <mergeCell ref="A1:O1"/>
    <mergeCell ref="A2:O2"/>
  </mergeCells>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116"/>
  <sheetViews>
    <sheetView showGridLines="0" topLeftCell="A22" workbookViewId="0">
      <selection sqref="A1:R1"/>
    </sheetView>
  </sheetViews>
  <sheetFormatPr baseColWidth="10" defaultColWidth="9" defaultRowHeight="14.25"/>
  <cols>
    <col min="1" max="1" width="24" customWidth="1"/>
    <col min="2" max="2" width="14" customWidth="1"/>
    <col min="3" max="3" width="17" customWidth="1"/>
    <col min="4" max="4" width="40" customWidth="1"/>
    <col min="5" max="5" width="30" customWidth="1"/>
    <col min="6" max="6" width="26" customWidth="1"/>
    <col min="7" max="7" width="58" customWidth="1"/>
    <col min="8" max="8" width="48" customWidth="1"/>
    <col min="9" max="9" width="44" customWidth="1"/>
    <col min="10" max="10" width="38" customWidth="1"/>
    <col min="11" max="11" width="58" customWidth="1"/>
    <col min="12" max="12" width="16" customWidth="1"/>
    <col min="13" max="14" width="50" customWidth="1"/>
    <col min="15" max="15" width="58" customWidth="1"/>
    <col min="16" max="16" width="28" customWidth="1"/>
    <col min="17" max="17" width="25" customWidth="1"/>
    <col min="18" max="18" width="52" customWidth="1"/>
  </cols>
  <sheetData>
    <row r="1" spans="1:18" ht="27.95" customHeight="1">
      <c r="A1" s="66" t="s">
        <v>4353</v>
      </c>
      <c r="B1" s="66"/>
      <c r="C1" s="66"/>
      <c r="D1" s="66"/>
      <c r="E1" s="66"/>
      <c r="F1" s="66"/>
      <c r="G1" s="66"/>
      <c r="H1" s="66"/>
      <c r="I1" s="66"/>
      <c r="J1" s="66"/>
      <c r="K1" s="66"/>
      <c r="L1" s="66"/>
      <c r="M1" s="66"/>
      <c r="N1" s="66"/>
      <c r="O1" s="66"/>
      <c r="P1" s="66"/>
      <c r="Q1" s="66"/>
      <c r="R1" s="66"/>
    </row>
    <row r="2" spans="1:18" ht="38.1" customHeight="1">
      <c r="A2" s="67" t="s">
        <v>4354</v>
      </c>
      <c r="B2" s="67"/>
      <c r="C2" s="67"/>
      <c r="D2" s="67"/>
      <c r="E2" s="67"/>
      <c r="F2" s="67"/>
      <c r="G2" s="67"/>
      <c r="H2" s="67"/>
      <c r="I2" s="67"/>
      <c r="J2" s="67"/>
      <c r="K2" s="67"/>
      <c r="L2" s="67"/>
      <c r="M2" s="67"/>
      <c r="N2" s="67"/>
      <c r="O2" s="67"/>
      <c r="P2" s="67"/>
      <c r="Q2" s="67"/>
      <c r="R2" s="67"/>
    </row>
    <row r="3" spans="1:18">
      <c r="A3" s="26"/>
      <c r="B3" s="26"/>
      <c r="C3" s="26"/>
      <c r="D3" s="26"/>
      <c r="E3" s="26"/>
      <c r="F3" s="26"/>
      <c r="G3" s="26"/>
      <c r="H3" s="26"/>
      <c r="I3" s="26"/>
      <c r="J3" s="26"/>
      <c r="K3" s="26"/>
      <c r="L3" s="26"/>
      <c r="M3" s="26"/>
      <c r="N3" s="26"/>
      <c r="O3" s="26"/>
      <c r="P3" s="26"/>
      <c r="Q3" s="26"/>
      <c r="R3" s="26"/>
    </row>
    <row r="4" spans="1:18" ht="42" customHeight="1">
      <c r="A4" s="39" t="s">
        <v>4355</v>
      </c>
      <c r="B4" s="39" t="s">
        <v>97</v>
      </c>
      <c r="C4" s="39" t="s">
        <v>4356</v>
      </c>
      <c r="D4" s="39" t="s">
        <v>552</v>
      </c>
      <c r="E4" s="39" t="s">
        <v>553</v>
      </c>
      <c r="F4" s="39" t="s">
        <v>4357</v>
      </c>
      <c r="G4" s="39" t="s">
        <v>4358</v>
      </c>
      <c r="H4" s="39" t="s">
        <v>4359</v>
      </c>
      <c r="I4" s="39" t="s">
        <v>562</v>
      </c>
      <c r="J4" s="39" t="s">
        <v>4360</v>
      </c>
      <c r="K4" s="39" t="s">
        <v>4361</v>
      </c>
      <c r="L4" s="39" t="s">
        <v>4362</v>
      </c>
      <c r="M4" s="39" t="s">
        <v>4363</v>
      </c>
      <c r="N4" s="39" t="s">
        <v>4364</v>
      </c>
      <c r="O4" s="39" t="s">
        <v>125</v>
      </c>
      <c r="P4" s="39" t="s">
        <v>4365</v>
      </c>
      <c r="Q4" s="39" t="s">
        <v>4366</v>
      </c>
      <c r="R4" s="39" t="s">
        <v>4367</v>
      </c>
    </row>
    <row r="5" spans="1:18" ht="81.95" customHeight="1">
      <c r="A5" s="40" t="s">
        <v>1905</v>
      </c>
      <c r="B5" s="40" t="s">
        <v>126</v>
      </c>
      <c r="C5" s="40" t="s">
        <v>4368</v>
      </c>
      <c r="D5" s="40" t="s">
        <v>569</v>
      </c>
      <c r="E5" s="40" t="s">
        <v>477</v>
      </c>
      <c r="F5" s="40" t="s">
        <v>1911</v>
      </c>
      <c r="G5" s="40" t="s">
        <v>575</v>
      </c>
      <c r="H5" s="40"/>
      <c r="I5" s="40" t="s">
        <v>576</v>
      </c>
      <c r="J5" s="40" t="s">
        <v>576</v>
      </c>
      <c r="K5" s="40" t="s">
        <v>574</v>
      </c>
      <c r="L5" s="40" t="s">
        <v>4369</v>
      </c>
      <c r="M5" s="40" t="s">
        <v>4370</v>
      </c>
      <c r="N5" s="40" t="s">
        <v>4371</v>
      </c>
      <c r="O5" s="40" t="s">
        <v>4372</v>
      </c>
      <c r="P5" s="40" t="s">
        <v>4373</v>
      </c>
      <c r="Q5" s="40" t="s">
        <v>1561</v>
      </c>
      <c r="R5" s="40" t="s">
        <v>577</v>
      </c>
    </row>
    <row r="6" spans="1:18" ht="81.95" customHeight="1">
      <c r="A6" s="41" t="s">
        <v>1925</v>
      </c>
      <c r="B6" s="41" t="s">
        <v>126</v>
      </c>
      <c r="C6" s="41" t="s">
        <v>4374</v>
      </c>
      <c r="D6" s="41" t="s">
        <v>580</v>
      </c>
      <c r="E6" s="41" t="s">
        <v>581</v>
      </c>
      <c r="F6" s="41" t="s">
        <v>1911</v>
      </c>
      <c r="G6" s="41" t="s">
        <v>586</v>
      </c>
      <c r="H6" s="41"/>
      <c r="I6" s="41" t="s">
        <v>587</v>
      </c>
      <c r="J6" s="41" t="s">
        <v>587</v>
      </c>
      <c r="K6" s="41" t="s">
        <v>585</v>
      </c>
      <c r="L6" s="41" t="s">
        <v>4375</v>
      </c>
      <c r="M6" s="41" t="s">
        <v>4376</v>
      </c>
      <c r="N6" s="41" t="s">
        <v>4371</v>
      </c>
      <c r="O6" s="41" t="s">
        <v>4377</v>
      </c>
      <c r="P6" s="41" t="s">
        <v>4373</v>
      </c>
      <c r="Q6" s="41" t="s">
        <v>4378</v>
      </c>
      <c r="R6" s="41" t="s">
        <v>588</v>
      </c>
    </row>
    <row r="7" spans="1:18" ht="81.95" customHeight="1">
      <c r="A7" s="40" t="s">
        <v>1932</v>
      </c>
      <c r="B7" s="40" t="s">
        <v>126</v>
      </c>
      <c r="C7" s="40" t="s">
        <v>4379</v>
      </c>
      <c r="D7" s="40" t="s">
        <v>591</v>
      </c>
      <c r="E7" s="40" t="s">
        <v>592</v>
      </c>
      <c r="F7" s="40" t="s">
        <v>1911</v>
      </c>
      <c r="G7" s="40" t="s">
        <v>596</v>
      </c>
      <c r="H7" s="40"/>
      <c r="I7" s="40" t="s">
        <v>597</v>
      </c>
      <c r="J7" s="40" t="s">
        <v>597</v>
      </c>
      <c r="K7" s="40" t="s">
        <v>595</v>
      </c>
      <c r="L7" s="40" t="s">
        <v>4375</v>
      </c>
      <c r="M7" s="40" t="s">
        <v>4380</v>
      </c>
      <c r="N7" s="40" t="s">
        <v>4371</v>
      </c>
      <c r="O7" s="40" t="s">
        <v>4381</v>
      </c>
      <c r="P7" s="40" t="s">
        <v>4373</v>
      </c>
      <c r="Q7" s="40" t="s">
        <v>4378</v>
      </c>
      <c r="R7" s="40" t="s">
        <v>598</v>
      </c>
    </row>
    <row r="8" spans="1:18" ht="81.95" customHeight="1">
      <c r="A8" s="41" t="s">
        <v>2020</v>
      </c>
      <c r="B8" s="41" t="s">
        <v>136</v>
      </c>
      <c r="C8" s="41" t="s">
        <v>4368</v>
      </c>
      <c r="D8" s="41" t="s">
        <v>601</v>
      </c>
      <c r="E8" s="41" t="s">
        <v>602</v>
      </c>
      <c r="F8" s="41" t="s">
        <v>1911</v>
      </c>
      <c r="G8" s="41" t="s">
        <v>605</v>
      </c>
      <c r="H8" s="41"/>
      <c r="I8" s="41" t="s">
        <v>606</v>
      </c>
      <c r="J8" s="41" t="s">
        <v>606</v>
      </c>
      <c r="K8" s="41" t="s">
        <v>604</v>
      </c>
      <c r="L8" s="41" t="s">
        <v>4369</v>
      </c>
      <c r="M8" s="41" t="s">
        <v>4382</v>
      </c>
      <c r="N8" s="41" t="s">
        <v>4371</v>
      </c>
      <c r="O8" s="41" t="s">
        <v>4383</v>
      </c>
      <c r="P8" s="41" t="s">
        <v>4373</v>
      </c>
      <c r="Q8" s="41" t="s">
        <v>1561</v>
      </c>
      <c r="R8" s="41" t="s">
        <v>607</v>
      </c>
    </row>
    <row r="9" spans="1:18" ht="81.95" customHeight="1">
      <c r="A9" s="40" t="s">
        <v>2027</v>
      </c>
      <c r="B9" s="40" t="s">
        <v>136</v>
      </c>
      <c r="C9" s="40" t="s">
        <v>4374</v>
      </c>
      <c r="D9" s="40" t="s">
        <v>610</v>
      </c>
      <c r="E9" s="40" t="s">
        <v>611</v>
      </c>
      <c r="F9" s="40" t="s">
        <v>1911</v>
      </c>
      <c r="G9" s="40" t="s">
        <v>614</v>
      </c>
      <c r="H9" s="40"/>
      <c r="I9" s="40" t="s">
        <v>615</v>
      </c>
      <c r="J9" s="40" t="s">
        <v>615</v>
      </c>
      <c r="K9" s="40" t="s">
        <v>613</v>
      </c>
      <c r="L9" s="40" t="s">
        <v>4369</v>
      </c>
      <c r="M9" s="40" t="s">
        <v>4384</v>
      </c>
      <c r="N9" s="40" t="s">
        <v>4371</v>
      </c>
      <c r="O9" s="40" t="s">
        <v>4385</v>
      </c>
      <c r="P9" s="40" t="s">
        <v>4373</v>
      </c>
      <c r="Q9" s="40" t="s">
        <v>1561</v>
      </c>
      <c r="R9" s="40" t="s">
        <v>616</v>
      </c>
    </row>
    <row r="10" spans="1:18" ht="81.95" customHeight="1">
      <c r="A10" s="41" t="s">
        <v>2034</v>
      </c>
      <c r="B10" s="41" t="s">
        <v>136</v>
      </c>
      <c r="C10" s="41" t="s">
        <v>4379</v>
      </c>
      <c r="D10" s="41" t="s">
        <v>619</v>
      </c>
      <c r="E10" s="41" t="s">
        <v>620</v>
      </c>
      <c r="F10" s="41" t="s">
        <v>1911</v>
      </c>
      <c r="G10" s="41" t="s">
        <v>622</v>
      </c>
      <c r="H10" s="41"/>
      <c r="I10" s="41" t="s">
        <v>623</v>
      </c>
      <c r="J10" s="41" t="s">
        <v>623</v>
      </c>
      <c r="K10" s="41" t="s">
        <v>621</v>
      </c>
      <c r="L10" s="41" t="s">
        <v>4375</v>
      </c>
      <c r="M10" s="41" t="s">
        <v>4386</v>
      </c>
      <c r="N10" s="41" t="s">
        <v>4371</v>
      </c>
      <c r="O10" s="41" t="s">
        <v>4387</v>
      </c>
      <c r="P10" s="41" t="s">
        <v>4373</v>
      </c>
      <c r="Q10" s="41" t="s">
        <v>4378</v>
      </c>
      <c r="R10" s="41" t="s">
        <v>624</v>
      </c>
    </row>
    <row r="11" spans="1:18" ht="81.95" customHeight="1">
      <c r="A11" s="40" t="s">
        <v>2060</v>
      </c>
      <c r="B11" s="40" t="s">
        <v>144</v>
      </c>
      <c r="C11" s="40" t="s">
        <v>4368</v>
      </c>
      <c r="D11" s="40" t="s">
        <v>627</v>
      </c>
      <c r="E11" s="40" t="s">
        <v>628</v>
      </c>
      <c r="F11" s="40" t="s">
        <v>1911</v>
      </c>
      <c r="G11" s="40" t="s">
        <v>632</v>
      </c>
      <c r="H11" s="40"/>
      <c r="I11" s="40" t="s">
        <v>633</v>
      </c>
      <c r="J11" s="40" t="s">
        <v>633</v>
      </c>
      <c r="K11" s="40" t="s">
        <v>631</v>
      </c>
      <c r="L11" s="40" t="s">
        <v>4375</v>
      </c>
      <c r="M11" s="40" t="s">
        <v>4388</v>
      </c>
      <c r="N11" s="40" t="s">
        <v>4371</v>
      </c>
      <c r="O11" s="40" t="s">
        <v>4389</v>
      </c>
      <c r="P11" s="40" t="s">
        <v>4373</v>
      </c>
      <c r="Q11" s="40" t="s">
        <v>4378</v>
      </c>
      <c r="R11" s="40" t="s">
        <v>634</v>
      </c>
    </row>
    <row r="12" spans="1:18" ht="81.95" customHeight="1">
      <c r="A12" s="41" t="s">
        <v>2067</v>
      </c>
      <c r="B12" s="41" t="s">
        <v>144</v>
      </c>
      <c r="C12" s="41" t="s">
        <v>4374</v>
      </c>
      <c r="D12" s="41" t="s">
        <v>637</v>
      </c>
      <c r="E12" s="41" t="s">
        <v>638</v>
      </c>
      <c r="F12" s="41" t="s">
        <v>1911</v>
      </c>
      <c r="G12" s="41" t="s">
        <v>640</v>
      </c>
      <c r="H12" s="41"/>
      <c r="I12" s="41" t="s">
        <v>641</v>
      </c>
      <c r="J12" s="41" t="s">
        <v>641</v>
      </c>
      <c r="K12" s="41" t="s">
        <v>639</v>
      </c>
      <c r="L12" s="41" t="s">
        <v>4375</v>
      </c>
      <c r="M12" s="41" t="s">
        <v>4390</v>
      </c>
      <c r="N12" s="41" t="s">
        <v>4371</v>
      </c>
      <c r="O12" s="41" t="s">
        <v>4389</v>
      </c>
      <c r="P12" s="41" t="s">
        <v>4373</v>
      </c>
      <c r="Q12" s="41" t="s">
        <v>4378</v>
      </c>
      <c r="R12" s="41" t="s">
        <v>642</v>
      </c>
    </row>
    <row r="13" spans="1:18" ht="81.95" customHeight="1">
      <c r="A13" s="40" t="s">
        <v>2086</v>
      </c>
      <c r="B13" s="40" t="s">
        <v>144</v>
      </c>
      <c r="C13" s="40" t="s">
        <v>4379</v>
      </c>
      <c r="D13" s="40" t="s">
        <v>644</v>
      </c>
      <c r="E13" s="40" t="s">
        <v>645</v>
      </c>
      <c r="F13" s="40" t="s">
        <v>1911</v>
      </c>
      <c r="G13" s="40" t="s">
        <v>647</v>
      </c>
      <c r="H13" s="40"/>
      <c r="I13" s="40" t="s">
        <v>648</v>
      </c>
      <c r="J13" s="40" t="s">
        <v>648</v>
      </c>
      <c r="K13" s="40" t="s">
        <v>646</v>
      </c>
      <c r="L13" s="40" t="s">
        <v>4375</v>
      </c>
      <c r="M13" s="40" t="s">
        <v>4391</v>
      </c>
      <c r="N13" s="40" t="s">
        <v>4371</v>
      </c>
      <c r="O13" s="40" t="s">
        <v>4387</v>
      </c>
      <c r="P13" s="40" t="s">
        <v>4373</v>
      </c>
      <c r="Q13" s="40" t="s">
        <v>4378</v>
      </c>
      <c r="R13" s="40" t="s">
        <v>649</v>
      </c>
    </row>
    <row r="14" spans="1:18" ht="81.95" customHeight="1">
      <c r="A14" s="41" t="s">
        <v>2106</v>
      </c>
      <c r="B14" s="41" t="s">
        <v>151</v>
      </c>
      <c r="C14" s="41" t="s">
        <v>4368</v>
      </c>
      <c r="D14" s="41" t="s">
        <v>651</v>
      </c>
      <c r="E14" s="41" t="s">
        <v>652</v>
      </c>
      <c r="F14" s="41" t="s">
        <v>1911</v>
      </c>
      <c r="G14" s="41" t="s">
        <v>655</v>
      </c>
      <c r="H14" s="41"/>
      <c r="I14" s="41" t="s">
        <v>656</v>
      </c>
      <c r="J14" s="41" t="s">
        <v>656</v>
      </c>
      <c r="K14" s="41" t="s">
        <v>654</v>
      </c>
      <c r="L14" s="41" t="s">
        <v>4375</v>
      </c>
      <c r="M14" s="41" t="s">
        <v>4392</v>
      </c>
      <c r="N14" s="41" t="s">
        <v>4371</v>
      </c>
      <c r="O14" s="41" t="s">
        <v>4389</v>
      </c>
      <c r="P14" s="41" t="s">
        <v>4373</v>
      </c>
      <c r="Q14" s="41" t="s">
        <v>4378</v>
      </c>
      <c r="R14" s="41" t="s">
        <v>657</v>
      </c>
    </row>
    <row r="15" spans="1:18" ht="81.95" customHeight="1">
      <c r="A15" s="40" t="s">
        <v>2113</v>
      </c>
      <c r="B15" s="40" t="s">
        <v>151</v>
      </c>
      <c r="C15" s="40" t="s">
        <v>4374</v>
      </c>
      <c r="D15" s="40" t="s">
        <v>659</v>
      </c>
      <c r="E15" s="40" t="s">
        <v>660</v>
      </c>
      <c r="F15" s="40" t="s">
        <v>1911</v>
      </c>
      <c r="G15" s="40" t="s">
        <v>662</v>
      </c>
      <c r="H15" s="40"/>
      <c r="I15" s="40" t="s">
        <v>663</v>
      </c>
      <c r="J15" s="40" t="s">
        <v>663</v>
      </c>
      <c r="K15" s="40" t="s">
        <v>661</v>
      </c>
      <c r="L15" s="40" t="s">
        <v>4375</v>
      </c>
      <c r="M15" s="40" t="s">
        <v>4393</v>
      </c>
      <c r="N15" s="40" t="s">
        <v>4371</v>
      </c>
      <c r="O15" s="40" t="s">
        <v>4387</v>
      </c>
      <c r="P15" s="40" t="s">
        <v>4373</v>
      </c>
      <c r="Q15" s="40" t="s">
        <v>4378</v>
      </c>
      <c r="R15" s="40" t="s">
        <v>664</v>
      </c>
    </row>
    <row r="16" spans="1:18" ht="81.95" customHeight="1">
      <c r="A16" s="41" t="s">
        <v>2120</v>
      </c>
      <c r="B16" s="41" t="s">
        <v>151</v>
      </c>
      <c r="C16" s="41" t="s">
        <v>4379</v>
      </c>
      <c r="D16" s="41" t="s">
        <v>666</v>
      </c>
      <c r="E16" s="41" t="s">
        <v>667</v>
      </c>
      <c r="F16" s="41" t="s">
        <v>1911</v>
      </c>
      <c r="G16" s="41" t="s">
        <v>669</v>
      </c>
      <c r="H16" s="41"/>
      <c r="I16" s="41" t="s">
        <v>628</v>
      </c>
      <c r="J16" s="41" t="s">
        <v>628</v>
      </c>
      <c r="K16" s="41" t="s">
        <v>668</v>
      </c>
      <c r="L16" s="41" t="s">
        <v>4375</v>
      </c>
      <c r="M16" s="41" t="s">
        <v>4394</v>
      </c>
      <c r="N16" s="41" t="s">
        <v>4371</v>
      </c>
      <c r="O16" s="41" t="s">
        <v>4387</v>
      </c>
      <c r="P16" s="41" t="s">
        <v>4373</v>
      </c>
      <c r="Q16" s="41" t="s">
        <v>4378</v>
      </c>
      <c r="R16" s="41" t="s">
        <v>670</v>
      </c>
    </row>
    <row r="17" spans="1:18" ht="81.95" customHeight="1">
      <c r="A17" s="40" t="s">
        <v>2147</v>
      </c>
      <c r="B17" s="40" t="s">
        <v>159</v>
      </c>
      <c r="C17" s="40" t="s">
        <v>4368</v>
      </c>
      <c r="D17" s="40" t="s">
        <v>672</v>
      </c>
      <c r="E17" s="40" t="s">
        <v>161</v>
      </c>
      <c r="F17" s="40" t="s">
        <v>1911</v>
      </c>
      <c r="G17" s="40" t="s">
        <v>675</v>
      </c>
      <c r="H17" s="40"/>
      <c r="I17" s="40" t="s">
        <v>676</v>
      </c>
      <c r="J17" s="40" t="s">
        <v>676</v>
      </c>
      <c r="K17" s="40" t="s">
        <v>674</v>
      </c>
      <c r="L17" s="40" t="s">
        <v>4375</v>
      </c>
      <c r="M17" s="40" t="s">
        <v>4395</v>
      </c>
      <c r="N17" s="40" t="s">
        <v>4371</v>
      </c>
      <c r="O17" s="40" t="s">
        <v>4396</v>
      </c>
      <c r="P17" s="40" t="s">
        <v>4373</v>
      </c>
      <c r="Q17" s="40" t="s">
        <v>4378</v>
      </c>
      <c r="R17" s="40" t="s">
        <v>677</v>
      </c>
    </row>
    <row r="18" spans="1:18" ht="81.95" customHeight="1">
      <c r="A18" s="41" t="s">
        <v>2169</v>
      </c>
      <c r="B18" s="41" t="s">
        <v>166</v>
      </c>
      <c r="C18" s="41" t="s">
        <v>4368</v>
      </c>
      <c r="D18" s="41" t="s">
        <v>680</v>
      </c>
      <c r="E18" s="41" t="s">
        <v>681</v>
      </c>
      <c r="F18" s="41" t="s">
        <v>1911</v>
      </c>
      <c r="G18" s="41" t="s">
        <v>684</v>
      </c>
      <c r="H18" s="41"/>
      <c r="I18" s="41" t="s">
        <v>648</v>
      </c>
      <c r="J18" s="41" t="s">
        <v>648</v>
      </c>
      <c r="K18" s="41" t="s">
        <v>683</v>
      </c>
      <c r="L18" s="41" t="s">
        <v>4375</v>
      </c>
      <c r="M18" s="41" t="s">
        <v>4397</v>
      </c>
      <c r="N18" s="41" t="s">
        <v>4371</v>
      </c>
      <c r="O18" s="41" t="s">
        <v>4398</v>
      </c>
      <c r="P18" s="41" t="s">
        <v>4373</v>
      </c>
      <c r="Q18" s="41" t="s">
        <v>4378</v>
      </c>
      <c r="R18" s="41" t="s">
        <v>685</v>
      </c>
    </row>
    <row r="19" spans="1:18" ht="81.95" customHeight="1">
      <c r="A19" s="40" t="s">
        <v>2182</v>
      </c>
      <c r="B19" s="40" t="s">
        <v>166</v>
      </c>
      <c r="C19" s="40" t="s">
        <v>4374</v>
      </c>
      <c r="D19" s="40" t="s">
        <v>688</v>
      </c>
      <c r="E19" s="40" t="s">
        <v>689</v>
      </c>
      <c r="F19" s="40" t="s">
        <v>1911</v>
      </c>
      <c r="G19" s="40" t="s">
        <v>691</v>
      </c>
      <c r="H19" s="40"/>
      <c r="I19" s="40" t="s">
        <v>692</v>
      </c>
      <c r="J19" s="40" t="s">
        <v>692</v>
      </c>
      <c r="K19" s="40" t="s">
        <v>690</v>
      </c>
      <c r="L19" s="40" t="s">
        <v>4375</v>
      </c>
      <c r="M19" s="40" t="s">
        <v>4399</v>
      </c>
      <c r="N19" s="40" t="s">
        <v>4371</v>
      </c>
      <c r="O19" s="40" t="s">
        <v>4389</v>
      </c>
      <c r="P19" s="40" t="s">
        <v>4373</v>
      </c>
      <c r="Q19" s="40" t="s">
        <v>4378</v>
      </c>
      <c r="R19" s="40" t="s">
        <v>693</v>
      </c>
    </row>
    <row r="20" spans="1:18" ht="81.95" customHeight="1">
      <c r="A20" s="41" t="s">
        <v>2189</v>
      </c>
      <c r="B20" s="41" t="s">
        <v>166</v>
      </c>
      <c r="C20" s="41" t="s">
        <v>4379</v>
      </c>
      <c r="D20" s="41" t="s">
        <v>695</v>
      </c>
      <c r="E20" s="41" t="s">
        <v>696</v>
      </c>
      <c r="F20" s="41" t="s">
        <v>1911</v>
      </c>
      <c r="G20" s="41" t="s">
        <v>698</v>
      </c>
      <c r="H20" s="41"/>
      <c r="I20" s="41" t="s">
        <v>699</v>
      </c>
      <c r="J20" s="41" t="s">
        <v>699</v>
      </c>
      <c r="K20" s="41" t="s">
        <v>697</v>
      </c>
      <c r="L20" s="41" t="s">
        <v>4375</v>
      </c>
      <c r="M20" s="41" t="s">
        <v>4400</v>
      </c>
      <c r="N20" s="41" t="s">
        <v>4371</v>
      </c>
      <c r="O20" s="41" t="s">
        <v>4389</v>
      </c>
      <c r="P20" s="41" t="s">
        <v>4373</v>
      </c>
      <c r="Q20" s="41" t="s">
        <v>4378</v>
      </c>
      <c r="R20" s="41" t="s">
        <v>700</v>
      </c>
    </row>
    <row r="21" spans="1:18" ht="81.95" customHeight="1">
      <c r="A21" s="40" t="s">
        <v>2217</v>
      </c>
      <c r="B21" s="40" t="s">
        <v>173</v>
      </c>
      <c r="C21" s="40" t="s">
        <v>4368</v>
      </c>
      <c r="D21" s="40" t="s">
        <v>702</v>
      </c>
      <c r="E21" s="40" t="s">
        <v>703</v>
      </c>
      <c r="F21" s="40" t="s">
        <v>1911</v>
      </c>
      <c r="G21" s="40" t="s">
        <v>705</v>
      </c>
      <c r="H21" s="40"/>
      <c r="I21" s="40" t="s">
        <v>706</v>
      </c>
      <c r="J21" s="40" t="s">
        <v>706</v>
      </c>
      <c r="K21" s="40" t="s">
        <v>704</v>
      </c>
      <c r="L21" s="40" t="s">
        <v>4375</v>
      </c>
      <c r="M21" s="40" t="s">
        <v>4401</v>
      </c>
      <c r="N21" s="40" t="s">
        <v>4371</v>
      </c>
      <c r="O21" s="40" t="s">
        <v>4402</v>
      </c>
      <c r="P21" s="40" t="s">
        <v>4373</v>
      </c>
      <c r="Q21" s="40" t="s">
        <v>4378</v>
      </c>
      <c r="R21" s="40" t="s">
        <v>707</v>
      </c>
    </row>
    <row r="22" spans="1:18" ht="81.95" customHeight="1">
      <c r="A22" s="41" t="s">
        <v>2224</v>
      </c>
      <c r="B22" s="41" t="s">
        <v>173</v>
      </c>
      <c r="C22" s="41" t="s">
        <v>4374</v>
      </c>
      <c r="D22" s="41" t="s">
        <v>710</v>
      </c>
      <c r="E22" s="41" t="s">
        <v>711</v>
      </c>
      <c r="F22" s="41" t="s">
        <v>1911</v>
      </c>
      <c r="G22" s="41" t="s">
        <v>713</v>
      </c>
      <c r="H22" s="41"/>
      <c r="I22" s="41" t="s">
        <v>714</v>
      </c>
      <c r="J22" s="41" t="s">
        <v>714</v>
      </c>
      <c r="K22" s="41" t="s">
        <v>712</v>
      </c>
      <c r="L22" s="41" t="s">
        <v>4375</v>
      </c>
      <c r="M22" s="41" t="s">
        <v>4403</v>
      </c>
      <c r="N22" s="41" t="s">
        <v>4371</v>
      </c>
      <c r="O22" s="41" t="s">
        <v>4387</v>
      </c>
      <c r="P22" s="41" t="s">
        <v>4373</v>
      </c>
      <c r="Q22" s="41" t="s">
        <v>4378</v>
      </c>
      <c r="R22" s="41" t="s">
        <v>715</v>
      </c>
    </row>
    <row r="23" spans="1:18" ht="81.95" customHeight="1">
      <c r="A23" s="40" t="s">
        <v>2251</v>
      </c>
      <c r="B23" s="40" t="s">
        <v>181</v>
      </c>
      <c r="C23" s="40" t="s">
        <v>4368</v>
      </c>
      <c r="D23" s="40" t="s">
        <v>717</v>
      </c>
      <c r="E23" s="40" t="s">
        <v>718</v>
      </c>
      <c r="F23" s="40" t="s">
        <v>1911</v>
      </c>
      <c r="G23" s="40" t="s">
        <v>720</v>
      </c>
      <c r="H23" s="40"/>
      <c r="I23" s="40" t="s">
        <v>721</v>
      </c>
      <c r="J23" s="40" t="s">
        <v>721</v>
      </c>
      <c r="K23" s="40" t="s">
        <v>719</v>
      </c>
      <c r="L23" s="40" t="s">
        <v>4375</v>
      </c>
      <c r="M23" s="40" t="s">
        <v>4404</v>
      </c>
      <c r="N23" s="40" t="s">
        <v>4371</v>
      </c>
      <c r="O23" s="40" t="s">
        <v>4389</v>
      </c>
      <c r="P23" s="40" t="s">
        <v>4373</v>
      </c>
      <c r="Q23" s="40" t="s">
        <v>4378</v>
      </c>
      <c r="R23" s="40" t="s">
        <v>722</v>
      </c>
    </row>
    <row r="24" spans="1:18" ht="81.95" customHeight="1">
      <c r="A24" s="41" t="s">
        <v>2258</v>
      </c>
      <c r="B24" s="41" t="s">
        <v>181</v>
      </c>
      <c r="C24" s="41" t="s">
        <v>4374</v>
      </c>
      <c r="D24" s="41" t="s">
        <v>724</v>
      </c>
      <c r="E24" s="41" t="s">
        <v>725</v>
      </c>
      <c r="F24" s="41" t="s">
        <v>1911</v>
      </c>
      <c r="G24" s="41" t="s">
        <v>727</v>
      </c>
      <c r="H24" s="41"/>
      <c r="I24" s="41" t="s">
        <v>728</v>
      </c>
      <c r="J24" s="41" t="s">
        <v>728</v>
      </c>
      <c r="K24" s="41" t="s">
        <v>726</v>
      </c>
      <c r="L24" s="41" t="s">
        <v>4375</v>
      </c>
      <c r="M24" s="41" t="s">
        <v>4405</v>
      </c>
      <c r="N24" s="41" t="s">
        <v>4371</v>
      </c>
      <c r="O24" s="41" t="s">
        <v>4387</v>
      </c>
      <c r="P24" s="41" t="s">
        <v>4373</v>
      </c>
      <c r="Q24" s="41" t="s">
        <v>4378</v>
      </c>
      <c r="R24" s="41" t="s">
        <v>729</v>
      </c>
    </row>
    <row r="25" spans="1:18" ht="81.95" customHeight="1">
      <c r="A25" s="40" t="s">
        <v>2277</v>
      </c>
      <c r="B25" s="40" t="s">
        <v>188</v>
      </c>
      <c r="C25" s="40" t="s">
        <v>4368</v>
      </c>
      <c r="D25" s="40" t="s">
        <v>731</v>
      </c>
      <c r="E25" s="40" t="s">
        <v>732</v>
      </c>
      <c r="F25" s="40" t="s">
        <v>1911</v>
      </c>
      <c r="G25" s="40" t="s">
        <v>736</v>
      </c>
      <c r="H25" s="40"/>
      <c r="I25" s="40" t="s">
        <v>633</v>
      </c>
      <c r="J25" s="40" t="s">
        <v>633</v>
      </c>
      <c r="K25" s="40" t="s">
        <v>735</v>
      </c>
      <c r="L25" s="40" t="s">
        <v>4369</v>
      </c>
      <c r="M25" s="40" t="s">
        <v>4406</v>
      </c>
      <c r="N25" s="40" t="s">
        <v>4371</v>
      </c>
      <c r="O25" s="40" t="s">
        <v>4407</v>
      </c>
      <c r="P25" s="40" t="s">
        <v>4373</v>
      </c>
      <c r="Q25" s="40" t="s">
        <v>1561</v>
      </c>
      <c r="R25" s="40" t="s">
        <v>737</v>
      </c>
    </row>
    <row r="26" spans="1:18" ht="81.95" customHeight="1">
      <c r="A26" s="41" t="s">
        <v>2283</v>
      </c>
      <c r="B26" s="41" t="s">
        <v>188</v>
      </c>
      <c r="C26" s="41" t="s">
        <v>4374</v>
      </c>
      <c r="D26" s="41" t="s">
        <v>740</v>
      </c>
      <c r="E26" s="41" t="s">
        <v>520</v>
      </c>
      <c r="F26" s="41" t="s">
        <v>1911</v>
      </c>
      <c r="G26" s="41" t="s">
        <v>743</v>
      </c>
      <c r="H26" s="41"/>
      <c r="I26" s="41" t="s">
        <v>648</v>
      </c>
      <c r="J26" s="41" t="s">
        <v>648</v>
      </c>
      <c r="K26" s="41" t="s">
        <v>742</v>
      </c>
      <c r="L26" s="41" t="s">
        <v>4369</v>
      </c>
      <c r="M26" s="41" t="s">
        <v>4408</v>
      </c>
      <c r="N26" s="41" t="s">
        <v>4371</v>
      </c>
      <c r="O26" s="41" t="s">
        <v>4409</v>
      </c>
      <c r="P26" s="41" t="s">
        <v>4373</v>
      </c>
      <c r="Q26" s="41" t="s">
        <v>1561</v>
      </c>
      <c r="R26" s="41" t="s">
        <v>744</v>
      </c>
    </row>
    <row r="27" spans="1:18" ht="81.95" customHeight="1">
      <c r="A27" s="40" t="s">
        <v>2289</v>
      </c>
      <c r="B27" s="40" t="s">
        <v>188</v>
      </c>
      <c r="C27" s="40" t="s">
        <v>4379</v>
      </c>
      <c r="D27" s="40" t="s">
        <v>747</v>
      </c>
      <c r="E27" s="40" t="s">
        <v>748</v>
      </c>
      <c r="F27" s="40" t="s">
        <v>1911</v>
      </c>
      <c r="G27" s="40" t="s">
        <v>750</v>
      </c>
      <c r="H27" s="40"/>
      <c r="I27" s="40" t="s">
        <v>641</v>
      </c>
      <c r="J27" s="40" t="s">
        <v>641</v>
      </c>
      <c r="K27" s="40" t="s">
        <v>749</v>
      </c>
      <c r="L27" s="40" t="s">
        <v>4375</v>
      </c>
      <c r="M27" s="40" t="s">
        <v>4410</v>
      </c>
      <c r="N27" s="40" t="s">
        <v>4371</v>
      </c>
      <c r="O27" s="40" t="s">
        <v>4389</v>
      </c>
      <c r="P27" s="40" t="s">
        <v>4373</v>
      </c>
      <c r="Q27" s="40" t="s">
        <v>4378</v>
      </c>
      <c r="R27" s="40" t="s">
        <v>751</v>
      </c>
    </row>
    <row r="28" spans="1:18" ht="81.95" customHeight="1">
      <c r="A28" s="41" t="s">
        <v>2315</v>
      </c>
      <c r="B28" s="41" t="s">
        <v>196</v>
      </c>
      <c r="C28" s="41" t="s">
        <v>4368</v>
      </c>
      <c r="D28" s="41" t="s">
        <v>753</v>
      </c>
      <c r="E28" s="41" t="s">
        <v>754</v>
      </c>
      <c r="F28" s="41" t="s">
        <v>1911</v>
      </c>
      <c r="G28" s="41" t="s">
        <v>757</v>
      </c>
      <c r="H28" s="41"/>
      <c r="I28" s="41" t="s">
        <v>758</v>
      </c>
      <c r="J28" s="41" t="s">
        <v>758</v>
      </c>
      <c r="K28" s="41" t="s">
        <v>756</v>
      </c>
      <c r="L28" s="41" t="s">
        <v>4369</v>
      </c>
      <c r="M28" s="41" t="s">
        <v>4411</v>
      </c>
      <c r="N28" s="41" t="s">
        <v>4371</v>
      </c>
      <c r="O28" s="41" t="s">
        <v>4387</v>
      </c>
      <c r="P28" s="41" t="s">
        <v>4373</v>
      </c>
      <c r="Q28" s="41" t="s">
        <v>1561</v>
      </c>
      <c r="R28" s="41" t="s">
        <v>759</v>
      </c>
    </row>
    <row r="29" spans="1:18" ht="81.95" customHeight="1">
      <c r="A29" s="40" t="s">
        <v>2322</v>
      </c>
      <c r="B29" s="40" t="s">
        <v>196</v>
      </c>
      <c r="C29" s="40" t="s">
        <v>4374</v>
      </c>
      <c r="D29" s="40" t="s">
        <v>761</v>
      </c>
      <c r="E29" s="40" t="s">
        <v>762</v>
      </c>
      <c r="F29" s="40" t="s">
        <v>1911</v>
      </c>
      <c r="G29" s="40" t="s">
        <v>764</v>
      </c>
      <c r="H29" s="40"/>
      <c r="I29" s="40" t="s">
        <v>633</v>
      </c>
      <c r="J29" s="40" t="s">
        <v>633</v>
      </c>
      <c r="K29" s="40" t="s">
        <v>763</v>
      </c>
      <c r="L29" s="40" t="s">
        <v>4375</v>
      </c>
      <c r="M29" s="40" t="s">
        <v>4412</v>
      </c>
      <c r="N29" s="40" t="s">
        <v>4371</v>
      </c>
      <c r="O29" s="40" t="s">
        <v>4387</v>
      </c>
      <c r="P29" s="40" t="s">
        <v>4373</v>
      </c>
      <c r="Q29" s="40" t="s">
        <v>4378</v>
      </c>
      <c r="R29" s="40" t="s">
        <v>765</v>
      </c>
    </row>
    <row r="30" spans="1:18" ht="81.95" customHeight="1">
      <c r="A30" s="41" t="s">
        <v>2328</v>
      </c>
      <c r="B30" s="41" t="s">
        <v>196</v>
      </c>
      <c r="C30" s="41" t="s">
        <v>4379</v>
      </c>
      <c r="D30" s="41" t="s">
        <v>767</v>
      </c>
      <c r="E30" s="41" t="s">
        <v>768</v>
      </c>
      <c r="F30" s="41" t="s">
        <v>1911</v>
      </c>
      <c r="G30" s="41" t="s">
        <v>771</v>
      </c>
      <c r="H30" s="41"/>
      <c r="I30" s="41" t="s">
        <v>772</v>
      </c>
      <c r="J30" s="41" t="s">
        <v>772</v>
      </c>
      <c r="K30" s="41" t="s">
        <v>770</v>
      </c>
      <c r="L30" s="41" t="s">
        <v>4375</v>
      </c>
      <c r="M30" s="41" t="s">
        <v>4413</v>
      </c>
      <c r="N30" s="41" t="s">
        <v>4371</v>
      </c>
      <c r="O30" s="41" t="s">
        <v>4414</v>
      </c>
      <c r="P30" s="41" t="s">
        <v>4373</v>
      </c>
      <c r="Q30" s="41" t="s">
        <v>4378</v>
      </c>
      <c r="R30" s="41" t="s">
        <v>773</v>
      </c>
    </row>
    <row r="31" spans="1:18" ht="81.95" customHeight="1">
      <c r="A31" s="40" t="s">
        <v>2353</v>
      </c>
      <c r="B31" s="40" t="s">
        <v>204</v>
      </c>
      <c r="C31" s="40" t="s">
        <v>4368</v>
      </c>
      <c r="D31" s="40" t="s">
        <v>776</v>
      </c>
      <c r="E31" s="40" t="s">
        <v>206</v>
      </c>
      <c r="F31" s="40" t="s">
        <v>1911</v>
      </c>
      <c r="G31" s="40" t="s">
        <v>778</v>
      </c>
      <c r="H31" s="40"/>
      <c r="I31" s="40" t="s">
        <v>779</v>
      </c>
      <c r="J31" s="40" t="s">
        <v>779</v>
      </c>
      <c r="K31" s="40" t="s">
        <v>777</v>
      </c>
      <c r="L31" s="40" t="s">
        <v>4375</v>
      </c>
      <c r="M31" s="40" t="s">
        <v>4415</v>
      </c>
      <c r="N31" s="40" t="s">
        <v>4371</v>
      </c>
      <c r="O31" s="40" t="s">
        <v>4387</v>
      </c>
      <c r="P31" s="40" t="s">
        <v>4373</v>
      </c>
      <c r="Q31" s="40" t="s">
        <v>4378</v>
      </c>
      <c r="R31" s="40" t="s">
        <v>780</v>
      </c>
    </row>
    <row r="32" spans="1:18" ht="81.95" customHeight="1">
      <c r="A32" s="41" t="s">
        <v>2374</v>
      </c>
      <c r="B32" s="41" t="s">
        <v>211</v>
      </c>
      <c r="C32" s="41" t="s">
        <v>4368</v>
      </c>
      <c r="D32" s="41" t="s">
        <v>782</v>
      </c>
      <c r="E32" s="41" t="s">
        <v>783</v>
      </c>
      <c r="F32" s="41" t="s">
        <v>1911</v>
      </c>
      <c r="G32" s="41" t="s">
        <v>786</v>
      </c>
      <c r="H32" s="41"/>
      <c r="I32" s="41" t="s">
        <v>787</v>
      </c>
      <c r="J32" s="41" t="s">
        <v>787</v>
      </c>
      <c r="K32" s="41" t="s">
        <v>785</v>
      </c>
      <c r="L32" s="41" t="s">
        <v>4375</v>
      </c>
      <c r="M32" s="41" t="s">
        <v>4416</v>
      </c>
      <c r="N32" s="41" t="s">
        <v>4371</v>
      </c>
      <c r="O32" s="41" t="s">
        <v>4387</v>
      </c>
      <c r="P32" s="41" t="s">
        <v>4373</v>
      </c>
      <c r="Q32" s="41" t="s">
        <v>4378</v>
      </c>
      <c r="R32" s="41" t="s">
        <v>788</v>
      </c>
    </row>
    <row r="33" spans="1:18" ht="81.95" customHeight="1">
      <c r="A33" s="40" t="s">
        <v>2381</v>
      </c>
      <c r="B33" s="40" t="s">
        <v>211</v>
      </c>
      <c r="C33" s="40" t="s">
        <v>4374</v>
      </c>
      <c r="D33" s="40" t="s">
        <v>790</v>
      </c>
      <c r="E33" s="40" t="s">
        <v>791</v>
      </c>
      <c r="F33" s="40" t="s">
        <v>1911</v>
      </c>
      <c r="G33" s="40" t="s">
        <v>794</v>
      </c>
      <c r="H33" s="40"/>
      <c r="I33" s="40" t="s">
        <v>795</v>
      </c>
      <c r="J33" s="40" t="s">
        <v>795</v>
      </c>
      <c r="K33" s="40" t="s">
        <v>793</v>
      </c>
      <c r="L33" s="40" t="s">
        <v>4369</v>
      </c>
      <c r="M33" s="40" t="s">
        <v>4417</v>
      </c>
      <c r="N33" s="40" t="s">
        <v>4371</v>
      </c>
      <c r="O33" s="40" t="s">
        <v>4418</v>
      </c>
      <c r="P33" s="40" t="s">
        <v>4373</v>
      </c>
      <c r="Q33" s="40" t="s">
        <v>1561</v>
      </c>
      <c r="R33" s="40" t="s">
        <v>796</v>
      </c>
    </row>
    <row r="34" spans="1:18" ht="81.95" customHeight="1">
      <c r="A34" s="41" t="s">
        <v>2388</v>
      </c>
      <c r="B34" s="41" t="s">
        <v>211</v>
      </c>
      <c r="C34" s="41" t="s">
        <v>4379</v>
      </c>
      <c r="D34" s="41" t="s">
        <v>799</v>
      </c>
      <c r="E34" s="41" t="s">
        <v>800</v>
      </c>
      <c r="F34" s="41" t="s">
        <v>1911</v>
      </c>
      <c r="G34" s="41" t="s">
        <v>803</v>
      </c>
      <c r="H34" s="41"/>
      <c r="I34" s="41" t="s">
        <v>804</v>
      </c>
      <c r="J34" s="41" t="s">
        <v>804</v>
      </c>
      <c r="K34" s="41" t="s">
        <v>802</v>
      </c>
      <c r="L34" s="41" t="s">
        <v>4375</v>
      </c>
      <c r="M34" s="41" t="s">
        <v>4419</v>
      </c>
      <c r="N34" s="41" t="s">
        <v>4371</v>
      </c>
      <c r="O34" s="41" t="s">
        <v>4420</v>
      </c>
      <c r="P34" s="41" t="s">
        <v>4373</v>
      </c>
      <c r="Q34" s="41" t="s">
        <v>4378</v>
      </c>
      <c r="R34" s="41" t="s">
        <v>805</v>
      </c>
    </row>
    <row r="35" spans="1:18" ht="81.95" customHeight="1">
      <c r="A35" s="40" t="s">
        <v>2395</v>
      </c>
      <c r="B35" s="40" t="s">
        <v>211</v>
      </c>
      <c r="C35" s="40" t="s">
        <v>4421</v>
      </c>
      <c r="D35" s="40" t="s">
        <v>808</v>
      </c>
      <c r="E35" s="40" t="s">
        <v>809</v>
      </c>
      <c r="F35" s="40" t="s">
        <v>1911</v>
      </c>
      <c r="G35" s="40" t="s">
        <v>812</v>
      </c>
      <c r="H35" s="40"/>
      <c r="I35" s="40" t="s">
        <v>641</v>
      </c>
      <c r="J35" s="40" t="s">
        <v>641</v>
      </c>
      <c r="K35" s="40" t="s">
        <v>811</v>
      </c>
      <c r="L35" s="40" t="s">
        <v>4369</v>
      </c>
      <c r="M35" s="40" t="s">
        <v>4422</v>
      </c>
      <c r="N35" s="40" t="s">
        <v>4371</v>
      </c>
      <c r="O35" s="40" t="s">
        <v>4423</v>
      </c>
      <c r="P35" s="40" t="s">
        <v>4373</v>
      </c>
      <c r="Q35" s="40" t="s">
        <v>1561</v>
      </c>
      <c r="R35" s="40" t="s">
        <v>813</v>
      </c>
    </row>
    <row r="36" spans="1:18" ht="81.95" customHeight="1">
      <c r="A36" s="41" t="s">
        <v>2417</v>
      </c>
      <c r="B36" s="41" t="s">
        <v>217</v>
      </c>
      <c r="C36" s="41" t="s">
        <v>4368</v>
      </c>
      <c r="D36" s="41" t="s">
        <v>816</v>
      </c>
      <c r="E36" s="41" t="s">
        <v>817</v>
      </c>
      <c r="F36" s="41" t="s">
        <v>1911</v>
      </c>
      <c r="G36" s="41" t="s">
        <v>820</v>
      </c>
      <c r="H36" s="41"/>
      <c r="I36" s="41" t="s">
        <v>821</v>
      </c>
      <c r="J36" s="41" t="s">
        <v>821</v>
      </c>
      <c r="K36" s="41" t="s">
        <v>819</v>
      </c>
      <c r="L36" s="41" t="s">
        <v>4369</v>
      </c>
      <c r="M36" s="41" t="s">
        <v>4424</v>
      </c>
      <c r="N36" s="41" t="s">
        <v>4371</v>
      </c>
      <c r="O36" s="41" t="s">
        <v>4425</v>
      </c>
      <c r="P36" s="41" t="s">
        <v>4373</v>
      </c>
      <c r="Q36" s="41" t="s">
        <v>1561</v>
      </c>
      <c r="R36" s="41" t="s">
        <v>822</v>
      </c>
    </row>
    <row r="37" spans="1:18" ht="81.95" customHeight="1">
      <c r="A37" s="40" t="s">
        <v>2424</v>
      </c>
      <c r="B37" s="40" t="s">
        <v>217</v>
      </c>
      <c r="C37" s="40" t="s">
        <v>4374</v>
      </c>
      <c r="D37" s="40" t="s">
        <v>825</v>
      </c>
      <c r="E37" s="40" t="s">
        <v>515</v>
      </c>
      <c r="F37" s="40" t="s">
        <v>1911</v>
      </c>
      <c r="G37" s="40" t="s">
        <v>827</v>
      </c>
      <c r="H37" s="40"/>
      <c r="I37" s="40" t="s">
        <v>641</v>
      </c>
      <c r="J37" s="40" t="s">
        <v>641</v>
      </c>
      <c r="K37" s="40" t="s">
        <v>826</v>
      </c>
      <c r="L37" s="40" t="s">
        <v>4375</v>
      </c>
      <c r="M37" s="40" t="s">
        <v>4426</v>
      </c>
      <c r="N37" s="40" t="s">
        <v>4371</v>
      </c>
      <c r="O37" s="40" t="s">
        <v>4427</v>
      </c>
      <c r="P37" s="40" t="s">
        <v>4373</v>
      </c>
      <c r="Q37" s="40" t="s">
        <v>4378</v>
      </c>
      <c r="R37" s="40" t="s">
        <v>828</v>
      </c>
    </row>
    <row r="38" spans="1:18" ht="81.95" customHeight="1">
      <c r="A38" s="41" t="s">
        <v>2430</v>
      </c>
      <c r="B38" s="41" t="s">
        <v>217</v>
      </c>
      <c r="C38" s="41" t="s">
        <v>4379</v>
      </c>
      <c r="D38" s="41" t="s">
        <v>831</v>
      </c>
      <c r="E38" s="41" t="s">
        <v>494</v>
      </c>
      <c r="F38" s="41" t="s">
        <v>1911</v>
      </c>
      <c r="G38" s="41" t="s">
        <v>833</v>
      </c>
      <c r="H38" s="41"/>
      <c r="I38" s="41" t="s">
        <v>633</v>
      </c>
      <c r="J38" s="41" t="s">
        <v>633</v>
      </c>
      <c r="K38" s="41" t="s">
        <v>832</v>
      </c>
      <c r="L38" s="41" t="s">
        <v>4375</v>
      </c>
      <c r="M38" s="41" t="s">
        <v>4428</v>
      </c>
      <c r="N38" s="41" t="s">
        <v>4371</v>
      </c>
      <c r="O38" s="41" t="s">
        <v>4429</v>
      </c>
      <c r="P38" s="41" t="s">
        <v>4373</v>
      </c>
      <c r="Q38" s="41" t="s">
        <v>4378</v>
      </c>
      <c r="R38" s="41" t="s">
        <v>834</v>
      </c>
    </row>
    <row r="39" spans="1:18" ht="81.95" customHeight="1">
      <c r="A39" s="40" t="s">
        <v>2452</v>
      </c>
      <c r="B39" s="40" t="s">
        <v>224</v>
      </c>
      <c r="C39" s="40" t="s">
        <v>4368</v>
      </c>
      <c r="D39" s="40" t="s">
        <v>837</v>
      </c>
      <c r="E39" s="40" t="s">
        <v>226</v>
      </c>
      <c r="F39" s="40" t="s">
        <v>1911</v>
      </c>
      <c r="G39" s="40" t="s">
        <v>840</v>
      </c>
      <c r="H39" s="40"/>
      <c r="I39" s="40" t="s">
        <v>841</v>
      </c>
      <c r="J39" s="40" t="s">
        <v>841</v>
      </c>
      <c r="K39" s="40" t="s">
        <v>839</v>
      </c>
      <c r="L39" s="40" t="s">
        <v>4369</v>
      </c>
      <c r="M39" s="40" t="s">
        <v>4430</v>
      </c>
      <c r="N39" s="40" t="s">
        <v>4371</v>
      </c>
      <c r="O39" s="40" t="s">
        <v>4431</v>
      </c>
      <c r="P39" s="40" t="s">
        <v>4373</v>
      </c>
      <c r="Q39" s="40" t="s">
        <v>1561</v>
      </c>
      <c r="R39" s="40" t="s">
        <v>842</v>
      </c>
    </row>
    <row r="40" spans="1:18" ht="81.95" customHeight="1">
      <c r="A40" s="41" t="s">
        <v>2476</v>
      </c>
      <c r="B40" s="41" t="s">
        <v>231</v>
      </c>
      <c r="C40" s="41" t="s">
        <v>4368</v>
      </c>
      <c r="D40" s="41" t="s">
        <v>845</v>
      </c>
      <c r="E40" s="41" t="s">
        <v>846</v>
      </c>
      <c r="F40" s="41" t="s">
        <v>1911</v>
      </c>
      <c r="G40" s="41" t="s">
        <v>850</v>
      </c>
      <c r="H40" s="41"/>
      <c r="I40" s="41" t="s">
        <v>851</v>
      </c>
      <c r="J40" s="41" t="s">
        <v>851</v>
      </c>
      <c r="K40" s="41" t="s">
        <v>849</v>
      </c>
      <c r="L40" s="41" t="s">
        <v>4369</v>
      </c>
      <c r="M40" s="41" t="s">
        <v>4432</v>
      </c>
      <c r="N40" s="41" t="s">
        <v>4371</v>
      </c>
      <c r="O40" s="41" t="s">
        <v>4433</v>
      </c>
      <c r="P40" s="41" t="s">
        <v>4373</v>
      </c>
      <c r="Q40" s="41" t="s">
        <v>1561</v>
      </c>
      <c r="R40" s="41" t="s">
        <v>852</v>
      </c>
    </row>
    <row r="41" spans="1:18" ht="81.95" customHeight="1">
      <c r="A41" s="40" t="s">
        <v>2483</v>
      </c>
      <c r="B41" s="40" t="s">
        <v>231</v>
      </c>
      <c r="C41" s="40" t="s">
        <v>4374</v>
      </c>
      <c r="D41" s="40" t="s">
        <v>855</v>
      </c>
      <c r="E41" s="40" t="s">
        <v>856</v>
      </c>
      <c r="F41" s="40" t="s">
        <v>1911</v>
      </c>
      <c r="G41" s="40" t="s">
        <v>858</v>
      </c>
      <c r="H41" s="40"/>
      <c r="I41" s="40" t="s">
        <v>859</v>
      </c>
      <c r="J41" s="40" t="s">
        <v>859</v>
      </c>
      <c r="K41" s="40" t="s">
        <v>857</v>
      </c>
      <c r="L41" s="40" t="s">
        <v>4375</v>
      </c>
      <c r="M41" s="40" t="s">
        <v>4434</v>
      </c>
      <c r="N41" s="40" t="s">
        <v>4371</v>
      </c>
      <c r="O41" s="40" t="s">
        <v>4435</v>
      </c>
      <c r="P41" s="40" t="s">
        <v>4373</v>
      </c>
      <c r="Q41" s="40" t="s">
        <v>4378</v>
      </c>
      <c r="R41" s="40" t="s">
        <v>860</v>
      </c>
    </row>
    <row r="42" spans="1:18" ht="81.95" customHeight="1">
      <c r="A42" s="41" t="s">
        <v>2507</v>
      </c>
      <c r="B42" s="41" t="s">
        <v>239</v>
      </c>
      <c r="C42" s="41" t="s">
        <v>4368</v>
      </c>
      <c r="D42" s="41" t="s">
        <v>863</v>
      </c>
      <c r="E42" s="41" t="s">
        <v>864</v>
      </c>
      <c r="F42" s="41" t="s">
        <v>1911</v>
      </c>
      <c r="G42" s="41" t="s">
        <v>868</v>
      </c>
      <c r="H42" s="41"/>
      <c r="I42" s="41" t="s">
        <v>869</v>
      </c>
      <c r="J42" s="41" t="s">
        <v>869</v>
      </c>
      <c r="K42" s="41" t="s">
        <v>867</v>
      </c>
      <c r="L42" s="41" t="s">
        <v>4375</v>
      </c>
      <c r="M42" s="41" t="s">
        <v>4436</v>
      </c>
      <c r="N42" s="41" t="s">
        <v>4371</v>
      </c>
      <c r="O42" s="41" t="s">
        <v>4387</v>
      </c>
      <c r="P42" s="41" t="s">
        <v>4373</v>
      </c>
      <c r="Q42" s="41" t="s">
        <v>4378</v>
      </c>
      <c r="R42" s="41" t="s">
        <v>870</v>
      </c>
    </row>
    <row r="43" spans="1:18" ht="81.95" customHeight="1">
      <c r="A43" s="40" t="s">
        <v>2514</v>
      </c>
      <c r="B43" s="40" t="s">
        <v>239</v>
      </c>
      <c r="C43" s="40" t="s">
        <v>4374</v>
      </c>
      <c r="D43" s="40" t="s">
        <v>872</v>
      </c>
      <c r="E43" s="40" t="s">
        <v>873</v>
      </c>
      <c r="F43" s="40" t="s">
        <v>1911</v>
      </c>
      <c r="G43" s="40" t="s">
        <v>875</v>
      </c>
      <c r="H43" s="40"/>
      <c r="I43" s="40" t="s">
        <v>641</v>
      </c>
      <c r="J43" s="40" t="s">
        <v>641</v>
      </c>
      <c r="K43" s="40" t="s">
        <v>874</v>
      </c>
      <c r="L43" s="40" t="s">
        <v>4375</v>
      </c>
      <c r="M43" s="40" t="s">
        <v>4437</v>
      </c>
      <c r="N43" s="40" t="s">
        <v>4371</v>
      </c>
      <c r="O43" s="40" t="s">
        <v>4387</v>
      </c>
      <c r="P43" s="40" t="s">
        <v>4373</v>
      </c>
      <c r="Q43" s="40" t="s">
        <v>4378</v>
      </c>
      <c r="R43" s="40" t="s">
        <v>876</v>
      </c>
    </row>
    <row r="44" spans="1:18" ht="81.95" customHeight="1">
      <c r="A44" s="41" t="s">
        <v>2520</v>
      </c>
      <c r="B44" s="41" t="s">
        <v>239</v>
      </c>
      <c r="C44" s="41" t="s">
        <v>4379</v>
      </c>
      <c r="D44" s="41" t="s">
        <v>878</v>
      </c>
      <c r="E44" s="41" t="s">
        <v>879</v>
      </c>
      <c r="F44" s="41" t="s">
        <v>1911</v>
      </c>
      <c r="G44" s="41" t="s">
        <v>881</v>
      </c>
      <c r="H44" s="41"/>
      <c r="I44" s="41" t="s">
        <v>882</v>
      </c>
      <c r="J44" s="41" t="s">
        <v>882</v>
      </c>
      <c r="K44" s="41" t="s">
        <v>880</v>
      </c>
      <c r="L44" s="41" t="s">
        <v>4375</v>
      </c>
      <c r="M44" s="41" t="s">
        <v>4438</v>
      </c>
      <c r="N44" s="41" t="s">
        <v>4371</v>
      </c>
      <c r="O44" s="41" t="s">
        <v>4389</v>
      </c>
      <c r="P44" s="41" t="s">
        <v>4373</v>
      </c>
      <c r="Q44" s="41" t="s">
        <v>4378</v>
      </c>
      <c r="R44" s="41" t="s">
        <v>883</v>
      </c>
    </row>
    <row r="45" spans="1:18" ht="81.95" customHeight="1">
      <c r="A45" s="40" t="s">
        <v>2533</v>
      </c>
      <c r="B45" s="40" t="s">
        <v>239</v>
      </c>
      <c r="C45" s="40" t="s">
        <v>4421</v>
      </c>
      <c r="D45" s="40" t="s">
        <v>885</v>
      </c>
      <c r="E45" s="40" t="s">
        <v>886</v>
      </c>
      <c r="F45" s="40" t="s">
        <v>1911</v>
      </c>
      <c r="G45" s="40" t="s">
        <v>888</v>
      </c>
      <c r="H45" s="40"/>
      <c r="I45" s="40" t="s">
        <v>889</v>
      </c>
      <c r="J45" s="40" t="s">
        <v>889</v>
      </c>
      <c r="K45" s="40" t="s">
        <v>887</v>
      </c>
      <c r="L45" s="40" t="s">
        <v>4375</v>
      </c>
      <c r="M45" s="40" t="s">
        <v>4439</v>
      </c>
      <c r="N45" s="40" t="s">
        <v>4371</v>
      </c>
      <c r="O45" s="40" t="s">
        <v>4387</v>
      </c>
      <c r="P45" s="40" t="s">
        <v>4373</v>
      </c>
      <c r="Q45" s="40" t="s">
        <v>4378</v>
      </c>
      <c r="R45" s="40" t="s">
        <v>890</v>
      </c>
    </row>
    <row r="46" spans="1:18" ht="81.95" customHeight="1">
      <c r="A46" s="41" t="s">
        <v>2540</v>
      </c>
      <c r="B46" s="41" t="s">
        <v>239</v>
      </c>
      <c r="C46" s="41" t="s">
        <v>4440</v>
      </c>
      <c r="D46" s="41" t="s">
        <v>892</v>
      </c>
      <c r="E46" s="41" t="s">
        <v>893</v>
      </c>
      <c r="F46" s="41" t="s">
        <v>1911</v>
      </c>
      <c r="G46" s="41" t="s">
        <v>895</v>
      </c>
      <c r="H46" s="41"/>
      <c r="I46" s="41" t="s">
        <v>896</v>
      </c>
      <c r="J46" s="41" t="s">
        <v>896</v>
      </c>
      <c r="K46" s="41" t="s">
        <v>894</v>
      </c>
      <c r="L46" s="41" t="s">
        <v>4375</v>
      </c>
      <c r="M46" s="41" t="s">
        <v>4441</v>
      </c>
      <c r="N46" s="41" t="s">
        <v>4371</v>
      </c>
      <c r="O46" s="41" t="s">
        <v>4387</v>
      </c>
      <c r="P46" s="41" t="s">
        <v>4373</v>
      </c>
      <c r="Q46" s="41" t="s">
        <v>4378</v>
      </c>
      <c r="R46" s="41" t="s">
        <v>897</v>
      </c>
    </row>
    <row r="47" spans="1:18" ht="81.95" customHeight="1">
      <c r="A47" s="40" t="s">
        <v>2563</v>
      </c>
      <c r="B47" s="40" t="s">
        <v>247</v>
      </c>
      <c r="C47" s="40" t="s">
        <v>4368</v>
      </c>
      <c r="D47" s="40" t="s">
        <v>899</v>
      </c>
      <c r="E47" s="40" t="s">
        <v>900</v>
      </c>
      <c r="F47" s="40" t="s">
        <v>1911</v>
      </c>
      <c r="G47" s="40" t="s">
        <v>903</v>
      </c>
      <c r="H47" s="40"/>
      <c r="I47" s="40" t="s">
        <v>904</v>
      </c>
      <c r="J47" s="40" t="s">
        <v>904</v>
      </c>
      <c r="K47" s="40" t="s">
        <v>902</v>
      </c>
      <c r="L47" s="40" t="s">
        <v>4375</v>
      </c>
      <c r="M47" s="40" t="s">
        <v>4442</v>
      </c>
      <c r="N47" s="40" t="s">
        <v>4371</v>
      </c>
      <c r="O47" s="40" t="s">
        <v>4389</v>
      </c>
      <c r="P47" s="40" t="s">
        <v>4373</v>
      </c>
      <c r="Q47" s="40" t="s">
        <v>4378</v>
      </c>
      <c r="R47" s="40" t="s">
        <v>905</v>
      </c>
    </row>
    <row r="48" spans="1:18" ht="81.95" customHeight="1">
      <c r="A48" s="41" t="s">
        <v>2570</v>
      </c>
      <c r="B48" s="41" t="s">
        <v>247</v>
      </c>
      <c r="C48" s="41" t="s">
        <v>4374</v>
      </c>
      <c r="D48" s="41" t="s">
        <v>907</v>
      </c>
      <c r="E48" s="41" t="s">
        <v>908</v>
      </c>
      <c r="F48" s="41" t="s">
        <v>1911</v>
      </c>
      <c r="G48" s="41" t="s">
        <v>911</v>
      </c>
      <c r="H48" s="41"/>
      <c r="I48" s="41" t="s">
        <v>912</v>
      </c>
      <c r="J48" s="41" t="s">
        <v>912</v>
      </c>
      <c r="K48" s="41" t="s">
        <v>910</v>
      </c>
      <c r="L48" s="41" t="s">
        <v>4369</v>
      </c>
      <c r="M48" s="41" t="s">
        <v>4443</v>
      </c>
      <c r="N48" s="41" t="s">
        <v>4371</v>
      </c>
      <c r="O48" s="41" t="s">
        <v>4444</v>
      </c>
      <c r="P48" s="41" t="s">
        <v>4373</v>
      </c>
      <c r="Q48" s="41" t="s">
        <v>1561</v>
      </c>
      <c r="R48" s="41" t="s">
        <v>913</v>
      </c>
    </row>
    <row r="49" spans="1:18" ht="81.95" customHeight="1">
      <c r="A49" s="40" t="s">
        <v>2590</v>
      </c>
      <c r="B49" s="40" t="s">
        <v>255</v>
      </c>
      <c r="C49" s="40" t="s">
        <v>4368</v>
      </c>
      <c r="D49" s="40" t="s">
        <v>916</v>
      </c>
      <c r="E49" s="40" t="s">
        <v>257</v>
      </c>
      <c r="F49" s="40" t="s">
        <v>1911</v>
      </c>
      <c r="G49" s="40" t="s">
        <v>918</v>
      </c>
      <c r="H49" s="40"/>
      <c r="I49" s="40" t="s">
        <v>633</v>
      </c>
      <c r="J49" s="40" t="s">
        <v>633</v>
      </c>
      <c r="K49" s="40" t="s">
        <v>917</v>
      </c>
      <c r="L49" s="40" t="s">
        <v>4375</v>
      </c>
      <c r="M49" s="40" t="s">
        <v>4445</v>
      </c>
      <c r="N49" s="40" t="s">
        <v>4371</v>
      </c>
      <c r="O49" s="40" t="s">
        <v>4446</v>
      </c>
      <c r="P49" s="40" t="s">
        <v>4373</v>
      </c>
      <c r="Q49" s="40" t="s">
        <v>4378</v>
      </c>
      <c r="R49" s="40" t="s">
        <v>919</v>
      </c>
    </row>
    <row r="50" spans="1:18" ht="81.95" customHeight="1">
      <c r="A50" s="41" t="s">
        <v>2609</v>
      </c>
      <c r="B50" s="41" t="s">
        <v>262</v>
      </c>
      <c r="C50" s="41" t="s">
        <v>4368</v>
      </c>
      <c r="D50" s="41" t="s">
        <v>922</v>
      </c>
      <c r="E50" s="41" t="s">
        <v>923</v>
      </c>
      <c r="F50" s="41" t="s">
        <v>1911</v>
      </c>
      <c r="G50" s="41" t="s">
        <v>926</v>
      </c>
      <c r="H50" s="41"/>
      <c r="I50" s="41" t="s">
        <v>648</v>
      </c>
      <c r="J50" s="41" t="s">
        <v>648</v>
      </c>
      <c r="K50" s="41" t="s">
        <v>925</v>
      </c>
      <c r="L50" s="41" t="s">
        <v>4375</v>
      </c>
      <c r="M50" s="41" t="s">
        <v>4447</v>
      </c>
      <c r="N50" s="41" t="s">
        <v>4371</v>
      </c>
      <c r="O50" s="41" t="s">
        <v>4389</v>
      </c>
      <c r="P50" s="41" t="s">
        <v>4373</v>
      </c>
      <c r="Q50" s="41" t="s">
        <v>4378</v>
      </c>
      <c r="R50" s="41" t="s">
        <v>927</v>
      </c>
    </row>
    <row r="51" spans="1:18" ht="81.95" customHeight="1">
      <c r="A51" s="40" t="s">
        <v>2615</v>
      </c>
      <c r="B51" s="40" t="s">
        <v>262</v>
      </c>
      <c r="C51" s="40" t="s">
        <v>4374</v>
      </c>
      <c r="D51" s="40" t="s">
        <v>929</v>
      </c>
      <c r="E51" s="40" t="s">
        <v>504</v>
      </c>
      <c r="F51" s="40" t="s">
        <v>1911</v>
      </c>
      <c r="G51" s="40" t="s">
        <v>931</v>
      </c>
      <c r="H51" s="40"/>
      <c r="I51" s="40" t="s">
        <v>648</v>
      </c>
      <c r="J51" s="40" t="s">
        <v>648</v>
      </c>
      <c r="K51" s="40" t="s">
        <v>930</v>
      </c>
      <c r="L51" s="40" t="s">
        <v>4375</v>
      </c>
      <c r="M51" s="40" t="s">
        <v>4448</v>
      </c>
      <c r="N51" s="40" t="s">
        <v>4371</v>
      </c>
      <c r="O51" s="40" t="s">
        <v>4449</v>
      </c>
      <c r="P51" s="40" t="s">
        <v>4373</v>
      </c>
      <c r="Q51" s="40" t="s">
        <v>4378</v>
      </c>
      <c r="R51" s="40" t="s">
        <v>932</v>
      </c>
    </row>
    <row r="52" spans="1:18" ht="81.95" customHeight="1">
      <c r="A52" s="41" t="s">
        <v>2621</v>
      </c>
      <c r="B52" s="41" t="s">
        <v>262</v>
      </c>
      <c r="C52" s="41" t="s">
        <v>4379</v>
      </c>
      <c r="D52" s="41" t="s">
        <v>935</v>
      </c>
      <c r="E52" s="41" t="s">
        <v>936</v>
      </c>
      <c r="F52" s="41" t="s">
        <v>1911</v>
      </c>
      <c r="G52" s="41" t="s">
        <v>938</v>
      </c>
      <c r="H52" s="41"/>
      <c r="I52" s="41" t="s">
        <v>939</v>
      </c>
      <c r="J52" s="41" t="s">
        <v>939</v>
      </c>
      <c r="K52" s="41" t="s">
        <v>937</v>
      </c>
      <c r="L52" s="41" t="s">
        <v>4375</v>
      </c>
      <c r="M52" s="41" t="s">
        <v>4450</v>
      </c>
      <c r="N52" s="41" t="s">
        <v>4371</v>
      </c>
      <c r="O52" s="41" t="s">
        <v>4451</v>
      </c>
      <c r="P52" s="41" t="s">
        <v>4373</v>
      </c>
      <c r="Q52" s="41" t="s">
        <v>4378</v>
      </c>
      <c r="R52" s="41" t="s">
        <v>940</v>
      </c>
    </row>
    <row r="53" spans="1:18" ht="81.95" customHeight="1">
      <c r="A53" s="40" t="s">
        <v>2646</v>
      </c>
      <c r="B53" s="40" t="s">
        <v>270</v>
      </c>
      <c r="C53" s="40" t="s">
        <v>4368</v>
      </c>
      <c r="D53" s="40" t="s">
        <v>943</v>
      </c>
      <c r="E53" s="40" t="s">
        <v>944</v>
      </c>
      <c r="F53" s="40" t="s">
        <v>1911</v>
      </c>
      <c r="G53" s="40" t="s">
        <v>948</v>
      </c>
      <c r="H53" s="40"/>
      <c r="I53" s="40" t="s">
        <v>949</v>
      </c>
      <c r="J53" s="40" t="s">
        <v>949</v>
      </c>
      <c r="K53" s="40" t="s">
        <v>947</v>
      </c>
      <c r="L53" s="40" t="s">
        <v>4369</v>
      </c>
      <c r="M53" s="40" t="s">
        <v>4452</v>
      </c>
      <c r="N53" s="40" t="s">
        <v>4371</v>
      </c>
      <c r="O53" s="40" t="s">
        <v>4453</v>
      </c>
      <c r="P53" s="40" t="s">
        <v>4373</v>
      </c>
      <c r="Q53" s="40" t="s">
        <v>1561</v>
      </c>
      <c r="R53" s="40" t="s">
        <v>950</v>
      </c>
    </row>
    <row r="54" spans="1:18" ht="81.95" customHeight="1">
      <c r="A54" s="41" t="s">
        <v>2653</v>
      </c>
      <c r="B54" s="41" t="s">
        <v>270</v>
      </c>
      <c r="C54" s="41" t="s">
        <v>4374</v>
      </c>
      <c r="D54" s="41" t="s">
        <v>953</v>
      </c>
      <c r="E54" s="41" t="s">
        <v>954</v>
      </c>
      <c r="F54" s="41" t="s">
        <v>1911</v>
      </c>
      <c r="G54" s="41" t="s">
        <v>956</v>
      </c>
      <c r="H54" s="41"/>
      <c r="I54" s="41" t="s">
        <v>957</v>
      </c>
      <c r="J54" s="41" t="s">
        <v>957</v>
      </c>
      <c r="K54" s="41" t="s">
        <v>955</v>
      </c>
      <c r="L54" s="41" t="s">
        <v>4375</v>
      </c>
      <c r="M54" s="41" t="s">
        <v>4454</v>
      </c>
      <c r="N54" s="41" t="s">
        <v>4371</v>
      </c>
      <c r="O54" s="41" t="s">
        <v>4451</v>
      </c>
      <c r="P54" s="41" t="s">
        <v>4373</v>
      </c>
      <c r="Q54" s="41" t="s">
        <v>4378</v>
      </c>
      <c r="R54" s="41" t="s">
        <v>958</v>
      </c>
    </row>
    <row r="55" spans="1:18" ht="81.95" customHeight="1">
      <c r="A55" s="40" t="s">
        <v>2660</v>
      </c>
      <c r="B55" s="40" t="s">
        <v>270</v>
      </c>
      <c r="C55" s="40" t="s">
        <v>4379</v>
      </c>
      <c r="D55" s="40" t="s">
        <v>960</v>
      </c>
      <c r="E55" s="40" t="s">
        <v>961</v>
      </c>
      <c r="F55" s="40" t="s">
        <v>1911</v>
      </c>
      <c r="G55" s="40" t="s">
        <v>963</v>
      </c>
      <c r="H55" s="40"/>
      <c r="I55" s="40" t="s">
        <v>964</v>
      </c>
      <c r="J55" s="40" t="s">
        <v>964</v>
      </c>
      <c r="K55" s="40" t="s">
        <v>962</v>
      </c>
      <c r="L55" s="40" t="s">
        <v>4375</v>
      </c>
      <c r="M55" s="40" t="s">
        <v>4455</v>
      </c>
      <c r="N55" s="40" t="s">
        <v>4371</v>
      </c>
      <c r="O55" s="40" t="s">
        <v>4387</v>
      </c>
      <c r="P55" s="40" t="s">
        <v>4373</v>
      </c>
      <c r="Q55" s="40" t="s">
        <v>4378</v>
      </c>
      <c r="R55" s="40" t="s">
        <v>965</v>
      </c>
    </row>
    <row r="56" spans="1:18" ht="81.95" customHeight="1">
      <c r="A56" s="41" t="s">
        <v>2667</v>
      </c>
      <c r="B56" s="41" t="s">
        <v>270</v>
      </c>
      <c r="C56" s="41" t="s">
        <v>4421</v>
      </c>
      <c r="D56" s="41" t="s">
        <v>967</v>
      </c>
      <c r="E56" s="41" t="s">
        <v>968</v>
      </c>
      <c r="F56" s="41" t="s">
        <v>1911</v>
      </c>
      <c r="G56" s="41" t="s">
        <v>970</v>
      </c>
      <c r="H56" s="41"/>
      <c r="I56" s="41" t="s">
        <v>641</v>
      </c>
      <c r="J56" s="41" t="s">
        <v>641</v>
      </c>
      <c r="K56" s="41" t="s">
        <v>969</v>
      </c>
      <c r="L56" s="41" t="s">
        <v>4375</v>
      </c>
      <c r="M56" s="41" t="s">
        <v>4456</v>
      </c>
      <c r="N56" s="41" t="s">
        <v>4371</v>
      </c>
      <c r="O56" s="41" t="s">
        <v>4389</v>
      </c>
      <c r="P56" s="41" t="s">
        <v>4373</v>
      </c>
      <c r="Q56" s="41" t="s">
        <v>4378</v>
      </c>
      <c r="R56" s="41" t="s">
        <v>971</v>
      </c>
    </row>
    <row r="57" spans="1:18" ht="81.95" customHeight="1">
      <c r="A57" s="40" t="s">
        <v>2690</v>
      </c>
      <c r="B57" s="40" t="s">
        <v>278</v>
      </c>
      <c r="C57" s="40" t="s">
        <v>4368</v>
      </c>
      <c r="D57" s="40" t="s">
        <v>973</v>
      </c>
      <c r="E57" s="40" t="s">
        <v>748</v>
      </c>
      <c r="F57" s="40" t="s">
        <v>1911</v>
      </c>
      <c r="G57" s="40" t="s">
        <v>975</v>
      </c>
      <c r="H57" s="40"/>
      <c r="I57" s="40" t="s">
        <v>633</v>
      </c>
      <c r="J57" s="40" t="s">
        <v>633</v>
      </c>
      <c r="K57" s="40" t="s">
        <v>974</v>
      </c>
      <c r="L57" s="40" t="s">
        <v>4375</v>
      </c>
      <c r="M57" s="40" t="s">
        <v>4457</v>
      </c>
      <c r="N57" s="40" t="s">
        <v>4371</v>
      </c>
      <c r="O57" s="40" t="s">
        <v>4389</v>
      </c>
      <c r="P57" s="40" t="s">
        <v>4373</v>
      </c>
      <c r="Q57" s="40" t="s">
        <v>4378</v>
      </c>
      <c r="R57" s="40" t="s">
        <v>976</v>
      </c>
    </row>
    <row r="58" spans="1:18" ht="81.95" customHeight="1">
      <c r="A58" s="41" t="s">
        <v>2696</v>
      </c>
      <c r="B58" s="41" t="s">
        <v>278</v>
      </c>
      <c r="C58" s="41" t="s">
        <v>4374</v>
      </c>
      <c r="D58" s="41" t="s">
        <v>978</v>
      </c>
      <c r="E58" s="41" t="s">
        <v>979</v>
      </c>
      <c r="F58" s="41" t="s">
        <v>1911</v>
      </c>
      <c r="G58" s="41" t="s">
        <v>982</v>
      </c>
      <c r="H58" s="41"/>
      <c r="I58" s="41" t="s">
        <v>983</v>
      </c>
      <c r="J58" s="41" t="s">
        <v>983</v>
      </c>
      <c r="K58" s="41" t="s">
        <v>981</v>
      </c>
      <c r="L58" s="41" t="s">
        <v>4375</v>
      </c>
      <c r="M58" s="41" t="s">
        <v>4458</v>
      </c>
      <c r="N58" s="41" t="s">
        <v>4371</v>
      </c>
      <c r="O58" s="41" t="s">
        <v>4387</v>
      </c>
      <c r="P58" s="41" t="s">
        <v>4373</v>
      </c>
      <c r="Q58" s="41" t="s">
        <v>4378</v>
      </c>
      <c r="R58" s="41" t="s">
        <v>984</v>
      </c>
    </row>
    <row r="59" spans="1:18" ht="81.95" customHeight="1">
      <c r="A59" s="40" t="s">
        <v>2703</v>
      </c>
      <c r="B59" s="40" t="s">
        <v>278</v>
      </c>
      <c r="C59" s="40" t="s">
        <v>4379</v>
      </c>
      <c r="D59" s="40" t="s">
        <v>986</v>
      </c>
      <c r="E59" s="40" t="s">
        <v>987</v>
      </c>
      <c r="F59" s="40" t="s">
        <v>1911</v>
      </c>
      <c r="G59" s="40" t="s">
        <v>989</v>
      </c>
      <c r="H59" s="40"/>
      <c r="I59" s="40" t="s">
        <v>990</v>
      </c>
      <c r="J59" s="40" t="s">
        <v>990</v>
      </c>
      <c r="K59" s="40" t="s">
        <v>988</v>
      </c>
      <c r="L59" s="40" t="s">
        <v>4375</v>
      </c>
      <c r="M59" s="40" t="s">
        <v>4459</v>
      </c>
      <c r="N59" s="40" t="s">
        <v>4371</v>
      </c>
      <c r="O59" s="40" t="s">
        <v>4389</v>
      </c>
      <c r="P59" s="40" t="s">
        <v>4373</v>
      </c>
      <c r="Q59" s="40" t="s">
        <v>4378</v>
      </c>
      <c r="R59" s="40" t="s">
        <v>991</v>
      </c>
    </row>
    <row r="60" spans="1:18" ht="81.95" customHeight="1">
      <c r="A60" s="41" t="s">
        <v>2726</v>
      </c>
      <c r="B60" s="41" t="s">
        <v>286</v>
      </c>
      <c r="C60" s="41" t="s">
        <v>4368</v>
      </c>
      <c r="D60" s="41" t="s">
        <v>993</v>
      </c>
      <c r="E60" s="41" t="s">
        <v>288</v>
      </c>
      <c r="F60" s="41" t="s">
        <v>1911</v>
      </c>
      <c r="G60" s="41" t="s">
        <v>995</v>
      </c>
      <c r="H60" s="41"/>
      <c r="I60" s="41" t="s">
        <v>996</v>
      </c>
      <c r="J60" s="41" t="s">
        <v>996</v>
      </c>
      <c r="K60" s="41" t="s">
        <v>994</v>
      </c>
      <c r="L60" s="41" t="s">
        <v>4375</v>
      </c>
      <c r="M60" s="41" t="s">
        <v>4460</v>
      </c>
      <c r="N60" s="41" t="s">
        <v>4371</v>
      </c>
      <c r="O60" s="41" t="s">
        <v>4387</v>
      </c>
      <c r="P60" s="41" t="s">
        <v>4373</v>
      </c>
      <c r="Q60" s="41" t="s">
        <v>4378</v>
      </c>
      <c r="R60" s="41" t="s">
        <v>997</v>
      </c>
    </row>
    <row r="61" spans="1:18" ht="81.95" customHeight="1">
      <c r="A61" s="40" t="s">
        <v>2744</v>
      </c>
      <c r="B61" s="40" t="s">
        <v>292</v>
      </c>
      <c r="C61" s="40" t="s">
        <v>4368</v>
      </c>
      <c r="D61" s="40" t="s">
        <v>999</v>
      </c>
      <c r="E61" s="40" t="s">
        <v>1000</v>
      </c>
      <c r="F61" s="40" t="s">
        <v>1911</v>
      </c>
      <c r="G61" s="40" t="s">
        <v>1003</v>
      </c>
      <c r="H61" s="40"/>
      <c r="I61" s="40" t="s">
        <v>1004</v>
      </c>
      <c r="J61" s="40" t="s">
        <v>1004</v>
      </c>
      <c r="K61" s="40" t="s">
        <v>1002</v>
      </c>
      <c r="L61" s="40" t="s">
        <v>4375</v>
      </c>
      <c r="M61" s="40" t="s">
        <v>4461</v>
      </c>
      <c r="N61" s="40" t="s">
        <v>4371</v>
      </c>
      <c r="O61" s="40" t="s">
        <v>4462</v>
      </c>
      <c r="P61" s="40" t="s">
        <v>4373</v>
      </c>
      <c r="Q61" s="40" t="s">
        <v>4378</v>
      </c>
      <c r="R61" s="40" t="s">
        <v>1005</v>
      </c>
    </row>
    <row r="62" spans="1:18" ht="81.95" customHeight="1">
      <c r="A62" s="41" t="s">
        <v>2751</v>
      </c>
      <c r="B62" s="41" t="s">
        <v>292</v>
      </c>
      <c r="C62" s="41" t="s">
        <v>4374</v>
      </c>
      <c r="D62" s="41" t="s">
        <v>1008</v>
      </c>
      <c r="E62" s="41" t="s">
        <v>1009</v>
      </c>
      <c r="F62" s="41" t="s">
        <v>1911</v>
      </c>
      <c r="G62" s="41" t="s">
        <v>1011</v>
      </c>
      <c r="H62" s="41"/>
      <c r="I62" s="41" t="s">
        <v>721</v>
      </c>
      <c r="J62" s="41" t="s">
        <v>721</v>
      </c>
      <c r="K62" s="41" t="s">
        <v>1010</v>
      </c>
      <c r="L62" s="41" t="s">
        <v>4375</v>
      </c>
      <c r="M62" s="41" t="s">
        <v>4463</v>
      </c>
      <c r="N62" s="41" t="s">
        <v>4371</v>
      </c>
      <c r="O62" s="41" t="s">
        <v>4387</v>
      </c>
      <c r="P62" s="41" t="s">
        <v>4373</v>
      </c>
      <c r="Q62" s="41" t="s">
        <v>4378</v>
      </c>
      <c r="R62" s="41" t="s">
        <v>1012</v>
      </c>
    </row>
    <row r="63" spans="1:18" ht="81.95" customHeight="1">
      <c r="A63" s="40" t="s">
        <v>2757</v>
      </c>
      <c r="B63" s="40" t="s">
        <v>292</v>
      </c>
      <c r="C63" s="40" t="s">
        <v>4379</v>
      </c>
      <c r="D63" s="40" t="s">
        <v>1014</v>
      </c>
      <c r="E63" s="40" t="s">
        <v>1015</v>
      </c>
      <c r="F63" s="40" t="s">
        <v>1911</v>
      </c>
      <c r="G63" s="40" t="s">
        <v>1018</v>
      </c>
      <c r="H63" s="40"/>
      <c r="I63" s="40" t="s">
        <v>648</v>
      </c>
      <c r="J63" s="40" t="s">
        <v>648</v>
      </c>
      <c r="K63" s="40" t="s">
        <v>1017</v>
      </c>
      <c r="L63" s="40" t="s">
        <v>4375</v>
      </c>
      <c r="M63" s="40" t="s">
        <v>4464</v>
      </c>
      <c r="N63" s="40" t="s">
        <v>4371</v>
      </c>
      <c r="O63" s="40" t="s">
        <v>4465</v>
      </c>
      <c r="P63" s="40" t="s">
        <v>4373</v>
      </c>
      <c r="Q63" s="40" t="s">
        <v>4378</v>
      </c>
      <c r="R63" s="40" t="s">
        <v>1019</v>
      </c>
    </row>
    <row r="64" spans="1:18" ht="81.95" customHeight="1">
      <c r="A64" s="41" t="s">
        <v>2778</v>
      </c>
      <c r="B64" s="41" t="s">
        <v>298</v>
      </c>
      <c r="C64" s="41" t="s">
        <v>4368</v>
      </c>
      <c r="D64" s="41" t="s">
        <v>1022</v>
      </c>
      <c r="E64" s="41" t="s">
        <v>1023</v>
      </c>
      <c r="F64" s="41" t="s">
        <v>1911</v>
      </c>
      <c r="G64" s="41" t="s">
        <v>1025</v>
      </c>
      <c r="H64" s="41"/>
      <c r="I64" s="41" t="s">
        <v>633</v>
      </c>
      <c r="J64" s="41" t="s">
        <v>633</v>
      </c>
      <c r="K64" s="41" t="s">
        <v>1024</v>
      </c>
      <c r="L64" s="41" t="s">
        <v>4375</v>
      </c>
      <c r="M64" s="41" t="s">
        <v>4466</v>
      </c>
      <c r="N64" s="41" t="s">
        <v>4371</v>
      </c>
      <c r="O64" s="41" t="s">
        <v>4387</v>
      </c>
      <c r="P64" s="41" t="s">
        <v>4373</v>
      </c>
      <c r="Q64" s="41" t="s">
        <v>4378</v>
      </c>
      <c r="R64" s="41" t="s">
        <v>1026</v>
      </c>
    </row>
    <row r="65" spans="1:18" ht="81.95" customHeight="1">
      <c r="A65" s="40" t="s">
        <v>2790</v>
      </c>
      <c r="B65" s="40" t="s">
        <v>298</v>
      </c>
      <c r="C65" s="40" t="s">
        <v>4374</v>
      </c>
      <c r="D65" s="40" t="s">
        <v>1028</v>
      </c>
      <c r="E65" s="40" t="s">
        <v>1029</v>
      </c>
      <c r="F65" s="40" t="s">
        <v>1911</v>
      </c>
      <c r="G65" s="40" t="s">
        <v>1032</v>
      </c>
      <c r="H65" s="40"/>
      <c r="I65" s="40" t="s">
        <v>1033</v>
      </c>
      <c r="J65" s="40" t="s">
        <v>1033</v>
      </c>
      <c r="K65" s="40" t="s">
        <v>1031</v>
      </c>
      <c r="L65" s="40" t="s">
        <v>4369</v>
      </c>
      <c r="M65" s="40" t="s">
        <v>4467</v>
      </c>
      <c r="N65" s="40" t="s">
        <v>4371</v>
      </c>
      <c r="O65" s="40" t="s">
        <v>4468</v>
      </c>
      <c r="P65" s="40" t="s">
        <v>4373</v>
      </c>
      <c r="Q65" s="40" t="s">
        <v>1561</v>
      </c>
      <c r="R65" s="40" t="s">
        <v>1034</v>
      </c>
    </row>
    <row r="66" spans="1:18" ht="81.95" customHeight="1">
      <c r="A66" s="41" t="s">
        <v>2813</v>
      </c>
      <c r="B66" s="41" t="s">
        <v>305</v>
      </c>
      <c r="C66" s="41" t="s">
        <v>4368</v>
      </c>
      <c r="D66" s="41" t="s">
        <v>1037</v>
      </c>
      <c r="E66" s="41" t="s">
        <v>545</v>
      </c>
      <c r="F66" s="41" t="s">
        <v>1911</v>
      </c>
      <c r="G66" s="41" t="s">
        <v>1041</v>
      </c>
      <c r="H66" s="41"/>
      <c r="I66" s="41" t="s">
        <v>648</v>
      </c>
      <c r="J66" s="41" t="s">
        <v>648</v>
      </c>
      <c r="K66" s="41" t="s">
        <v>1040</v>
      </c>
      <c r="L66" s="41" t="s">
        <v>4369</v>
      </c>
      <c r="M66" s="41" t="s">
        <v>4469</v>
      </c>
      <c r="N66" s="41" t="s">
        <v>4371</v>
      </c>
      <c r="O66" s="41" t="s">
        <v>4470</v>
      </c>
      <c r="P66" s="41" t="s">
        <v>4373</v>
      </c>
      <c r="Q66" s="41" t="s">
        <v>1561</v>
      </c>
      <c r="R66" s="41" t="s">
        <v>1042</v>
      </c>
    </row>
    <row r="67" spans="1:18" ht="81.95" customHeight="1">
      <c r="A67" s="40" t="s">
        <v>2819</v>
      </c>
      <c r="B67" s="40" t="s">
        <v>305</v>
      </c>
      <c r="C67" s="40" t="s">
        <v>4374</v>
      </c>
      <c r="D67" s="40" t="s">
        <v>1045</v>
      </c>
      <c r="E67" s="40" t="s">
        <v>1046</v>
      </c>
      <c r="F67" s="40" t="s">
        <v>1911</v>
      </c>
      <c r="G67" s="40" t="s">
        <v>1048</v>
      </c>
      <c r="H67" s="40"/>
      <c r="I67" s="40" t="s">
        <v>1049</v>
      </c>
      <c r="J67" s="40" t="s">
        <v>1049</v>
      </c>
      <c r="K67" s="40" t="s">
        <v>1047</v>
      </c>
      <c r="L67" s="40" t="s">
        <v>4375</v>
      </c>
      <c r="M67" s="40" t="s">
        <v>4471</v>
      </c>
      <c r="N67" s="40" t="s">
        <v>4371</v>
      </c>
      <c r="O67" s="40" t="s">
        <v>4387</v>
      </c>
      <c r="P67" s="40" t="s">
        <v>4373</v>
      </c>
      <c r="Q67" s="40" t="s">
        <v>4378</v>
      </c>
      <c r="R67" s="40" t="s">
        <v>1050</v>
      </c>
    </row>
    <row r="68" spans="1:18" ht="81.95" customHeight="1">
      <c r="A68" s="41" t="s">
        <v>2826</v>
      </c>
      <c r="B68" s="41" t="s">
        <v>305</v>
      </c>
      <c r="C68" s="41" t="s">
        <v>4379</v>
      </c>
      <c r="D68" s="41" t="s">
        <v>1052</v>
      </c>
      <c r="E68" s="41" t="s">
        <v>1053</v>
      </c>
      <c r="F68" s="41" t="s">
        <v>1911</v>
      </c>
      <c r="G68" s="41" t="s">
        <v>1056</v>
      </c>
      <c r="H68" s="41"/>
      <c r="I68" s="41" t="s">
        <v>1057</v>
      </c>
      <c r="J68" s="41" t="s">
        <v>1057</v>
      </c>
      <c r="K68" s="41" t="s">
        <v>1055</v>
      </c>
      <c r="L68" s="41" t="s">
        <v>4375</v>
      </c>
      <c r="M68" s="41" t="s">
        <v>4472</v>
      </c>
      <c r="N68" s="41" t="s">
        <v>4371</v>
      </c>
      <c r="O68" s="41" t="s">
        <v>4473</v>
      </c>
      <c r="P68" s="41" t="s">
        <v>4373</v>
      </c>
      <c r="Q68" s="41" t="s">
        <v>4378</v>
      </c>
      <c r="R68" s="41" t="s">
        <v>1058</v>
      </c>
    </row>
    <row r="69" spans="1:18" ht="81.95" customHeight="1">
      <c r="A69" s="40" t="s">
        <v>2850</v>
      </c>
      <c r="B69" s="40" t="s">
        <v>312</v>
      </c>
      <c r="C69" s="40" t="s">
        <v>4368</v>
      </c>
      <c r="D69" s="40" t="s">
        <v>1061</v>
      </c>
      <c r="E69" s="40" t="s">
        <v>314</v>
      </c>
      <c r="F69" s="40" t="s">
        <v>1911</v>
      </c>
      <c r="G69" s="40" t="s">
        <v>1063</v>
      </c>
      <c r="H69" s="40"/>
      <c r="I69" s="40" t="s">
        <v>633</v>
      </c>
      <c r="J69" s="40" t="s">
        <v>633</v>
      </c>
      <c r="K69" s="40" t="s">
        <v>1062</v>
      </c>
      <c r="L69" s="40" t="s">
        <v>4375</v>
      </c>
      <c r="M69" s="40" t="s">
        <v>4474</v>
      </c>
      <c r="N69" s="40" t="s">
        <v>4371</v>
      </c>
      <c r="O69" s="40" t="s">
        <v>4475</v>
      </c>
      <c r="P69" s="40" t="s">
        <v>4373</v>
      </c>
      <c r="Q69" s="40" t="s">
        <v>4378</v>
      </c>
      <c r="R69" s="40" t="s">
        <v>1064</v>
      </c>
    </row>
    <row r="70" spans="1:18" ht="81.95" customHeight="1">
      <c r="A70" s="41" t="s">
        <v>4476</v>
      </c>
      <c r="B70" s="41" t="s">
        <v>474</v>
      </c>
      <c r="C70" s="41" t="s">
        <v>4368</v>
      </c>
      <c r="D70" s="41" t="s">
        <v>569</v>
      </c>
      <c r="E70" s="41" t="s">
        <v>477</v>
      </c>
      <c r="F70" s="41" t="s">
        <v>1911</v>
      </c>
      <c r="G70" s="41" t="s">
        <v>575</v>
      </c>
      <c r="H70" s="41"/>
      <c r="I70" s="41" t="s">
        <v>576</v>
      </c>
      <c r="J70" s="41" t="s">
        <v>576</v>
      </c>
      <c r="K70" s="41" t="s">
        <v>574</v>
      </c>
      <c r="L70" s="41" t="s">
        <v>4369</v>
      </c>
      <c r="M70" s="41" t="s">
        <v>4370</v>
      </c>
      <c r="N70" s="41" t="s">
        <v>4371</v>
      </c>
      <c r="O70" s="41" t="s">
        <v>4372</v>
      </c>
      <c r="P70" s="41" t="s">
        <v>4373</v>
      </c>
      <c r="Q70" s="41" t="s">
        <v>1561</v>
      </c>
      <c r="R70" s="41" t="s">
        <v>577</v>
      </c>
    </row>
    <row r="71" spans="1:18" ht="81.95" customHeight="1">
      <c r="A71" s="40" t="s">
        <v>4477</v>
      </c>
      <c r="B71" s="40" t="s">
        <v>481</v>
      </c>
      <c r="C71" s="40" t="s">
        <v>4368</v>
      </c>
      <c r="D71" s="40" t="s">
        <v>1067</v>
      </c>
      <c r="E71" s="40" t="s">
        <v>483</v>
      </c>
      <c r="F71" s="40" t="s">
        <v>1911</v>
      </c>
      <c r="G71" s="40" t="s">
        <v>1069</v>
      </c>
      <c r="H71" s="40"/>
      <c r="I71" s="40" t="s">
        <v>1070</v>
      </c>
      <c r="J71" s="40" t="s">
        <v>1070</v>
      </c>
      <c r="K71" s="40" t="s">
        <v>1068</v>
      </c>
      <c r="L71" s="40" t="s">
        <v>4375</v>
      </c>
      <c r="M71" s="40" t="s">
        <v>4478</v>
      </c>
      <c r="N71" s="40" t="s">
        <v>4371</v>
      </c>
      <c r="O71" s="40" t="s">
        <v>4389</v>
      </c>
      <c r="P71" s="40" t="s">
        <v>4373</v>
      </c>
      <c r="Q71" s="40" t="s">
        <v>4378</v>
      </c>
      <c r="R71" s="40" t="s">
        <v>1071</v>
      </c>
    </row>
    <row r="72" spans="1:18" ht="81.95" customHeight="1">
      <c r="A72" s="41" t="s">
        <v>4479</v>
      </c>
      <c r="B72" s="41" t="s">
        <v>486</v>
      </c>
      <c r="C72" s="41" t="s">
        <v>4368</v>
      </c>
      <c r="D72" s="41" t="s">
        <v>680</v>
      </c>
      <c r="E72" s="41" t="s">
        <v>681</v>
      </c>
      <c r="F72" s="41" t="s">
        <v>1911</v>
      </c>
      <c r="G72" s="41" t="s">
        <v>684</v>
      </c>
      <c r="H72" s="41"/>
      <c r="I72" s="41" t="s">
        <v>648</v>
      </c>
      <c r="J72" s="41" t="s">
        <v>648</v>
      </c>
      <c r="K72" s="41" t="s">
        <v>683</v>
      </c>
      <c r="L72" s="41" t="s">
        <v>4375</v>
      </c>
      <c r="M72" s="41" t="s">
        <v>4397</v>
      </c>
      <c r="N72" s="41" t="s">
        <v>4371</v>
      </c>
      <c r="O72" s="41" t="s">
        <v>4398</v>
      </c>
      <c r="P72" s="41" t="s">
        <v>4373</v>
      </c>
      <c r="Q72" s="41" t="s">
        <v>4378</v>
      </c>
      <c r="R72" s="41" t="s">
        <v>685</v>
      </c>
    </row>
    <row r="73" spans="1:18" ht="81.95" customHeight="1">
      <c r="A73" s="40" t="s">
        <v>4480</v>
      </c>
      <c r="B73" s="40" t="s">
        <v>486</v>
      </c>
      <c r="C73" s="40" t="s">
        <v>4374</v>
      </c>
      <c r="D73" s="40" t="s">
        <v>688</v>
      </c>
      <c r="E73" s="40" t="s">
        <v>689</v>
      </c>
      <c r="F73" s="40" t="s">
        <v>1911</v>
      </c>
      <c r="G73" s="40" t="s">
        <v>691</v>
      </c>
      <c r="H73" s="40"/>
      <c r="I73" s="40" t="s">
        <v>692</v>
      </c>
      <c r="J73" s="40" t="s">
        <v>692</v>
      </c>
      <c r="K73" s="40" t="s">
        <v>690</v>
      </c>
      <c r="L73" s="40" t="s">
        <v>4375</v>
      </c>
      <c r="M73" s="40" t="s">
        <v>4399</v>
      </c>
      <c r="N73" s="40" t="s">
        <v>4371</v>
      </c>
      <c r="O73" s="40" t="s">
        <v>4389</v>
      </c>
      <c r="P73" s="40" t="s">
        <v>4373</v>
      </c>
      <c r="Q73" s="40" t="s">
        <v>4378</v>
      </c>
      <c r="R73" s="40" t="s">
        <v>693</v>
      </c>
    </row>
    <row r="74" spans="1:18" ht="81.95" customHeight="1">
      <c r="A74" s="41" t="s">
        <v>4481</v>
      </c>
      <c r="B74" s="41" t="s">
        <v>486</v>
      </c>
      <c r="C74" s="41" t="s">
        <v>4379</v>
      </c>
      <c r="D74" s="41" t="s">
        <v>695</v>
      </c>
      <c r="E74" s="41" t="s">
        <v>696</v>
      </c>
      <c r="F74" s="41" t="s">
        <v>1911</v>
      </c>
      <c r="G74" s="41" t="s">
        <v>698</v>
      </c>
      <c r="H74" s="41"/>
      <c r="I74" s="41" t="s">
        <v>699</v>
      </c>
      <c r="J74" s="41" t="s">
        <v>699</v>
      </c>
      <c r="K74" s="41" t="s">
        <v>697</v>
      </c>
      <c r="L74" s="41" t="s">
        <v>4375</v>
      </c>
      <c r="M74" s="41" t="s">
        <v>4400</v>
      </c>
      <c r="N74" s="41" t="s">
        <v>4371</v>
      </c>
      <c r="O74" s="41" t="s">
        <v>4389</v>
      </c>
      <c r="P74" s="41" t="s">
        <v>4373</v>
      </c>
      <c r="Q74" s="41" t="s">
        <v>4378</v>
      </c>
      <c r="R74" s="41" t="s">
        <v>700</v>
      </c>
    </row>
    <row r="75" spans="1:18" ht="81.95" customHeight="1">
      <c r="A75" s="40" t="s">
        <v>4482</v>
      </c>
      <c r="B75" s="40" t="s">
        <v>490</v>
      </c>
      <c r="C75" s="40" t="s">
        <v>4368</v>
      </c>
      <c r="D75" s="40" t="s">
        <v>831</v>
      </c>
      <c r="E75" s="40" t="s">
        <v>494</v>
      </c>
      <c r="F75" s="40" t="s">
        <v>1911</v>
      </c>
      <c r="G75" s="40" t="s">
        <v>833</v>
      </c>
      <c r="H75" s="40"/>
      <c r="I75" s="40" t="s">
        <v>633</v>
      </c>
      <c r="J75" s="40" t="s">
        <v>633</v>
      </c>
      <c r="K75" s="40" t="s">
        <v>832</v>
      </c>
      <c r="L75" s="40" t="s">
        <v>4375</v>
      </c>
      <c r="M75" s="40" t="s">
        <v>4428</v>
      </c>
      <c r="N75" s="40" t="s">
        <v>4371</v>
      </c>
      <c r="O75" s="40" t="s">
        <v>4429</v>
      </c>
      <c r="P75" s="40" t="s">
        <v>4373</v>
      </c>
      <c r="Q75" s="40" t="s">
        <v>4378</v>
      </c>
      <c r="R75" s="40" t="s">
        <v>834</v>
      </c>
    </row>
    <row r="76" spans="1:18" ht="81.95" customHeight="1">
      <c r="A76" s="41" t="s">
        <v>4483</v>
      </c>
      <c r="B76" s="41" t="s">
        <v>497</v>
      </c>
      <c r="C76" s="41" t="s">
        <v>4368</v>
      </c>
      <c r="D76" s="41" t="s">
        <v>1074</v>
      </c>
      <c r="E76" s="41" t="s">
        <v>499</v>
      </c>
      <c r="F76" s="41" t="s">
        <v>1911</v>
      </c>
      <c r="G76" s="41" t="s">
        <v>1077</v>
      </c>
      <c r="H76" s="41"/>
      <c r="I76" s="41" t="s">
        <v>1078</v>
      </c>
      <c r="J76" s="41" t="s">
        <v>1078</v>
      </c>
      <c r="K76" s="41" t="s">
        <v>1076</v>
      </c>
      <c r="L76" s="41" t="s">
        <v>4375</v>
      </c>
      <c r="M76" s="41" t="s">
        <v>4484</v>
      </c>
      <c r="N76" s="41" t="s">
        <v>4371</v>
      </c>
      <c r="O76" s="41" t="s">
        <v>4485</v>
      </c>
      <c r="P76" s="41" t="s">
        <v>4373</v>
      </c>
      <c r="Q76" s="41" t="s">
        <v>4378</v>
      </c>
      <c r="R76" s="41" t="s">
        <v>1079</v>
      </c>
    </row>
    <row r="77" spans="1:18" ht="81.95" customHeight="1">
      <c r="A77" s="40" t="s">
        <v>4486</v>
      </c>
      <c r="B77" s="40" t="s">
        <v>502</v>
      </c>
      <c r="C77" s="40" t="s">
        <v>4368</v>
      </c>
      <c r="D77" s="40" t="s">
        <v>929</v>
      </c>
      <c r="E77" s="40" t="s">
        <v>504</v>
      </c>
      <c r="F77" s="40" t="s">
        <v>1911</v>
      </c>
      <c r="G77" s="40" t="s">
        <v>931</v>
      </c>
      <c r="H77" s="40"/>
      <c r="I77" s="40" t="s">
        <v>648</v>
      </c>
      <c r="J77" s="40" t="s">
        <v>648</v>
      </c>
      <c r="K77" s="40" t="s">
        <v>930</v>
      </c>
      <c r="L77" s="40" t="s">
        <v>4375</v>
      </c>
      <c r="M77" s="40" t="s">
        <v>4448</v>
      </c>
      <c r="N77" s="40" t="s">
        <v>4371</v>
      </c>
      <c r="O77" s="40" t="s">
        <v>4449</v>
      </c>
      <c r="P77" s="40" t="s">
        <v>4373</v>
      </c>
      <c r="Q77" s="40" t="s">
        <v>4378</v>
      </c>
      <c r="R77" s="40" t="s">
        <v>932</v>
      </c>
    </row>
    <row r="78" spans="1:18" ht="81.95" customHeight="1">
      <c r="A78" s="41" t="s">
        <v>4487</v>
      </c>
      <c r="B78" s="41" t="s">
        <v>507</v>
      </c>
      <c r="C78" s="41" t="s">
        <v>4368</v>
      </c>
      <c r="D78" s="41" t="s">
        <v>1084</v>
      </c>
      <c r="E78" s="41" t="s">
        <v>509</v>
      </c>
      <c r="F78" s="41" t="s">
        <v>1911</v>
      </c>
      <c r="G78" s="41" t="s">
        <v>1086</v>
      </c>
      <c r="H78" s="41"/>
      <c r="I78" s="41" t="s">
        <v>1087</v>
      </c>
      <c r="J78" s="41" t="s">
        <v>1087</v>
      </c>
      <c r="K78" s="41" t="s">
        <v>1085</v>
      </c>
      <c r="L78" s="41" t="s">
        <v>4375</v>
      </c>
      <c r="M78" s="41" t="s">
        <v>4488</v>
      </c>
      <c r="N78" s="41" t="s">
        <v>4371</v>
      </c>
      <c r="O78" s="41" t="s">
        <v>4489</v>
      </c>
      <c r="P78" s="41" t="s">
        <v>4373</v>
      </c>
      <c r="Q78" s="41" t="s">
        <v>4378</v>
      </c>
      <c r="R78" s="41" t="s">
        <v>1088</v>
      </c>
    </row>
    <row r="79" spans="1:18" ht="81.95" customHeight="1">
      <c r="A79" s="40" t="s">
        <v>4490</v>
      </c>
      <c r="B79" s="40" t="s">
        <v>512</v>
      </c>
      <c r="C79" s="40" t="s">
        <v>4368</v>
      </c>
      <c r="D79" s="40" t="s">
        <v>825</v>
      </c>
      <c r="E79" s="40" t="s">
        <v>515</v>
      </c>
      <c r="F79" s="40" t="s">
        <v>1911</v>
      </c>
      <c r="G79" s="40" t="s">
        <v>827</v>
      </c>
      <c r="H79" s="40"/>
      <c r="I79" s="40" t="s">
        <v>641</v>
      </c>
      <c r="J79" s="40" t="s">
        <v>641</v>
      </c>
      <c r="K79" s="40" t="s">
        <v>826</v>
      </c>
      <c r="L79" s="40" t="s">
        <v>4375</v>
      </c>
      <c r="M79" s="40" t="s">
        <v>4426</v>
      </c>
      <c r="N79" s="40" t="s">
        <v>4371</v>
      </c>
      <c r="O79" s="40" t="s">
        <v>4427</v>
      </c>
      <c r="P79" s="40" t="s">
        <v>4373</v>
      </c>
      <c r="Q79" s="40" t="s">
        <v>4378</v>
      </c>
      <c r="R79" s="40" t="s">
        <v>828</v>
      </c>
    </row>
    <row r="80" spans="1:18" ht="81.95" customHeight="1">
      <c r="A80" s="41" t="s">
        <v>4491</v>
      </c>
      <c r="B80" s="41" t="s">
        <v>518</v>
      </c>
      <c r="C80" s="41" t="s">
        <v>4368</v>
      </c>
      <c r="D80" s="41" t="s">
        <v>740</v>
      </c>
      <c r="E80" s="41" t="s">
        <v>520</v>
      </c>
      <c r="F80" s="41" t="s">
        <v>1911</v>
      </c>
      <c r="G80" s="41" t="s">
        <v>743</v>
      </c>
      <c r="H80" s="41"/>
      <c r="I80" s="41" t="s">
        <v>648</v>
      </c>
      <c r="J80" s="41" t="s">
        <v>648</v>
      </c>
      <c r="K80" s="41" t="s">
        <v>742</v>
      </c>
      <c r="L80" s="41" t="s">
        <v>4369</v>
      </c>
      <c r="M80" s="41" t="s">
        <v>4408</v>
      </c>
      <c r="N80" s="41" t="s">
        <v>4371</v>
      </c>
      <c r="O80" s="41" t="s">
        <v>4409</v>
      </c>
      <c r="P80" s="41" t="s">
        <v>4373</v>
      </c>
      <c r="Q80" s="41" t="s">
        <v>1561</v>
      </c>
      <c r="R80" s="41" t="s">
        <v>744</v>
      </c>
    </row>
    <row r="81" spans="1:18" ht="81.95" customHeight="1">
      <c r="A81" s="40" t="s">
        <v>4492</v>
      </c>
      <c r="B81" s="40" t="s">
        <v>523</v>
      </c>
      <c r="C81" s="40" t="s">
        <v>4368</v>
      </c>
      <c r="D81" s="40" t="s">
        <v>1092</v>
      </c>
      <c r="E81" s="40" t="s">
        <v>525</v>
      </c>
      <c r="F81" s="40" t="s">
        <v>1911</v>
      </c>
      <c r="G81" s="40" t="s">
        <v>1095</v>
      </c>
      <c r="H81" s="40"/>
      <c r="I81" s="40" t="s">
        <v>1096</v>
      </c>
      <c r="J81" s="40" t="s">
        <v>1096</v>
      </c>
      <c r="K81" s="40" t="s">
        <v>1094</v>
      </c>
      <c r="L81" s="40" t="s">
        <v>4369</v>
      </c>
      <c r="M81" s="40" t="s">
        <v>4493</v>
      </c>
      <c r="N81" s="40" t="s">
        <v>4371</v>
      </c>
      <c r="O81" s="40" t="s">
        <v>4494</v>
      </c>
      <c r="P81" s="40" t="s">
        <v>4373</v>
      </c>
      <c r="Q81" s="40" t="s">
        <v>1561</v>
      </c>
      <c r="R81" s="40" t="s">
        <v>1097</v>
      </c>
    </row>
    <row r="82" spans="1:18" ht="81.95" customHeight="1">
      <c r="A82" s="41" t="s">
        <v>4495</v>
      </c>
      <c r="B82" s="41" t="s">
        <v>528</v>
      </c>
      <c r="C82" s="41" t="s">
        <v>4368</v>
      </c>
      <c r="D82" s="41" t="s">
        <v>1101</v>
      </c>
      <c r="E82" s="41" t="s">
        <v>530</v>
      </c>
      <c r="F82" s="41" t="s">
        <v>1911</v>
      </c>
      <c r="G82" s="41" t="s">
        <v>1103</v>
      </c>
      <c r="H82" s="41"/>
      <c r="I82" s="41" t="s">
        <v>633</v>
      </c>
      <c r="J82" s="41" t="s">
        <v>633</v>
      </c>
      <c r="K82" s="41" t="s">
        <v>1102</v>
      </c>
      <c r="L82" s="41" t="s">
        <v>4369</v>
      </c>
      <c r="M82" s="41" t="s">
        <v>4496</v>
      </c>
      <c r="N82" s="41" t="s">
        <v>4371</v>
      </c>
      <c r="O82" s="41" t="s">
        <v>4497</v>
      </c>
      <c r="P82" s="41" t="s">
        <v>4373</v>
      </c>
      <c r="Q82" s="41" t="s">
        <v>1561</v>
      </c>
      <c r="R82" s="41" t="s">
        <v>1104</v>
      </c>
    </row>
    <row r="83" spans="1:18" ht="81.95" customHeight="1">
      <c r="A83" s="40" t="s">
        <v>4498</v>
      </c>
      <c r="B83" s="40" t="s">
        <v>533</v>
      </c>
      <c r="C83" s="40" t="s">
        <v>4368</v>
      </c>
      <c r="D83" s="40" t="s">
        <v>1108</v>
      </c>
      <c r="E83" s="40" t="s">
        <v>535</v>
      </c>
      <c r="F83" s="40" t="s">
        <v>1911</v>
      </c>
      <c r="G83" s="40" t="s">
        <v>1110</v>
      </c>
      <c r="H83" s="40"/>
      <c r="I83" s="40" t="s">
        <v>1111</v>
      </c>
      <c r="J83" s="40" t="s">
        <v>1111</v>
      </c>
      <c r="K83" s="40" t="s">
        <v>1109</v>
      </c>
      <c r="L83" s="40" t="s">
        <v>4369</v>
      </c>
      <c r="M83" s="40" t="s">
        <v>4499</v>
      </c>
      <c r="N83" s="40" t="s">
        <v>4371</v>
      </c>
      <c r="O83" s="40" t="s">
        <v>4500</v>
      </c>
      <c r="P83" s="40" t="s">
        <v>4373</v>
      </c>
      <c r="Q83" s="40" t="s">
        <v>1561</v>
      </c>
      <c r="R83" s="40" t="s">
        <v>1112</v>
      </c>
    </row>
    <row r="84" spans="1:18" ht="81.95" customHeight="1">
      <c r="A84" s="41" t="s">
        <v>4501</v>
      </c>
      <c r="B84" s="41" t="s">
        <v>537</v>
      </c>
      <c r="C84" s="41" t="s">
        <v>4368</v>
      </c>
      <c r="D84" s="41" t="s">
        <v>1116</v>
      </c>
      <c r="E84" s="41" t="s">
        <v>540</v>
      </c>
      <c r="F84" s="41" t="s">
        <v>1911</v>
      </c>
      <c r="G84" s="41" t="s">
        <v>1119</v>
      </c>
      <c r="H84" s="41"/>
      <c r="I84" s="41" t="s">
        <v>1120</v>
      </c>
      <c r="J84" s="41" t="s">
        <v>1120</v>
      </c>
      <c r="K84" s="41" t="s">
        <v>1118</v>
      </c>
      <c r="L84" s="41" t="s">
        <v>4375</v>
      </c>
      <c r="M84" s="41" t="s">
        <v>4502</v>
      </c>
      <c r="N84" s="41" t="s">
        <v>4371</v>
      </c>
      <c r="O84" s="41" t="s">
        <v>4503</v>
      </c>
      <c r="P84" s="41" t="s">
        <v>4373</v>
      </c>
      <c r="Q84" s="41" t="s">
        <v>4378</v>
      </c>
      <c r="R84" s="41" t="s">
        <v>1121</v>
      </c>
    </row>
    <row r="85" spans="1:18" ht="81.95" customHeight="1">
      <c r="A85" s="40" t="s">
        <v>4504</v>
      </c>
      <c r="B85" s="40" t="s">
        <v>543</v>
      </c>
      <c r="C85" s="40" t="s">
        <v>4368</v>
      </c>
      <c r="D85" s="40" t="s">
        <v>1037</v>
      </c>
      <c r="E85" s="40" t="s">
        <v>545</v>
      </c>
      <c r="F85" s="40" t="s">
        <v>1911</v>
      </c>
      <c r="G85" s="40" t="s">
        <v>1041</v>
      </c>
      <c r="H85" s="40"/>
      <c r="I85" s="40" t="s">
        <v>648</v>
      </c>
      <c r="J85" s="40" t="s">
        <v>648</v>
      </c>
      <c r="K85" s="40" t="s">
        <v>1040</v>
      </c>
      <c r="L85" s="40" t="s">
        <v>4369</v>
      </c>
      <c r="M85" s="40" t="s">
        <v>4469</v>
      </c>
      <c r="N85" s="40" t="s">
        <v>4371</v>
      </c>
      <c r="O85" s="40" t="s">
        <v>4470</v>
      </c>
      <c r="P85" s="40" t="s">
        <v>4373</v>
      </c>
      <c r="Q85" s="40" t="s">
        <v>1561</v>
      </c>
      <c r="R85" s="40" t="s">
        <v>1042</v>
      </c>
    </row>
    <row r="86" spans="1:18" ht="81.95" customHeight="1">
      <c r="A86" s="41" t="s">
        <v>1938</v>
      </c>
      <c r="B86" s="41" t="s">
        <v>126</v>
      </c>
      <c r="C86" s="41" t="s">
        <v>4505</v>
      </c>
      <c r="D86" s="41" t="s">
        <v>591</v>
      </c>
      <c r="E86" s="41" t="s">
        <v>592</v>
      </c>
      <c r="F86" s="41" t="s">
        <v>4506</v>
      </c>
      <c r="G86" s="41" t="s">
        <v>1939</v>
      </c>
      <c r="H86" s="41"/>
      <c r="I86" s="41" t="s">
        <v>4507</v>
      </c>
      <c r="J86" s="41" t="s">
        <v>4508</v>
      </c>
      <c r="K86" s="41" t="s">
        <v>4509</v>
      </c>
      <c r="L86" s="41" t="s">
        <v>4510</v>
      </c>
      <c r="M86" s="41" t="s">
        <v>4511</v>
      </c>
      <c r="N86" s="41" t="s">
        <v>4512</v>
      </c>
      <c r="O86" s="41" t="s">
        <v>1942</v>
      </c>
      <c r="P86" s="41" t="s">
        <v>4513</v>
      </c>
      <c r="Q86" s="41" t="s">
        <v>1401</v>
      </c>
      <c r="R86" s="41" t="s">
        <v>598</v>
      </c>
    </row>
    <row r="87" spans="1:18" ht="81.95" customHeight="1">
      <c r="A87" s="40" t="s">
        <v>2039</v>
      </c>
      <c r="B87" s="40" t="s">
        <v>136</v>
      </c>
      <c r="C87" s="40" t="s">
        <v>4505</v>
      </c>
      <c r="D87" s="40" t="s">
        <v>619</v>
      </c>
      <c r="E87" s="40" t="s">
        <v>620</v>
      </c>
      <c r="F87" s="40" t="s">
        <v>4514</v>
      </c>
      <c r="G87" s="40" t="s">
        <v>2040</v>
      </c>
      <c r="H87" s="40" t="s">
        <v>4515</v>
      </c>
      <c r="I87" s="40" t="s">
        <v>4516</v>
      </c>
      <c r="J87" s="40" t="s">
        <v>4517</v>
      </c>
      <c r="K87" s="40" t="s">
        <v>4518</v>
      </c>
      <c r="L87" s="40" t="s">
        <v>4510</v>
      </c>
      <c r="M87" s="40" t="s">
        <v>4519</v>
      </c>
      <c r="N87" s="40" t="s">
        <v>4520</v>
      </c>
      <c r="O87" s="40" t="s">
        <v>2041</v>
      </c>
      <c r="P87" s="40" t="s">
        <v>4521</v>
      </c>
      <c r="Q87" s="40" t="s">
        <v>1401</v>
      </c>
      <c r="R87" s="40" t="s">
        <v>624</v>
      </c>
    </row>
    <row r="88" spans="1:18" ht="81.95" customHeight="1">
      <c r="A88" s="41" t="s">
        <v>2091</v>
      </c>
      <c r="B88" s="41" t="s">
        <v>144</v>
      </c>
      <c r="C88" s="41" t="s">
        <v>4505</v>
      </c>
      <c r="D88" s="41" t="s">
        <v>644</v>
      </c>
      <c r="E88" s="41" t="s">
        <v>645</v>
      </c>
      <c r="F88" s="41" t="s">
        <v>4522</v>
      </c>
      <c r="G88" s="41" t="s">
        <v>2092</v>
      </c>
      <c r="H88" s="41" t="s">
        <v>4523</v>
      </c>
      <c r="I88" s="41" t="s">
        <v>4375</v>
      </c>
      <c r="J88" s="41" t="s">
        <v>4524</v>
      </c>
      <c r="K88" s="41" t="s">
        <v>4525</v>
      </c>
      <c r="L88" s="41" t="s">
        <v>4375</v>
      </c>
      <c r="M88" s="41" t="s">
        <v>4526</v>
      </c>
      <c r="N88" s="41" t="s">
        <v>4527</v>
      </c>
      <c r="O88" s="41" t="s">
        <v>2093</v>
      </c>
      <c r="P88" s="41" t="s">
        <v>4528</v>
      </c>
      <c r="Q88" s="41" t="s">
        <v>1401</v>
      </c>
      <c r="R88" s="41" t="s">
        <v>649</v>
      </c>
    </row>
    <row r="89" spans="1:18" ht="81.95" customHeight="1">
      <c r="A89" s="40" t="s">
        <v>2125</v>
      </c>
      <c r="B89" s="40" t="s">
        <v>151</v>
      </c>
      <c r="C89" s="40" t="s">
        <v>4505</v>
      </c>
      <c r="D89" s="40" t="s">
        <v>666</v>
      </c>
      <c r="E89" s="40" t="s">
        <v>667</v>
      </c>
      <c r="F89" s="40" t="s">
        <v>4522</v>
      </c>
      <c r="G89" s="40" t="s">
        <v>2126</v>
      </c>
      <c r="H89" s="40" t="s">
        <v>4529</v>
      </c>
      <c r="I89" s="40" t="s">
        <v>4369</v>
      </c>
      <c r="J89" s="40" t="s">
        <v>4530</v>
      </c>
      <c r="K89" s="40" t="s">
        <v>4531</v>
      </c>
      <c r="L89" s="40" t="s">
        <v>4375</v>
      </c>
      <c r="M89" s="40" t="s">
        <v>4532</v>
      </c>
      <c r="N89" s="40" t="s">
        <v>4533</v>
      </c>
      <c r="O89" s="40" t="s">
        <v>2127</v>
      </c>
      <c r="P89" s="40" t="s">
        <v>4534</v>
      </c>
      <c r="Q89" s="40" t="s">
        <v>1401</v>
      </c>
      <c r="R89" s="40" t="s">
        <v>670</v>
      </c>
    </row>
    <row r="90" spans="1:18" ht="81.95" customHeight="1">
      <c r="A90" s="41" t="s">
        <v>2152</v>
      </c>
      <c r="B90" s="41" t="s">
        <v>159</v>
      </c>
      <c r="C90" s="41" t="s">
        <v>4505</v>
      </c>
      <c r="D90" s="41" t="s">
        <v>672</v>
      </c>
      <c r="E90" s="41" t="s">
        <v>161</v>
      </c>
      <c r="F90" s="41" t="s">
        <v>4522</v>
      </c>
      <c r="G90" s="41" t="s">
        <v>2153</v>
      </c>
      <c r="H90" s="41" t="s">
        <v>4535</v>
      </c>
      <c r="I90" s="41" t="s">
        <v>4369</v>
      </c>
      <c r="J90" s="41" t="s">
        <v>4536</v>
      </c>
      <c r="K90" s="41" t="s">
        <v>4537</v>
      </c>
      <c r="L90" s="41" t="s">
        <v>4375</v>
      </c>
      <c r="M90" s="41" t="s">
        <v>4538</v>
      </c>
      <c r="N90" s="41" t="s">
        <v>4539</v>
      </c>
      <c r="O90" s="41" t="s">
        <v>2154</v>
      </c>
      <c r="P90" s="41" t="s">
        <v>4540</v>
      </c>
      <c r="Q90" s="41" t="s">
        <v>1401</v>
      </c>
      <c r="R90" s="41" t="s">
        <v>677</v>
      </c>
    </row>
    <row r="91" spans="1:18" ht="81.95" customHeight="1">
      <c r="A91" s="40" t="s">
        <v>2194</v>
      </c>
      <c r="B91" s="40" t="s">
        <v>166</v>
      </c>
      <c r="C91" s="40" t="s">
        <v>4505</v>
      </c>
      <c r="D91" s="40" t="s">
        <v>695</v>
      </c>
      <c r="E91" s="40" t="s">
        <v>696</v>
      </c>
      <c r="F91" s="40" t="s">
        <v>4514</v>
      </c>
      <c r="G91" s="40" t="s">
        <v>2195</v>
      </c>
      <c r="H91" s="40" t="s">
        <v>4541</v>
      </c>
      <c r="I91" s="40" t="s">
        <v>4375</v>
      </c>
      <c r="J91" s="40" t="s">
        <v>4542</v>
      </c>
      <c r="K91" s="40" t="s">
        <v>4543</v>
      </c>
      <c r="L91" s="40" t="s">
        <v>4375</v>
      </c>
      <c r="M91" s="40" t="s">
        <v>4544</v>
      </c>
      <c r="N91" s="40" t="s">
        <v>4545</v>
      </c>
      <c r="O91" s="40" t="s">
        <v>2196</v>
      </c>
      <c r="P91" s="40" t="s">
        <v>4546</v>
      </c>
      <c r="Q91" s="40" t="s">
        <v>1401</v>
      </c>
      <c r="R91" s="40" t="s">
        <v>700</v>
      </c>
    </row>
    <row r="92" spans="1:18" ht="81.95" customHeight="1">
      <c r="A92" s="41" t="s">
        <v>2229</v>
      </c>
      <c r="B92" s="41" t="s">
        <v>173</v>
      </c>
      <c r="C92" s="41" t="s">
        <v>4505</v>
      </c>
      <c r="D92" s="41" t="s">
        <v>710</v>
      </c>
      <c r="E92" s="41" t="s">
        <v>711</v>
      </c>
      <c r="F92" s="41" t="s">
        <v>4506</v>
      </c>
      <c r="G92" s="41" t="s">
        <v>2230</v>
      </c>
      <c r="H92" s="41"/>
      <c r="I92" s="41" t="s">
        <v>706</v>
      </c>
      <c r="J92" s="41" t="s">
        <v>4547</v>
      </c>
      <c r="K92" s="41" t="s">
        <v>4548</v>
      </c>
      <c r="L92" s="41" t="s">
        <v>4375</v>
      </c>
      <c r="M92" s="41" t="s">
        <v>4549</v>
      </c>
      <c r="N92" s="41" t="s">
        <v>4550</v>
      </c>
      <c r="O92" s="41" t="s">
        <v>2231</v>
      </c>
      <c r="P92" s="41" t="s">
        <v>4551</v>
      </c>
      <c r="Q92" s="41" t="s">
        <v>1401</v>
      </c>
      <c r="R92" s="41" t="s">
        <v>715</v>
      </c>
    </row>
    <row r="93" spans="1:18" ht="81.95" customHeight="1">
      <c r="A93" s="40" t="s">
        <v>2263</v>
      </c>
      <c r="B93" s="40" t="s">
        <v>181</v>
      </c>
      <c r="C93" s="40" t="s">
        <v>4505</v>
      </c>
      <c r="D93" s="40" t="s">
        <v>724</v>
      </c>
      <c r="E93" s="40" t="s">
        <v>725</v>
      </c>
      <c r="F93" s="40" t="s">
        <v>4514</v>
      </c>
      <c r="G93" s="40" t="s">
        <v>2264</v>
      </c>
      <c r="H93" s="40" t="s">
        <v>4552</v>
      </c>
      <c r="I93" s="40" t="s">
        <v>4375</v>
      </c>
      <c r="J93" s="40" t="s">
        <v>4553</v>
      </c>
      <c r="K93" s="40" t="s">
        <v>4554</v>
      </c>
      <c r="L93" s="40" t="s">
        <v>4375</v>
      </c>
      <c r="M93" s="40" t="s">
        <v>4555</v>
      </c>
      <c r="N93" s="40" t="s">
        <v>4556</v>
      </c>
      <c r="O93" s="40" t="s">
        <v>2265</v>
      </c>
      <c r="P93" s="40" t="s">
        <v>4540</v>
      </c>
      <c r="Q93" s="40" t="s">
        <v>1401</v>
      </c>
      <c r="R93" s="40" t="s">
        <v>729</v>
      </c>
    </row>
    <row r="94" spans="1:18" ht="81.95" customHeight="1">
      <c r="A94" s="41" t="s">
        <v>2293</v>
      </c>
      <c r="B94" s="41" t="s">
        <v>188</v>
      </c>
      <c r="C94" s="41" t="s">
        <v>4505</v>
      </c>
      <c r="D94" s="41" t="s">
        <v>747</v>
      </c>
      <c r="E94" s="41" t="s">
        <v>748</v>
      </c>
      <c r="F94" s="41" t="s">
        <v>4522</v>
      </c>
      <c r="G94" s="41" t="s">
        <v>2294</v>
      </c>
      <c r="H94" s="41" t="s">
        <v>4557</v>
      </c>
      <c r="I94" s="41" t="s">
        <v>4375</v>
      </c>
      <c r="J94" s="41" t="s">
        <v>4558</v>
      </c>
      <c r="K94" s="41" t="s">
        <v>4559</v>
      </c>
      <c r="L94" s="41" t="s">
        <v>4510</v>
      </c>
      <c r="M94" s="41" t="s">
        <v>4560</v>
      </c>
      <c r="N94" s="41" t="s">
        <v>4561</v>
      </c>
      <c r="O94" s="41" t="s">
        <v>2295</v>
      </c>
      <c r="P94" s="41" t="s">
        <v>4562</v>
      </c>
      <c r="Q94" s="41" t="s">
        <v>1401</v>
      </c>
      <c r="R94" s="41" t="s">
        <v>751</v>
      </c>
    </row>
    <row r="95" spans="1:18" ht="81.95" customHeight="1">
      <c r="A95" s="40" t="s">
        <v>2333</v>
      </c>
      <c r="B95" s="40" t="s">
        <v>196</v>
      </c>
      <c r="C95" s="40" t="s">
        <v>4505</v>
      </c>
      <c r="D95" s="40" t="s">
        <v>767</v>
      </c>
      <c r="E95" s="40" t="s">
        <v>768</v>
      </c>
      <c r="F95" s="40" t="s">
        <v>4522</v>
      </c>
      <c r="G95" s="40" t="s">
        <v>2334</v>
      </c>
      <c r="H95" s="40" t="s">
        <v>4563</v>
      </c>
      <c r="I95" s="40" t="s">
        <v>4375</v>
      </c>
      <c r="J95" s="40" t="s">
        <v>4564</v>
      </c>
      <c r="K95" s="40" t="s">
        <v>4565</v>
      </c>
      <c r="L95" s="40" t="s">
        <v>4510</v>
      </c>
      <c r="M95" s="40" t="s">
        <v>4566</v>
      </c>
      <c r="N95" s="40" t="s">
        <v>4567</v>
      </c>
      <c r="O95" s="40" t="s">
        <v>2335</v>
      </c>
      <c r="P95" s="40" t="s">
        <v>4568</v>
      </c>
      <c r="Q95" s="40" t="s">
        <v>1401</v>
      </c>
      <c r="R95" s="40" t="s">
        <v>773</v>
      </c>
    </row>
    <row r="96" spans="1:18" ht="81.95" customHeight="1">
      <c r="A96" s="41" t="s">
        <v>2358</v>
      </c>
      <c r="B96" s="41" t="s">
        <v>204</v>
      </c>
      <c r="C96" s="41" t="s">
        <v>4505</v>
      </c>
      <c r="D96" s="41" t="s">
        <v>776</v>
      </c>
      <c r="E96" s="41" t="s">
        <v>206</v>
      </c>
      <c r="F96" s="41" t="s">
        <v>4569</v>
      </c>
      <c r="G96" s="41" t="s">
        <v>2359</v>
      </c>
      <c r="H96" s="41" t="s">
        <v>4570</v>
      </c>
      <c r="I96" s="41" t="s">
        <v>4571</v>
      </c>
      <c r="J96" s="41" t="s">
        <v>4572</v>
      </c>
      <c r="K96" s="41" t="s">
        <v>4573</v>
      </c>
      <c r="L96" s="41" t="s">
        <v>4375</v>
      </c>
      <c r="M96" s="41" t="s">
        <v>4574</v>
      </c>
      <c r="N96" s="41" t="s">
        <v>4575</v>
      </c>
      <c r="O96" s="41" t="s">
        <v>2360</v>
      </c>
      <c r="P96" s="41" t="s">
        <v>4540</v>
      </c>
      <c r="Q96" s="41" t="s">
        <v>1401</v>
      </c>
      <c r="R96" s="41" t="s">
        <v>780</v>
      </c>
    </row>
    <row r="97" spans="1:18" ht="81.95" customHeight="1">
      <c r="A97" s="40" t="s">
        <v>2399</v>
      </c>
      <c r="B97" s="40" t="s">
        <v>211</v>
      </c>
      <c r="C97" s="40" t="s">
        <v>4505</v>
      </c>
      <c r="D97" s="40" t="s">
        <v>808</v>
      </c>
      <c r="E97" s="40" t="s">
        <v>809</v>
      </c>
      <c r="F97" s="40" t="s">
        <v>4576</v>
      </c>
      <c r="G97" s="40" t="s">
        <v>4577</v>
      </c>
      <c r="H97" s="40" t="s">
        <v>4578</v>
      </c>
      <c r="I97" s="40" t="s">
        <v>4579</v>
      </c>
      <c r="J97" s="40"/>
      <c r="K97" s="40" t="s">
        <v>4580</v>
      </c>
      <c r="L97" s="40" t="s">
        <v>4510</v>
      </c>
      <c r="M97" s="40" t="s">
        <v>4581</v>
      </c>
      <c r="N97" s="40" t="s">
        <v>4582</v>
      </c>
      <c r="O97" s="40" t="s">
        <v>4583</v>
      </c>
      <c r="P97" s="40" t="s">
        <v>4584</v>
      </c>
      <c r="Q97" s="40" t="s">
        <v>1401</v>
      </c>
      <c r="R97" s="40" t="s">
        <v>813</v>
      </c>
    </row>
    <row r="98" spans="1:18" ht="81.95" customHeight="1">
      <c r="A98" s="41" t="s">
        <v>2434</v>
      </c>
      <c r="B98" s="41" t="s">
        <v>217</v>
      </c>
      <c r="C98" s="41" t="s">
        <v>4505</v>
      </c>
      <c r="D98" s="41" t="s">
        <v>831</v>
      </c>
      <c r="E98" s="41" t="s">
        <v>494</v>
      </c>
      <c r="F98" s="41" t="s">
        <v>4585</v>
      </c>
      <c r="G98" s="41" t="s">
        <v>2435</v>
      </c>
      <c r="H98" s="41" t="s">
        <v>4586</v>
      </c>
      <c r="I98" s="41" t="s">
        <v>4587</v>
      </c>
      <c r="J98" s="41" t="s">
        <v>4588</v>
      </c>
      <c r="K98" s="41" t="s">
        <v>4589</v>
      </c>
      <c r="L98" s="41" t="s">
        <v>4510</v>
      </c>
      <c r="M98" s="41" t="s">
        <v>4590</v>
      </c>
      <c r="N98" s="41" t="s">
        <v>4591</v>
      </c>
      <c r="O98" s="41" t="s">
        <v>2436</v>
      </c>
      <c r="P98" s="41" t="s">
        <v>4592</v>
      </c>
      <c r="Q98" s="41" t="s">
        <v>1401</v>
      </c>
      <c r="R98" s="41" t="s">
        <v>834</v>
      </c>
    </row>
    <row r="99" spans="1:18" ht="81.95" customHeight="1">
      <c r="A99" s="40" t="s">
        <v>2457</v>
      </c>
      <c r="B99" s="40" t="s">
        <v>224</v>
      </c>
      <c r="C99" s="40" t="s">
        <v>4505</v>
      </c>
      <c r="D99" s="40" t="s">
        <v>837</v>
      </c>
      <c r="E99" s="40" t="s">
        <v>226</v>
      </c>
      <c r="F99" s="40" t="s">
        <v>4506</v>
      </c>
      <c r="G99" s="40" t="s">
        <v>2458</v>
      </c>
      <c r="H99" s="40"/>
      <c r="I99" s="40" t="s">
        <v>4593</v>
      </c>
      <c r="J99" s="40" t="s">
        <v>4594</v>
      </c>
      <c r="K99" s="40" t="s">
        <v>4595</v>
      </c>
      <c r="L99" s="40" t="s">
        <v>4369</v>
      </c>
      <c r="M99" s="40" t="s">
        <v>4596</v>
      </c>
      <c r="N99" s="40" t="s">
        <v>4597</v>
      </c>
      <c r="O99" s="40" t="s">
        <v>2459</v>
      </c>
      <c r="P99" s="40" t="s">
        <v>4598</v>
      </c>
      <c r="Q99" s="40" t="s">
        <v>1401</v>
      </c>
      <c r="R99" s="40" t="s">
        <v>842</v>
      </c>
    </row>
    <row r="100" spans="1:18" ht="81.95" customHeight="1">
      <c r="A100" s="41" t="s">
        <v>2488</v>
      </c>
      <c r="B100" s="41" t="s">
        <v>231</v>
      </c>
      <c r="C100" s="41" t="s">
        <v>4505</v>
      </c>
      <c r="D100" s="41" t="s">
        <v>855</v>
      </c>
      <c r="E100" s="41" t="s">
        <v>856</v>
      </c>
      <c r="F100" s="41" t="s">
        <v>4599</v>
      </c>
      <c r="G100" s="41" t="s">
        <v>2489</v>
      </c>
      <c r="H100" s="41" t="s">
        <v>4600</v>
      </c>
      <c r="I100" s="41" t="s">
        <v>4601</v>
      </c>
      <c r="J100" s="41"/>
      <c r="K100" s="41" t="s">
        <v>4602</v>
      </c>
      <c r="L100" s="41" t="s">
        <v>4510</v>
      </c>
      <c r="M100" s="41" t="s">
        <v>4603</v>
      </c>
      <c r="N100" s="41" t="s">
        <v>4604</v>
      </c>
      <c r="O100" s="41" t="s">
        <v>2490</v>
      </c>
      <c r="P100" s="41" t="s">
        <v>4605</v>
      </c>
      <c r="Q100" s="41" t="s">
        <v>1401</v>
      </c>
      <c r="R100" s="41" t="s">
        <v>860</v>
      </c>
    </row>
    <row r="101" spans="1:18" ht="81.95" customHeight="1">
      <c r="A101" s="40" t="s">
        <v>2545</v>
      </c>
      <c r="B101" s="40" t="s">
        <v>239</v>
      </c>
      <c r="C101" s="40" t="s">
        <v>4505</v>
      </c>
      <c r="D101" s="40" t="s">
        <v>892</v>
      </c>
      <c r="E101" s="40" t="s">
        <v>893</v>
      </c>
      <c r="F101" s="40" t="s">
        <v>4606</v>
      </c>
      <c r="G101" s="40" t="s">
        <v>2546</v>
      </c>
      <c r="H101" s="40" t="s">
        <v>4607</v>
      </c>
      <c r="I101" s="40" t="s">
        <v>4608</v>
      </c>
      <c r="J101" s="40"/>
      <c r="K101" s="40" t="s">
        <v>4609</v>
      </c>
      <c r="L101" s="40" t="s">
        <v>4375</v>
      </c>
      <c r="M101" s="40" t="s">
        <v>4610</v>
      </c>
      <c r="N101" s="40" t="s">
        <v>4611</v>
      </c>
      <c r="O101" s="40" t="s">
        <v>2547</v>
      </c>
      <c r="P101" s="40" t="s">
        <v>4612</v>
      </c>
      <c r="Q101" s="40" t="s">
        <v>1401</v>
      </c>
      <c r="R101" s="40" t="s">
        <v>897</v>
      </c>
    </row>
    <row r="102" spans="1:18" ht="81.95" customHeight="1">
      <c r="A102" s="41" t="s">
        <v>2575</v>
      </c>
      <c r="B102" s="41" t="s">
        <v>247</v>
      </c>
      <c r="C102" s="41" t="s">
        <v>4505</v>
      </c>
      <c r="D102" s="41" t="s">
        <v>907</v>
      </c>
      <c r="E102" s="41" t="s">
        <v>908</v>
      </c>
      <c r="F102" s="41" t="s">
        <v>4514</v>
      </c>
      <c r="G102" s="41" t="s">
        <v>2576</v>
      </c>
      <c r="H102" s="41" t="s">
        <v>4613</v>
      </c>
      <c r="I102" s="41" t="s">
        <v>4375</v>
      </c>
      <c r="J102" s="41" t="s">
        <v>4614</v>
      </c>
      <c r="K102" s="41" t="s">
        <v>4615</v>
      </c>
      <c r="L102" s="41" t="s">
        <v>4510</v>
      </c>
      <c r="M102" s="41" t="s">
        <v>4616</v>
      </c>
      <c r="N102" s="41" t="s">
        <v>4617</v>
      </c>
      <c r="O102" s="41" t="s">
        <v>2577</v>
      </c>
      <c r="P102" s="41" t="s">
        <v>4618</v>
      </c>
      <c r="Q102" s="41" t="s">
        <v>1401</v>
      </c>
      <c r="R102" s="41" t="s">
        <v>913</v>
      </c>
    </row>
    <row r="103" spans="1:18" ht="81.95" customHeight="1">
      <c r="A103" s="40" t="s">
        <v>2594</v>
      </c>
      <c r="B103" s="40" t="s">
        <v>255</v>
      </c>
      <c r="C103" s="40" t="s">
        <v>4505</v>
      </c>
      <c r="D103" s="40" t="s">
        <v>916</v>
      </c>
      <c r="E103" s="40" t="s">
        <v>257</v>
      </c>
      <c r="F103" s="40" t="s">
        <v>4522</v>
      </c>
      <c r="G103" s="40" t="s">
        <v>2595</v>
      </c>
      <c r="H103" s="40" t="s">
        <v>4619</v>
      </c>
      <c r="I103" s="40" t="s">
        <v>4369</v>
      </c>
      <c r="J103" s="40" t="s">
        <v>4620</v>
      </c>
      <c r="K103" s="40" t="s">
        <v>4621</v>
      </c>
      <c r="L103" s="40" t="s">
        <v>4375</v>
      </c>
      <c r="M103" s="40" t="s">
        <v>4622</v>
      </c>
      <c r="N103" s="40" t="s">
        <v>4623</v>
      </c>
      <c r="O103" s="40" t="s">
        <v>2596</v>
      </c>
      <c r="P103" s="40" t="s">
        <v>4624</v>
      </c>
      <c r="Q103" s="40" t="s">
        <v>1401</v>
      </c>
      <c r="R103" s="40" t="s">
        <v>919</v>
      </c>
    </row>
    <row r="104" spans="1:18" ht="81.95" customHeight="1">
      <c r="A104" s="41" t="s">
        <v>2626</v>
      </c>
      <c r="B104" s="41" t="s">
        <v>262</v>
      </c>
      <c r="C104" s="41" t="s">
        <v>4505</v>
      </c>
      <c r="D104" s="41" t="s">
        <v>935</v>
      </c>
      <c r="E104" s="41" t="s">
        <v>936</v>
      </c>
      <c r="F104" s="41" t="s">
        <v>4625</v>
      </c>
      <c r="G104" s="41" t="s">
        <v>2627</v>
      </c>
      <c r="H104" s="41" t="s">
        <v>4626</v>
      </c>
      <c r="I104" s="41" t="s">
        <v>4627</v>
      </c>
      <c r="J104" s="41"/>
      <c r="K104" s="41" t="s">
        <v>4628</v>
      </c>
      <c r="L104" s="41" t="s">
        <v>4375</v>
      </c>
      <c r="M104" s="41" t="s">
        <v>4629</v>
      </c>
      <c r="N104" s="41" t="s">
        <v>4630</v>
      </c>
      <c r="O104" s="41" t="s">
        <v>2628</v>
      </c>
      <c r="P104" s="41" t="s">
        <v>4631</v>
      </c>
      <c r="Q104" s="41" t="s">
        <v>1401</v>
      </c>
      <c r="R104" s="41" t="s">
        <v>940</v>
      </c>
    </row>
    <row r="105" spans="1:18" ht="81.95" customHeight="1">
      <c r="A105" s="40" t="s">
        <v>2671</v>
      </c>
      <c r="B105" s="40" t="s">
        <v>270</v>
      </c>
      <c r="C105" s="40" t="s">
        <v>4505</v>
      </c>
      <c r="D105" s="40" t="s">
        <v>967</v>
      </c>
      <c r="E105" s="40" t="s">
        <v>968</v>
      </c>
      <c r="F105" s="40" t="s">
        <v>4632</v>
      </c>
      <c r="G105" s="40" t="s">
        <v>4633</v>
      </c>
      <c r="H105" s="40"/>
      <c r="I105" s="40" t="s">
        <v>4634</v>
      </c>
      <c r="J105" s="40" t="s">
        <v>4635</v>
      </c>
      <c r="K105" s="40" t="s">
        <v>4636</v>
      </c>
      <c r="L105" s="40" t="s">
        <v>4510</v>
      </c>
      <c r="M105" s="40" t="s">
        <v>4637</v>
      </c>
      <c r="N105" s="40" t="s">
        <v>4638</v>
      </c>
      <c r="O105" s="40" t="s">
        <v>4639</v>
      </c>
      <c r="P105" s="40" t="s">
        <v>4540</v>
      </c>
      <c r="Q105" s="40" t="s">
        <v>1401</v>
      </c>
      <c r="R105" s="40" t="s">
        <v>971</v>
      </c>
    </row>
    <row r="106" spans="1:18" ht="81.95" customHeight="1">
      <c r="A106" s="41" t="s">
        <v>2708</v>
      </c>
      <c r="B106" s="41" t="s">
        <v>278</v>
      </c>
      <c r="C106" s="41" t="s">
        <v>4505</v>
      </c>
      <c r="D106" s="41" t="s">
        <v>986</v>
      </c>
      <c r="E106" s="41" t="s">
        <v>987</v>
      </c>
      <c r="F106" s="41" t="s">
        <v>4514</v>
      </c>
      <c r="G106" s="41" t="s">
        <v>2709</v>
      </c>
      <c r="H106" s="41" t="s">
        <v>4640</v>
      </c>
      <c r="I106" s="41" t="s">
        <v>4375</v>
      </c>
      <c r="J106" s="41" t="s">
        <v>4641</v>
      </c>
      <c r="K106" s="41" t="s">
        <v>4642</v>
      </c>
      <c r="L106" s="41" t="s">
        <v>4375</v>
      </c>
      <c r="M106" s="41" t="s">
        <v>4643</v>
      </c>
      <c r="N106" s="41" t="s">
        <v>4644</v>
      </c>
      <c r="O106" s="41" t="s">
        <v>2710</v>
      </c>
      <c r="P106" s="41" t="s">
        <v>4645</v>
      </c>
      <c r="Q106" s="41" t="s">
        <v>1401</v>
      </c>
      <c r="R106" s="41" t="s">
        <v>991</v>
      </c>
    </row>
    <row r="107" spans="1:18" ht="81.95" customHeight="1">
      <c r="A107" s="40" t="s">
        <v>2731</v>
      </c>
      <c r="B107" s="40" t="s">
        <v>286</v>
      </c>
      <c r="C107" s="40" t="s">
        <v>4505</v>
      </c>
      <c r="D107" s="40" t="s">
        <v>993</v>
      </c>
      <c r="E107" s="40" t="s">
        <v>288</v>
      </c>
      <c r="F107" s="40" t="s">
        <v>4522</v>
      </c>
      <c r="G107" s="40" t="s">
        <v>995</v>
      </c>
      <c r="H107" s="40" t="s">
        <v>4646</v>
      </c>
      <c r="I107" s="40" t="s">
        <v>4375</v>
      </c>
      <c r="J107" s="40" t="s">
        <v>4647</v>
      </c>
      <c r="K107" s="40" t="s">
        <v>4648</v>
      </c>
      <c r="L107" s="40" t="s">
        <v>4375</v>
      </c>
      <c r="M107" s="40" t="s">
        <v>4649</v>
      </c>
      <c r="N107" s="40" t="s">
        <v>4650</v>
      </c>
      <c r="O107" s="40" t="s">
        <v>2732</v>
      </c>
      <c r="P107" s="40" t="s">
        <v>4528</v>
      </c>
      <c r="Q107" s="40" t="s">
        <v>1401</v>
      </c>
      <c r="R107" s="40" t="s">
        <v>997</v>
      </c>
    </row>
    <row r="108" spans="1:18" ht="81.95" customHeight="1">
      <c r="A108" s="41" t="s">
        <v>2761</v>
      </c>
      <c r="B108" s="41" t="s">
        <v>292</v>
      </c>
      <c r="C108" s="41" t="s">
        <v>4505</v>
      </c>
      <c r="D108" s="41" t="s">
        <v>1014</v>
      </c>
      <c r="E108" s="41" t="s">
        <v>1015</v>
      </c>
      <c r="F108" s="41" t="s">
        <v>4651</v>
      </c>
      <c r="G108" s="41" t="s">
        <v>2762</v>
      </c>
      <c r="H108" s="41" t="s">
        <v>4652</v>
      </c>
      <c r="I108" s="41" t="s">
        <v>4653</v>
      </c>
      <c r="J108" s="41"/>
      <c r="K108" s="41" t="s">
        <v>4654</v>
      </c>
      <c r="L108" s="41" t="s">
        <v>4375</v>
      </c>
      <c r="M108" s="41" t="s">
        <v>4655</v>
      </c>
      <c r="N108" s="41" t="s">
        <v>4656</v>
      </c>
      <c r="O108" s="41" t="s">
        <v>2763</v>
      </c>
      <c r="P108" s="41" t="s">
        <v>4657</v>
      </c>
      <c r="Q108" s="41" t="s">
        <v>1401</v>
      </c>
      <c r="R108" s="41" t="s">
        <v>1019</v>
      </c>
    </row>
    <row r="109" spans="1:18" ht="81.95" customHeight="1">
      <c r="A109" s="40" t="s">
        <v>2795</v>
      </c>
      <c r="B109" s="40" t="s">
        <v>298</v>
      </c>
      <c r="C109" s="40" t="s">
        <v>4505</v>
      </c>
      <c r="D109" s="40" t="s">
        <v>1028</v>
      </c>
      <c r="E109" s="40" t="s">
        <v>1029</v>
      </c>
      <c r="F109" s="40" t="s">
        <v>4658</v>
      </c>
      <c r="G109" s="40" t="s">
        <v>2796</v>
      </c>
      <c r="H109" s="40" t="s">
        <v>4659</v>
      </c>
      <c r="I109" s="40" t="s">
        <v>4660</v>
      </c>
      <c r="J109" s="40"/>
      <c r="K109" s="40" t="s">
        <v>4661</v>
      </c>
      <c r="L109" s="40" t="s">
        <v>4510</v>
      </c>
      <c r="M109" s="40" t="s">
        <v>4662</v>
      </c>
      <c r="N109" s="40" t="s">
        <v>4663</v>
      </c>
      <c r="O109" s="40" t="s">
        <v>2797</v>
      </c>
      <c r="P109" s="40" t="s">
        <v>4664</v>
      </c>
      <c r="Q109" s="40" t="s">
        <v>1401</v>
      </c>
      <c r="R109" s="40" t="s">
        <v>1034</v>
      </c>
    </row>
    <row r="110" spans="1:18" ht="81.95" customHeight="1">
      <c r="A110" s="41" t="s">
        <v>2831</v>
      </c>
      <c r="B110" s="41" t="s">
        <v>305</v>
      </c>
      <c r="C110" s="41" t="s">
        <v>4505</v>
      </c>
      <c r="D110" s="41" t="s">
        <v>1052</v>
      </c>
      <c r="E110" s="41" t="s">
        <v>1053</v>
      </c>
      <c r="F110" s="41" t="s">
        <v>4506</v>
      </c>
      <c r="G110" s="41" t="s">
        <v>2832</v>
      </c>
      <c r="H110" s="41"/>
      <c r="I110" s="41" t="s">
        <v>4665</v>
      </c>
      <c r="J110" s="41" t="s">
        <v>4666</v>
      </c>
      <c r="K110" s="41" t="s">
        <v>4667</v>
      </c>
      <c r="L110" s="41" t="s">
        <v>4510</v>
      </c>
      <c r="M110" s="41" t="s">
        <v>4668</v>
      </c>
      <c r="N110" s="41" t="s">
        <v>4669</v>
      </c>
      <c r="O110" s="41" t="s">
        <v>2833</v>
      </c>
      <c r="P110" s="41" t="s">
        <v>4670</v>
      </c>
      <c r="Q110" s="41" t="s">
        <v>1401</v>
      </c>
      <c r="R110" s="41" t="s">
        <v>1058</v>
      </c>
    </row>
    <row r="111" spans="1:18" ht="81.95" customHeight="1">
      <c r="A111" s="40" t="s">
        <v>2854</v>
      </c>
      <c r="B111" s="40" t="s">
        <v>312</v>
      </c>
      <c r="C111" s="40" t="s">
        <v>4505</v>
      </c>
      <c r="D111" s="40" t="s">
        <v>1061</v>
      </c>
      <c r="E111" s="40" t="s">
        <v>314</v>
      </c>
      <c r="F111" s="40" t="s">
        <v>4671</v>
      </c>
      <c r="G111" s="40" t="s">
        <v>4672</v>
      </c>
      <c r="H111" s="40" t="s">
        <v>4673</v>
      </c>
      <c r="I111" s="40" t="s">
        <v>4674</v>
      </c>
      <c r="J111" s="40" t="s">
        <v>4675</v>
      </c>
      <c r="K111" s="40" t="s">
        <v>4676</v>
      </c>
      <c r="L111" s="40" t="s">
        <v>4375</v>
      </c>
      <c r="M111" s="40" t="s">
        <v>4677</v>
      </c>
      <c r="N111" s="40" t="s">
        <v>4678</v>
      </c>
      <c r="O111" s="40" t="s">
        <v>4679</v>
      </c>
      <c r="P111" s="40" t="s">
        <v>4680</v>
      </c>
      <c r="Q111" s="40" t="s">
        <v>1401</v>
      </c>
      <c r="R111" s="40" t="s">
        <v>1064</v>
      </c>
    </row>
    <row r="112" spans="1:18" ht="81.95" customHeight="1">
      <c r="A112" s="41" t="s">
        <v>3045</v>
      </c>
      <c r="B112" s="41" t="s">
        <v>512</v>
      </c>
      <c r="C112" s="41" t="s">
        <v>4505</v>
      </c>
      <c r="D112" s="41" t="s">
        <v>825</v>
      </c>
      <c r="E112" s="41" t="s">
        <v>515</v>
      </c>
      <c r="F112" s="41" t="s">
        <v>4681</v>
      </c>
      <c r="G112" s="41" t="s">
        <v>827</v>
      </c>
      <c r="H112" s="41"/>
      <c r="I112" s="41" t="s">
        <v>4682</v>
      </c>
      <c r="J112" s="41" t="s">
        <v>4683</v>
      </c>
      <c r="K112" s="41" t="s">
        <v>4684</v>
      </c>
      <c r="L112" s="41" t="s">
        <v>4375</v>
      </c>
      <c r="M112" s="41" t="s">
        <v>4685</v>
      </c>
      <c r="N112" s="41" t="s">
        <v>4686</v>
      </c>
      <c r="O112" s="41" t="s">
        <v>3047</v>
      </c>
      <c r="P112" s="41" t="s">
        <v>4687</v>
      </c>
      <c r="Q112" s="41" t="s">
        <v>1401</v>
      </c>
      <c r="R112" s="41" t="s">
        <v>828</v>
      </c>
    </row>
    <row r="113" spans="1:18" ht="81.95" customHeight="1">
      <c r="A113" s="40" t="s">
        <v>3066</v>
      </c>
      <c r="B113" s="40" t="s">
        <v>518</v>
      </c>
      <c r="C113" s="40" t="s">
        <v>4505</v>
      </c>
      <c r="D113" s="40" t="s">
        <v>740</v>
      </c>
      <c r="E113" s="40" t="s">
        <v>520</v>
      </c>
      <c r="F113" s="40" t="s">
        <v>4681</v>
      </c>
      <c r="G113" s="40" t="s">
        <v>3067</v>
      </c>
      <c r="H113" s="40"/>
      <c r="I113" s="40" t="s">
        <v>4688</v>
      </c>
      <c r="J113" s="40" t="s">
        <v>4689</v>
      </c>
      <c r="K113" s="40" t="s">
        <v>4690</v>
      </c>
      <c r="L113" s="40" t="s">
        <v>4369</v>
      </c>
      <c r="M113" s="40" t="s">
        <v>4691</v>
      </c>
      <c r="N113" s="40" t="s">
        <v>4692</v>
      </c>
      <c r="O113" s="40" t="s">
        <v>3068</v>
      </c>
      <c r="P113" s="40" t="s">
        <v>4693</v>
      </c>
      <c r="Q113" s="40" t="s">
        <v>1401</v>
      </c>
      <c r="R113" s="40" t="s">
        <v>744</v>
      </c>
    </row>
    <row r="114" spans="1:18" ht="81.95" customHeight="1">
      <c r="A114" s="41" t="s">
        <v>3083</v>
      </c>
      <c r="B114" s="41" t="s">
        <v>523</v>
      </c>
      <c r="C114" s="41" t="s">
        <v>4505</v>
      </c>
      <c r="D114" s="41" t="s">
        <v>1092</v>
      </c>
      <c r="E114" s="41" t="s">
        <v>525</v>
      </c>
      <c r="F114" s="41" t="s">
        <v>4694</v>
      </c>
      <c r="G114" s="41" t="s">
        <v>3084</v>
      </c>
      <c r="H114" s="41" t="s">
        <v>4695</v>
      </c>
      <c r="I114" s="41" t="s">
        <v>4696</v>
      </c>
      <c r="J114" s="41"/>
      <c r="K114" s="41" t="s">
        <v>4697</v>
      </c>
      <c r="L114" s="41" t="s">
        <v>4369</v>
      </c>
      <c r="M114" s="41" t="s">
        <v>4698</v>
      </c>
      <c r="N114" s="41" t="s">
        <v>4699</v>
      </c>
      <c r="O114" s="41" t="s">
        <v>3085</v>
      </c>
      <c r="P114" s="41" t="s">
        <v>4700</v>
      </c>
      <c r="Q114" s="41" t="s">
        <v>1561</v>
      </c>
      <c r="R114" s="41" t="s">
        <v>1097</v>
      </c>
    </row>
    <row r="115" spans="1:18" ht="81.95" customHeight="1">
      <c r="A115" s="40" t="s">
        <v>3101</v>
      </c>
      <c r="B115" s="40" t="s">
        <v>528</v>
      </c>
      <c r="C115" s="40" t="s">
        <v>4505</v>
      </c>
      <c r="D115" s="40" t="s">
        <v>1101</v>
      </c>
      <c r="E115" s="40" t="s">
        <v>530</v>
      </c>
      <c r="F115" s="40" t="s">
        <v>4701</v>
      </c>
      <c r="G115" s="40" t="s">
        <v>3102</v>
      </c>
      <c r="H115" s="40" t="s">
        <v>4702</v>
      </c>
      <c r="I115" s="40" t="s">
        <v>4703</v>
      </c>
      <c r="J115" s="40"/>
      <c r="K115" s="40" t="s">
        <v>4704</v>
      </c>
      <c r="L115" s="40" t="s">
        <v>4369</v>
      </c>
      <c r="M115" s="40" t="s">
        <v>4705</v>
      </c>
      <c r="N115" s="40" t="s">
        <v>4706</v>
      </c>
      <c r="O115" s="40" t="s">
        <v>3103</v>
      </c>
      <c r="P115" s="40" t="s">
        <v>4707</v>
      </c>
      <c r="Q115" s="40" t="s">
        <v>1401</v>
      </c>
      <c r="R115" s="40" t="s">
        <v>1104</v>
      </c>
    </row>
    <row r="116" spans="1:18" ht="81.95" customHeight="1">
      <c r="A116" s="41" t="s">
        <v>3116</v>
      </c>
      <c r="B116" s="41" t="s">
        <v>533</v>
      </c>
      <c r="C116" s="41" t="s">
        <v>4505</v>
      </c>
      <c r="D116" s="41" t="s">
        <v>1108</v>
      </c>
      <c r="E116" s="41" t="s">
        <v>535</v>
      </c>
      <c r="F116" s="41" t="s">
        <v>4708</v>
      </c>
      <c r="G116" s="41" t="s">
        <v>3117</v>
      </c>
      <c r="H116" s="41"/>
      <c r="I116" s="41" t="s">
        <v>4709</v>
      </c>
      <c r="J116" s="41" t="s">
        <v>4710</v>
      </c>
      <c r="K116" s="41" t="s">
        <v>4711</v>
      </c>
      <c r="L116" s="41" t="s">
        <v>4369</v>
      </c>
      <c r="M116" s="41" t="s">
        <v>4712</v>
      </c>
      <c r="N116" s="41" t="s">
        <v>4713</v>
      </c>
      <c r="O116" s="41" t="s">
        <v>3118</v>
      </c>
      <c r="P116" s="41" t="s">
        <v>4714</v>
      </c>
      <c r="Q116" s="41" t="s">
        <v>1401</v>
      </c>
      <c r="R116" s="41" t="s">
        <v>1112</v>
      </c>
    </row>
  </sheetData>
  <mergeCells count="2">
    <mergeCell ref="A1:R1"/>
    <mergeCell ref="A2:R2"/>
  </mergeCells>
  <conditionalFormatting sqref="Q5:Q116">
    <cfRule type="containsText" dxfId="10" priority="1" operator="containsText" text="FIELD"/>
  </conditionalFormatting>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V39"/>
  <sheetViews>
    <sheetView showGridLines="0" topLeftCell="L33" workbookViewId="0">
      <selection activeCell="V39" sqref="V39"/>
    </sheetView>
  </sheetViews>
  <sheetFormatPr baseColWidth="10" defaultColWidth="9" defaultRowHeight="14.25"/>
  <cols>
    <col min="1" max="1" width="25" customWidth="1"/>
    <col min="2" max="2" width="30" customWidth="1"/>
    <col min="3" max="3" width="18" customWidth="1"/>
    <col min="4" max="4" width="30" customWidth="1"/>
    <col min="5" max="5" width="11" customWidth="1"/>
    <col min="6" max="6" width="24" customWidth="1"/>
    <col min="7" max="7" width="55" customWidth="1"/>
    <col min="8" max="8" width="60" customWidth="1"/>
    <col min="9" max="10" width="55" customWidth="1"/>
    <col min="11" max="11" width="45" customWidth="1"/>
    <col min="12" max="12" width="38" customWidth="1"/>
    <col min="13" max="13" width="55" customWidth="1"/>
    <col min="14" max="14" width="35" customWidth="1"/>
    <col min="15" max="15" width="30" customWidth="1"/>
    <col min="16" max="16" width="42" customWidth="1"/>
    <col min="17" max="17" width="38" customWidth="1"/>
    <col min="18" max="18" width="42" customWidth="1"/>
    <col min="19" max="19" width="24" customWidth="1"/>
    <col min="20" max="20" width="72" customWidth="1"/>
    <col min="21" max="21" width="42" customWidth="1"/>
    <col min="22" max="22" width="24" customWidth="1"/>
  </cols>
  <sheetData>
    <row r="1" spans="1:22" ht="27.95" customHeight="1">
      <c r="A1" s="66" t="s">
        <v>4715</v>
      </c>
      <c r="B1" s="66"/>
      <c r="C1" s="66"/>
      <c r="D1" s="66"/>
      <c r="E1" s="66"/>
      <c r="F1" s="66"/>
      <c r="G1" s="66"/>
      <c r="H1" s="66"/>
      <c r="I1" s="66"/>
      <c r="J1" s="66"/>
      <c r="K1" s="66"/>
      <c r="L1" s="66"/>
      <c r="M1" s="66"/>
      <c r="N1" s="66"/>
      <c r="O1" s="66"/>
      <c r="P1" s="66"/>
      <c r="Q1" s="66"/>
      <c r="R1" s="66"/>
      <c r="S1" s="66"/>
      <c r="T1" s="66"/>
      <c r="U1" s="66"/>
      <c r="V1" s="66"/>
    </row>
    <row r="2" spans="1:22" ht="38.1" customHeight="1">
      <c r="A2" s="67" t="s">
        <v>4716</v>
      </c>
      <c r="B2" s="67"/>
      <c r="C2" s="67"/>
      <c r="D2" s="67"/>
      <c r="E2" s="67"/>
      <c r="F2" s="67"/>
      <c r="G2" s="67"/>
      <c r="H2" s="67"/>
      <c r="I2" s="67"/>
      <c r="J2" s="67"/>
      <c r="K2" s="67"/>
      <c r="L2" s="67"/>
      <c r="M2" s="67"/>
      <c r="N2" s="67"/>
      <c r="O2" s="67"/>
      <c r="P2" s="67"/>
      <c r="Q2" s="67"/>
      <c r="R2" s="67"/>
      <c r="S2" s="67"/>
      <c r="T2" s="67"/>
      <c r="U2" s="67"/>
      <c r="V2" s="67"/>
    </row>
    <row r="3" spans="1:22">
      <c r="A3" s="26"/>
      <c r="B3" s="26"/>
      <c r="C3" s="26"/>
      <c r="D3" s="26"/>
      <c r="E3" s="26"/>
      <c r="F3" s="26"/>
      <c r="G3" s="26"/>
      <c r="H3" s="26"/>
      <c r="I3" s="26"/>
      <c r="J3" s="26"/>
      <c r="K3" s="26"/>
      <c r="L3" s="26"/>
      <c r="M3" s="26"/>
      <c r="N3" s="26"/>
      <c r="O3" s="26"/>
      <c r="P3" s="26"/>
      <c r="Q3" s="26"/>
      <c r="R3" s="26"/>
      <c r="S3" s="26"/>
      <c r="T3" s="26"/>
      <c r="U3" s="26"/>
      <c r="V3" s="26"/>
    </row>
    <row r="4" spans="1:22" ht="42" customHeight="1">
      <c r="A4" s="39" t="s">
        <v>4717</v>
      </c>
      <c r="B4" s="39" t="s">
        <v>4718</v>
      </c>
      <c r="C4" s="39" t="s">
        <v>1364</v>
      </c>
      <c r="D4" s="39" t="s">
        <v>4719</v>
      </c>
      <c r="E4" s="39" t="s">
        <v>1377</v>
      </c>
      <c r="F4" s="39" t="s">
        <v>1378</v>
      </c>
      <c r="G4" s="39" t="s">
        <v>4720</v>
      </c>
      <c r="H4" s="39" t="s">
        <v>1379</v>
      </c>
      <c r="I4" s="39" t="s">
        <v>4721</v>
      </c>
      <c r="J4" s="39" t="s">
        <v>4722</v>
      </c>
      <c r="K4" s="39" t="s">
        <v>4723</v>
      </c>
      <c r="L4" s="39" t="s">
        <v>4724</v>
      </c>
      <c r="M4" s="39" t="s">
        <v>4725</v>
      </c>
      <c r="N4" s="39" t="s">
        <v>4726</v>
      </c>
      <c r="O4" s="39" t="s">
        <v>4727</v>
      </c>
      <c r="P4" s="39" t="s">
        <v>4728</v>
      </c>
      <c r="Q4" s="39" t="s">
        <v>4729</v>
      </c>
      <c r="R4" s="39" t="s">
        <v>4730</v>
      </c>
      <c r="S4" s="39" t="s">
        <v>1383</v>
      </c>
      <c r="T4" s="39" t="s">
        <v>1384</v>
      </c>
      <c r="U4" s="39" t="s">
        <v>4731</v>
      </c>
      <c r="V4" s="39" t="s">
        <v>1131</v>
      </c>
    </row>
    <row r="5" spans="1:22" ht="104.1" customHeight="1">
      <c r="A5" s="40" t="s">
        <v>1982</v>
      </c>
      <c r="B5" s="40" t="s">
        <v>126</v>
      </c>
      <c r="C5" s="40" t="s">
        <v>4732</v>
      </c>
      <c r="D5" s="40" t="s">
        <v>133</v>
      </c>
      <c r="E5" s="40" t="s">
        <v>1394</v>
      </c>
      <c r="F5" s="40" t="s">
        <v>4733</v>
      </c>
      <c r="G5" s="40" t="s">
        <v>4734</v>
      </c>
      <c r="H5" s="40" t="s">
        <v>4735</v>
      </c>
      <c r="I5" s="40" t="s">
        <v>4736</v>
      </c>
      <c r="J5" s="40" t="s">
        <v>4737</v>
      </c>
      <c r="K5" s="40" t="s">
        <v>4738</v>
      </c>
      <c r="L5" s="40" t="s">
        <v>4739</v>
      </c>
      <c r="M5" s="40" t="s">
        <v>4740</v>
      </c>
      <c r="N5" s="40" t="s">
        <v>4741</v>
      </c>
      <c r="O5" s="40" t="s">
        <v>4742</v>
      </c>
      <c r="P5" s="40" t="s">
        <v>4743</v>
      </c>
      <c r="Q5" s="40" t="s">
        <v>4744</v>
      </c>
      <c r="R5" s="40" t="s">
        <v>4745</v>
      </c>
      <c r="S5" s="40"/>
      <c r="T5" s="40" t="s">
        <v>4746</v>
      </c>
      <c r="U5" s="40" t="s">
        <v>4747</v>
      </c>
      <c r="V5" s="40" t="s">
        <v>6056</v>
      </c>
    </row>
    <row r="6" spans="1:22" ht="104.1" customHeight="1">
      <c r="A6" s="41" t="s">
        <v>2046</v>
      </c>
      <c r="B6" s="41" t="s">
        <v>136</v>
      </c>
      <c r="C6" s="41" t="s">
        <v>4732</v>
      </c>
      <c r="D6" s="41" t="s">
        <v>141</v>
      </c>
      <c r="E6" s="41" t="s">
        <v>1407</v>
      </c>
      <c r="F6" s="41" t="s">
        <v>4748</v>
      </c>
      <c r="G6" s="41" t="s">
        <v>4749</v>
      </c>
      <c r="H6" s="41" t="s">
        <v>4750</v>
      </c>
      <c r="I6" s="41" t="s">
        <v>4751</v>
      </c>
      <c r="J6" s="41" t="s">
        <v>4752</v>
      </c>
      <c r="K6" s="41" t="s">
        <v>4753</v>
      </c>
      <c r="L6" s="41" t="s">
        <v>4754</v>
      </c>
      <c r="M6" s="41" t="s">
        <v>4755</v>
      </c>
      <c r="N6" s="41" t="s">
        <v>4756</v>
      </c>
      <c r="O6" s="41" t="s">
        <v>4742</v>
      </c>
      <c r="P6" s="41" t="s">
        <v>4743</v>
      </c>
      <c r="Q6" s="41" t="s">
        <v>4744</v>
      </c>
      <c r="R6" s="41" t="s">
        <v>4745</v>
      </c>
      <c r="S6" s="41"/>
      <c r="T6" s="41" t="s">
        <v>4757</v>
      </c>
      <c r="U6" s="41" t="s">
        <v>4747</v>
      </c>
      <c r="V6" s="40" t="s">
        <v>6056</v>
      </c>
    </row>
    <row r="7" spans="1:22" ht="104.1" customHeight="1">
      <c r="A7" s="40" t="s">
        <v>2134</v>
      </c>
      <c r="B7" s="40" t="s">
        <v>151</v>
      </c>
      <c r="C7" s="40" t="s">
        <v>4732</v>
      </c>
      <c r="D7" s="40" t="s">
        <v>156</v>
      </c>
      <c r="E7" s="40" t="s">
        <v>1394</v>
      </c>
      <c r="F7" s="40" t="s">
        <v>4758</v>
      </c>
      <c r="G7" s="40" t="s">
        <v>4759</v>
      </c>
      <c r="H7" s="40" t="s">
        <v>4760</v>
      </c>
      <c r="I7" s="40" t="s">
        <v>4761</v>
      </c>
      <c r="J7" s="40" t="s">
        <v>4762</v>
      </c>
      <c r="K7" s="40" t="s">
        <v>4763</v>
      </c>
      <c r="L7" s="40" t="s">
        <v>4764</v>
      </c>
      <c r="M7" s="40" t="s">
        <v>4765</v>
      </c>
      <c r="N7" s="40" t="s">
        <v>4766</v>
      </c>
      <c r="O7" s="40" t="s">
        <v>4742</v>
      </c>
      <c r="P7" s="40" t="s">
        <v>4743</v>
      </c>
      <c r="Q7" s="40" t="s">
        <v>4744</v>
      </c>
      <c r="R7" s="40" t="s">
        <v>4745</v>
      </c>
      <c r="S7" s="40"/>
      <c r="T7" s="40" t="s">
        <v>4767</v>
      </c>
      <c r="U7" s="40" t="s">
        <v>4747</v>
      </c>
      <c r="V7" s="40" t="s">
        <v>6056</v>
      </c>
    </row>
    <row r="8" spans="1:22" ht="104.1" customHeight="1">
      <c r="A8" s="41" t="s">
        <v>2238</v>
      </c>
      <c r="B8" s="41" t="s">
        <v>173</v>
      </c>
      <c r="C8" s="41" t="s">
        <v>4732</v>
      </c>
      <c r="D8" s="41" t="s">
        <v>178</v>
      </c>
      <c r="E8" s="41" t="s">
        <v>1407</v>
      </c>
      <c r="F8" s="41" t="s">
        <v>4768</v>
      </c>
      <c r="G8" s="41" t="s">
        <v>4769</v>
      </c>
      <c r="H8" s="41" t="s">
        <v>4770</v>
      </c>
      <c r="I8" s="41" t="s">
        <v>4771</v>
      </c>
      <c r="J8" s="41" t="s">
        <v>4772</v>
      </c>
      <c r="K8" s="41" t="s">
        <v>4773</v>
      </c>
      <c r="L8" s="41" t="s">
        <v>4774</v>
      </c>
      <c r="M8" s="41" t="s">
        <v>4775</v>
      </c>
      <c r="N8" s="41" t="s">
        <v>4776</v>
      </c>
      <c r="O8" s="41" t="s">
        <v>4742</v>
      </c>
      <c r="P8" s="41" t="s">
        <v>4743</v>
      </c>
      <c r="Q8" s="41" t="s">
        <v>4744</v>
      </c>
      <c r="R8" s="41" t="s">
        <v>4745</v>
      </c>
      <c r="S8" s="41"/>
      <c r="T8" s="41" t="s">
        <v>4777</v>
      </c>
      <c r="U8" s="41" t="s">
        <v>4747</v>
      </c>
      <c r="V8" s="40" t="s">
        <v>6056</v>
      </c>
    </row>
    <row r="9" spans="1:22" ht="104.1" customHeight="1">
      <c r="A9" s="40" t="s">
        <v>2302</v>
      </c>
      <c r="B9" s="40" t="s">
        <v>4778</v>
      </c>
      <c r="C9" s="40" t="s">
        <v>4732</v>
      </c>
      <c r="D9" s="40" t="s">
        <v>193</v>
      </c>
      <c r="E9" s="40" t="s">
        <v>1407</v>
      </c>
      <c r="F9" s="40" t="s">
        <v>4779</v>
      </c>
      <c r="G9" s="40" t="s">
        <v>4780</v>
      </c>
      <c r="H9" s="40" t="s">
        <v>4781</v>
      </c>
      <c r="I9" s="40" t="s">
        <v>4782</v>
      </c>
      <c r="J9" s="40" t="s">
        <v>4783</v>
      </c>
      <c r="K9" s="40" t="s">
        <v>4784</v>
      </c>
      <c r="L9" s="40" t="s">
        <v>4785</v>
      </c>
      <c r="M9" s="40" t="s">
        <v>4786</v>
      </c>
      <c r="N9" s="40" t="s">
        <v>4787</v>
      </c>
      <c r="O9" s="40" t="s">
        <v>4742</v>
      </c>
      <c r="P9" s="40" t="s">
        <v>4743</v>
      </c>
      <c r="Q9" s="40" t="s">
        <v>4744</v>
      </c>
      <c r="R9" s="40" t="s">
        <v>4745</v>
      </c>
      <c r="S9" s="40"/>
      <c r="T9" s="40" t="s">
        <v>4788</v>
      </c>
      <c r="U9" s="40" t="s">
        <v>4747</v>
      </c>
      <c r="V9" s="40" t="s">
        <v>6056</v>
      </c>
    </row>
    <row r="10" spans="1:22" ht="104.1" customHeight="1">
      <c r="A10" s="41" t="s">
        <v>2341</v>
      </c>
      <c r="B10" s="41" t="s">
        <v>196</v>
      </c>
      <c r="C10" s="41" t="s">
        <v>4732</v>
      </c>
      <c r="D10" s="41" t="s">
        <v>201</v>
      </c>
      <c r="E10" s="41" t="s">
        <v>1394</v>
      </c>
      <c r="F10" s="41" t="s">
        <v>4789</v>
      </c>
      <c r="G10" s="41" t="s">
        <v>4790</v>
      </c>
      <c r="H10" s="41" t="s">
        <v>4791</v>
      </c>
      <c r="I10" s="41" t="s">
        <v>4792</v>
      </c>
      <c r="J10" s="41" t="s">
        <v>4793</v>
      </c>
      <c r="K10" s="41" t="s">
        <v>4794</v>
      </c>
      <c r="L10" s="41" t="s">
        <v>4795</v>
      </c>
      <c r="M10" s="41" t="s">
        <v>4796</v>
      </c>
      <c r="N10" s="41" t="s">
        <v>4797</v>
      </c>
      <c r="O10" s="41" t="s">
        <v>4742</v>
      </c>
      <c r="P10" s="41" t="s">
        <v>4743</v>
      </c>
      <c r="Q10" s="41" t="s">
        <v>4744</v>
      </c>
      <c r="R10" s="41" t="s">
        <v>4745</v>
      </c>
      <c r="S10" s="41"/>
      <c r="T10" s="41" t="s">
        <v>4798</v>
      </c>
      <c r="U10" s="41" t="s">
        <v>4747</v>
      </c>
      <c r="V10" s="40" t="s">
        <v>6056</v>
      </c>
    </row>
    <row r="11" spans="1:22" ht="104.1" customHeight="1">
      <c r="A11" s="40" t="s">
        <v>2439</v>
      </c>
      <c r="B11" s="40" t="s">
        <v>4799</v>
      </c>
      <c r="C11" s="40" t="s">
        <v>4732</v>
      </c>
      <c r="D11" s="40" t="s">
        <v>221</v>
      </c>
      <c r="E11" s="40" t="s">
        <v>1407</v>
      </c>
      <c r="F11" s="40" t="s">
        <v>4800</v>
      </c>
      <c r="G11" s="40" t="s">
        <v>4801</v>
      </c>
      <c r="H11" s="40" t="s">
        <v>4802</v>
      </c>
      <c r="I11" s="40" t="s">
        <v>4803</v>
      </c>
      <c r="J11" s="40" t="s">
        <v>4804</v>
      </c>
      <c r="K11" s="40" t="s">
        <v>4805</v>
      </c>
      <c r="L11" s="40" t="s">
        <v>4806</v>
      </c>
      <c r="M11" s="40" t="s">
        <v>4807</v>
      </c>
      <c r="N11" s="40" t="s">
        <v>4808</v>
      </c>
      <c r="O11" s="40" t="s">
        <v>4742</v>
      </c>
      <c r="P11" s="40" t="s">
        <v>4743</v>
      </c>
      <c r="Q11" s="40" t="s">
        <v>4744</v>
      </c>
      <c r="R11" s="40" t="s">
        <v>4745</v>
      </c>
      <c r="S11" s="40"/>
      <c r="T11" s="40" t="s">
        <v>4809</v>
      </c>
      <c r="U11" s="40" t="s">
        <v>4747</v>
      </c>
      <c r="V11" s="40" t="s">
        <v>6056</v>
      </c>
    </row>
    <row r="12" spans="1:22" ht="104.1" customHeight="1">
      <c r="A12" s="41" t="s">
        <v>2550</v>
      </c>
      <c r="B12" s="41" t="s">
        <v>239</v>
      </c>
      <c r="C12" s="41" t="s">
        <v>4732</v>
      </c>
      <c r="D12" s="41" t="s">
        <v>244</v>
      </c>
      <c r="E12" s="41" t="s">
        <v>1419</v>
      </c>
      <c r="F12" s="41" t="s">
        <v>4810</v>
      </c>
      <c r="G12" s="41" t="s">
        <v>4811</v>
      </c>
      <c r="H12" s="41" t="s">
        <v>4812</v>
      </c>
      <c r="I12" s="41" t="s">
        <v>4813</v>
      </c>
      <c r="J12" s="41" t="s">
        <v>4814</v>
      </c>
      <c r="K12" s="41" t="s">
        <v>4815</v>
      </c>
      <c r="L12" s="41" t="s">
        <v>4816</v>
      </c>
      <c r="M12" s="41" t="s">
        <v>4817</v>
      </c>
      <c r="N12" s="41" t="s">
        <v>4818</v>
      </c>
      <c r="O12" s="41" t="s">
        <v>4742</v>
      </c>
      <c r="P12" s="41" t="s">
        <v>4743</v>
      </c>
      <c r="Q12" s="41" t="s">
        <v>4744</v>
      </c>
      <c r="R12" s="41" t="s">
        <v>4745</v>
      </c>
      <c r="S12" s="41"/>
      <c r="T12" s="41" t="s">
        <v>4819</v>
      </c>
      <c r="U12" s="41" t="s">
        <v>4747</v>
      </c>
      <c r="V12" s="40" t="s">
        <v>6056</v>
      </c>
    </row>
    <row r="13" spans="1:22" ht="104.1" customHeight="1">
      <c r="A13" s="40" t="s">
        <v>2631</v>
      </c>
      <c r="B13" s="40" t="s">
        <v>262</v>
      </c>
      <c r="C13" s="40" t="s">
        <v>4732</v>
      </c>
      <c r="D13" s="40" t="s">
        <v>267</v>
      </c>
      <c r="E13" s="40" t="s">
        <v>1394</v>
      </c>
      <c r="F13" s="40" t="s">
        <v>4820</v>
      </c>
      <c r="G13" s="40" t="s">
        <v>4821</v>
      </c>
      <c r="H13" s="40" t="s">
        <v>4822</v>
      </c>
      <c r="I13" s="40" t="s">
        <v>4823</v>
      </c>
      <c r="J13" s="40" t="s">
        <v>4824</v>
      </c>
      <c r="K13" s="40" t="s">
        <v>4825</v>
      </c>
      <c r="L13" s="40" t="s">
        <v>4826</v>
      </c>
      <c r="M13" s="40" t="s">
        <v>4827</v>
      </c>
      <c r="N13" s="40" t="s">
        <v>4828</v>
      </c>
      <c r="O13" s="40" t="s">
        <v>4742</v>
      </c>
      <c r="P13" s="40" t="s">
        <v>4743</v>
      </c>
      <c r="Q13" s="40" t="s">
        <v>4744</v>
      </c>
      <c r="R13" s="40" t="s">
        <v>4745</v>
      </c>
      <c r="S13" s="40"/>
      <c r="T13" s="40" t="s">
        <v>4829</v>
      </c>
      <c r="U13" s="40" t="s">
        <v>4747</v>
      </c>
      <c r="V13" s="40" t="s">
        <v>6056</v>
      </c>
    </row>
    <row r="14" spans="1:22" ht="104.1" customHeight="1">
      <c r="A14" s="41" t="s">
        <v>2677</v>
      </c>
      <c r="B14" s="41" t="s">
        <v>270</v>
      </c>
      <c r="C14" s="41" t="s">
        <v>4732</v>
      </c>
      <c r="D14" s="41" t="s">
        <v>275</v>
      </c>
      <c r="E14" s="41" t="s">
        <v>1419</v>
      </c>
      <c r="F14" s="41" t="s">
        <v>4830</v>
      </c>
      <c r="G14" s="41" t="s">
        <v>4831</v>
      </c>
      <c r="H14" s="41" t="s">
        <v>4832</v>
      </c>
      <c r="I14" s="41" t="s">
        <v>4833</v>
      </c>
      <c r="J14" s="41" t="s">
        <v>4834</v>
      </c>
      <c r="K14" s="41" t="s">
        <v>4835</v>
      </c>
      <c r="L14" s="41" t="s">
        <v>4836</v>
      </c>
      <c r="M14" s="41" t="s">
        <v>4837</v>
      </c>
      <c r="N14" s="41" t="s">
        <v>4838</v>
      </c>
      <c r="O14" s="41" t="s">
        <v>4742</v>
      </c>
      <c r="P14" s="41" t="s">
        <v>4743</v>
      </c>
      <c r="Q14" s="41" t="s">
        <v>4744</v>
      </c>
      <c r="R14" s="41" t="s">
        <v>4745</v>
      </c>
      <c r="S14" s="41"/>
      <c r="T14" s="41" t="s">
        <v>4839</v>
      </c>
      <c r="U14" s="41" t="s">
        <v>4747</v>
      </c>
      <c r="V14" s="40" t="s">
        <v>6056</v>
      </c>
    </row>
    <row r="15" spans="1:22" ht="104.1" customHeight="1">
      <c r="A15" s="40" t="s">
        <v>2713</v>
      </c>
      <c r="B15" s="40" t="s">
        <v>278</v>
      </c>
      <c r="C15" s="40" t="s">
        <v>4732</v>
      </c>
      <c r="D15" s="40" t="s">
        <v>283</v>
      </c>
      <c r="E15" s="40" t="s">
        <v>1394</v>
      </c>
      <c r="F15" s="40" t="s">
        <v>4840</v>
      </c>
      <c r="G15" s="40" t="s">
        <v>4841</v>
      </c>
      <c r="H15" s="40" t="s">
        <v>4842</v>
      </c>
      <c r="I15" s="40" t="s">
        <v>4843</v>
      </c>
      <c r="J15" s="40" t="s">
        <v>4844</v>
      </c>
      <c r="K15" s="40" t="s">
        <v>4845</v>
      </c>
      <c r="L15" s="40" t="s">
        <v>4846</v>
      </c>
      <c r="M15" s="40" t="s">
        <v>4847</v>
      </c>
      <c r="N15" s="40" t="s">
        <v>4848</v>
      </c>
      <c r="O15" s="40" t="s">
        <v>4742</v>
      </c>
      <c r="P15" s="40" t="s">
        <v>4743</v>
      </c>
      <c r="Q15" s="40" t="s">
        <v>4744</v>
      </c>
      <c r="R15" s="40" t="s">
        <v>4745</v>
      </c>
      <c r="S15" s="40"/>
      <c r="T15" s="40" t="s">
        <v>4849</v>
      </c>
      <c r="U15" s="40" t="s">
        <v>4747</v>
      </c>
      <c r="V15" s="40" t="s">
        <v>6056</v>
      </c>
    </row>
    <row r="16" spans="1:22" ht="104.1" customHeight="1">
      <c r="A16" s="41" t="s">
        <v>2800</v>
      </c>
      <c r="B16" s="41" t="s">
        <v>298</v>
      </c>
      <c r="C16" s="41" t="s">
        <v>4732</v>
      </c>
      <c r="D16" s="41" t="s">
        <v>302</v>
      </c>
      <c r="E16" s="41" t="s">
        <v>1394</v>
      </c>
      <c r="F16" s="41" t="s">
        <v>4850</v>
      </c>
      <c r="G16" s="41" t="s">
        <v>4851</v>
      </c>
      <c r="H16" s="41" t="s">
        <v>4852</v>
      </c>
      <c r="I16" s="41" t="s">
        <v>4853</v>
      </c>
      <c r="J16" s="41" t="s">
        <v>4854</v>
      </c>
      <c r="K16" s="41" t="s">
        <v>4855</v>
      </c>
      <c r="L16" s="41" t="s">
        <v>4856</v>
      </c>
      <c r="M16" s="41" t="s">
        <v>4857</v>
      </c>
      <c r="N16" s="41" t="s">
        <v>4858</v>
      </c>
      <c r="O16" s="41" t="s">
        <v>4742</v>
      </c>
      <c r="P16" s="41" t="s">
        <v>4743</v>
      </c>
      <c r="Q16" s="41" t="s">
        <v>4744</v>
      </c>
      <c r="R16" s="41" t="s">
        <v>4745</v>
      </c>
      <c r="S16" s="41"/>
      <c r="T16" s="41" t="s">
        <v>4859</v>
      </c>
      <c r="U16" s="41" t="s">
        <v>4747</v>
      </c>
      <c r="V16" s="40" t="s">
        <v>6056</v>
      </c>
    </row>
    <row r="17" spans="1:22" ht="104.1" customHeight="1">
      <c r="A17" s="40" t="s">
        <v>2836</v>
      </c>
      <c r="B17" s="40" t="s">
        <v>305</v>
      </c>
      <c r="C17" s="40" t="s">
        <v>4732</v>
      </c>
      <c r="D17" s="40" t="s">
        <v>309</v>
      </c>
      <c r="E17" s="40" t="s">
        <v>1407</v>
      </c>
      <c r="F17" s="40" t="s">
        <v>4860</v>
      </c>
      <c r="G17" s="40" t="s">
        <v>4861</v>
      </c>
      <c r="H17" s="40" t="s">
        <v>4862</v>
      </c>
      <c r="I17" s="40" t="s">
        <v>4863</v>
      </c>
      <c r="J17" s="40" t="s">
        <v>4864</v>
      </c>
      <c r="K17" s="40" t="s">
        <v>4865</v>
      </c>
      <c r="L17" s="40" t="s">
        <v>4866</v>
      </c>
      <c r="M17" s="40" t="s">
        <v>4867</v>
      </c>
      <c r="N17" s="40" t="s">
        <v>4868</v>
      </c>
      <c r="O17" s="40" t="s">
        <v>4742</v>
      </c>
      <c r="P17" s="40" t="s">
        <v>4743</v>
      </c>
      <c r="Q17" s="40" t="s">
        <v>4744</v>
      </c>
      <c r="R17" s="40" t="s">
        <v>4745</v>
      </c>
      <c r="S17" s="40"/>
      <c r="T17" s="40" t="s">
        <v>4869</v>
      </c>
      <c r="U17" s="40" t="s">
        <v>4747</v>
      </c>
      <c r="V17" s="40" t="s">
        <v>6056</v>
      </c>
    </row>
    <row r="18" spans="1:22" ht="104.1" customHeight="1">
      <c r="A18" s="41" t="s">
        <v>2864</v>
      </c>
      <c r="B18" s="41" t="s">
        <v>312</v>
      </c>
      <c r="C18" s="41" t="s">
        <v>4732</v>
      </c>
      <c r="D18" s="41" t="s">
        <v>316</v>
      </c>
      <c r="E18" s="41" t="s">
        <v>1419</v>
      </c>
      <c r="F18" s="41" t="s">
        <v>4870</v>
      </c>
      <c r="G18" s="41" t="s">
        <v>4871</v>
      </c>
      <c r="H18" s="41" t="s">
        <v>4872</v>
      </c>
      <c r="I18" s="41" t="s">
        <v>4873</v>
      </c>
      <c r="J18" s="41" t="s">
        <v>4874</v>
      </c>
      <c r="K18" s="41" t="s">
        <v>4875</v>
      </c>
      <c r="L18" s="41" t="s">
        <v>4876</v>
      </c>
      <c r="M18" s="41" t="s">
        <v>4877</v>
      </c>
      <c r="N18" s="41" t="s">
        <v>4878</v>
      </c>
      <c r="O18" s="41" t="s">
        <v>4742</v>
      </c>
      <c r="P18" s="41" t="s">
        <v>4743</v>
      </c>
      <c r="Q18" s="41" t="s">
        <v>4744</v>
      </c>
      <c r="R18" s="41" t="s">
        <v>4745</v>
      </c>
      <c r="S18" s="41"/>
      <c r="T18" s="41" t="s">
        <v>4879</v>
      </c>
      <c r="U18" s="41" t="s">
        <v>4747</v>
      </c>
      <c r="V18" s="40" t="s">
        <v>6056</v>
      </c>
    </row>
    <row r="19" spans="1:22" ht="104.1" customHeight="1">
      <c r="A19" s="40" t="s">
        <v>4880</v>
      </c>
      <c r="B19" s="40" t="s">
        <v>490</v>
      </c>
      <c r="C19" s="40" t="s">
        <v>4732</v>
      </c>
      <c r="D19" s="40" t="s">
        <v>1073</v>
      </c>
      <c r="E19" s="40" t="s">
        <v>4881</v>
      </c>
      <c r="F19" s="40" t="s">
        <v>4882</v>
      </c>
      <c r="G19" s="40" t="s">
        <v>4883</v>
      </c>
      <c r="H19" s="40" t="s">
        <v>4884</v>
      </c>
      <c r="I19" s="40" t="s">
        <v>4885</v>
      </c>
      <c r="J19" s="40" t="s">
        <v>4886</v>
      </c>
      <c r="K19" s="40" t="s">
        <v>4887</v>
      </c>
      <c r="L19" s="40" t="s">
        <v>4888</v>
      </c>
      <c r="M19" s="40" t="s">
        <v>4889</v>
      </c>
      <c r="N19" s="40" t="s">
        <v>4890</v>
      </c>
      <c r="O19" s="40" t="s">
        <v>4742</v>
      </c>
      <c r="P19" s="40" t="s">
        <v>4743</v>
      </c>
      <c r="Q19" s="40" t="s">
        <v>4744</v>
      </c>
      <c r="R19" s="40" t="s">
        <v>4891</v>
      </c>
      <c r="S19" s="40"/>
      <c r="T19" s="40" t="s">
        <v>4892</v>
      </c>
      <c r="U19" s="40" t="s">
        <v>4747</v>
      </c>
      <c r="V19" s="40" t="s">
        <v>6056</v>
      </c>
    </row>
    <row r="20" spans="1:22" ht="104.1" customHeight="1">
      <c r="A20" s="41" t="s">
        <v>4893</v>
      </c>
      <c r="B20" s="41" t="s">
        <v>497</v>
      </c>
      <c r="C20" s="41" t="s">
        <v>4732</v>
      </c>
      <c r="D20" s="41" t="s">
        <v>1082</v>
      </c>
      <c r="E20" s="41" t="s">
        <v>1394</v>
      </c>
      <c r="F20" s="41" t="s">
        <v>4894</v>
      </c>
      <c r="G20" s="41" t="s">
        <v>4895</v>
      </c>
      <c r="H20" s="41" t="s">
        <v>4896</v>
      </c>
      <c r="I20" s="41" t="s">
        <v>4897</v>
      </c>
      <c r="J20" s="41" t="s">
        <v>4898</v>
      </c>
      <c r="K20" s="41" t="s">
        <v>4899</v>
      </c>
      <c r="L20" s="41" t="s">
        <v>4900</v>
      </c>
      <c r="M20" s="41" t="s">
        <v>4901</v>
      </c>
      <c r="N20" s="41" t="s">
        <v>4902</v>
      </c>
      <c r="O20" s="41" t="s">
        <v>4742</v>
      </c>
      <c r="P20" s="41" t="s">
        <v>4743</v>
      </c>
      <c r="Q20" s="41" t="s">
        <v>4744</v>
      </c>
      <c r="R20" s="41" t="s">
        <v>4903</v>
      </c>
      <c r="S20" s="41"/>
      <c r="T20" s="41" t="s">
        <v>4904</v>
      </c>
      <c r="U20" s="41" t="s">
        <v>4747</v>
      </c>
      <c r="V20" s="40" t="s">
        <v>6056</v>
      </c>
    </row>
    <row r="21" spans="1:22" ht="104.1" customHeight="1">
      <c r="A21" s="40" t="s">
        <v>4905</v>
      </c>
      <c r="B21" s="40" t="s">
        <v>502</v>
      </c>
      <c r="C21" s="40" t="s">
        <v>4732</v>
      </c>
      <c r="D21" s="40" t="s">
        <v>1083</v>
      </c>
      <c r="E21" s="40" t="s">
        <v>1407</v>
      </c>
      <c r="F21" s="40" t="s">
        <v>4906</v>
      </c>
      <c r="G21" s="40" t="s">
        <v>4907</v>
      </c>
      <c r="H21" s="40" t="s">
        <v>4908</v>
      </c>
      <c r="I21" s="40" t="s">
        <v>4909</v>
      </c>
      <c r="J21" s="40" t="s">
        <v>4910</v>
      </c>
      <c r="K21" s="40" t="s">
        <v>4911</v>
      </c>
      <c r="L21" s="40" t="s">
        <v>4912</v>
      </c>
      <c r="M21" s="40" t="s">
        <v>4913</v>
      </c>
      <c r="N21" s="40" t="s">
        <v>4914</v>
      </c>
      <c r="O21" s="40" t="s">
        <v>4742</v>
      </c>
      <c r="P21" s="40" t="s">
        <v>4743</v>
      </c>
      <c r="Q21" s="40" t="s">
        <v>4744</v>
      </c>
      <c r="R21" s="40" t="s">
        <v>4903</v>
      </c>
      <c r="S21" s="40"/>
      <c r="T21" s="40" t="s">
        <v>4915</v>
      </c>
      <c r="U21" s="40" t="s">
        <v>4747</v>
      </c>
      <c r="V21" s="40" t="s">
        <v>6056</v>
      </c>
    </row>
    <row r="22" spans="1:22" ht="104.1" customHeight="1">
      <c r="A22" s="41" t="s">
        <v>4916</v>
      </c>
      <c r="B22" s="41" t="s">
        <v>507</v>
      </c>
      <c r="C22" s="41" t="s">
        <v>4732</v>
      </c>
      <c r="D22" s="41" t="s">
        <v>1091</v>
      </c>
      <c r="E22" s="41" t="s">
        <v>1407</v>
      </c>
      <c r="F22" s="41" t="s">
        <v>4917</v>
      </c>
      <c r="G22" s="41" t="s">
        <v>4918</v>
      </c>
      <c r="H22" s="41" t="s">
        <v>4919</v>
      </c>
      <c r="I22" s="41" t="s">
        <v>4920</v>
      </c>
      <c r="J22" s="41" t="s">
        <v>4921</v>
      </c>
      <c r="K22" s="41" t="s">
        <v>4922</v>
      </c>
      <c r="L22" s="41" t="s">
        <v>4923</v>
      </c>
      <c r="M22" s="41" t="s">
        <v>4924</v>
      </c>
      <c r="N22" s="41" t="s">
        <v>4925</v>
      </c>
      <c r="O22" s="41" t="s">
        <v>4742</v>
      </c>
      <c r="P22" s="41" t="s">
        <v>4743</v>
      </c>
      <c r="Q22" s="41" t="s">
        <v>4744</v>
      </c>
      <c r="R22" s="41" t="s">
        <v>4903</v>
      </c>
      <c r="S22" s="41"/>
      <c r="T22" s="41" t="s">
        <v>4926</v>
      </c>
      <c r="U22" s="41" t="s">
        <v>4747</v>
      </c>
      <c r="V22" s="40" t="s">
        <v>6056</v>
      </c>
    </row>
    <row r="23" spans="1:22" ht="104.1" customHeight="1">
      <c r="A23" s="40" t="s">
        <v>3088</v>
      </c>
      <c r="B23" s="40" t="s">
        <v>523</v>
      </c>
      <c r="C23" s="40" t="s">
        <v>4732</v>
      </c>
      <c r="D23" s="40" t="s">
        <v>1100</v>
      </c>
      <c r="E23" s="40" t="s">
        <v>1407</v>
      </c>
      <c r="F23" s="40" t="s">
        <v>4927</v>
      </c>
      <c r="G23" s="40" t="s">
        <v>4928</v>
      </c>
      <c r="H23" s="40" t="s">
        <v>4929</v>
      </c>
      <c r="I23" s="40" t="s">
        <v>4930</v>
      </c>
      <c r="J23" s="40" t="s">
        <v>4931</v>
      </c>
      <c r="K23" s="40" t="s">
        <v>4932</v>
      </c>
      <c r="L23" s="40" t="s">
        <v>4933</v>
      </c>
      <c r="M23" s="40" t="s">
        <v>4934</v>
      </c>
      <c r="N23" s="40" t="s">
        <v>4935</v>
      </c>
      <c r="O23" s="40" t="s">
        <v>4742</v>
      </c>
      <c r="P23" s="40" t="s">
        <v>4743</v>
      </c>
      <c r="Q23" s="40" t="s">
        <v>4744</v>
      </c>
      <c r="R23" s="40" t="s">
        <v>4745</v>
      </c>
      <c r="S23" s="40"/>
      <c r="T23" s="40" t="s">
        <v>4936</v>
      </c>
      <c r="U23" s="40" t="s">
        <v>4747</v>
      </c>
      <c r="V23" s="40" t="s">
        <v>6056</v>
      </c>
    </row>
    <row r="24" spans="1:22" ht="104.1" customHeight="1">
      <c r="A24" s="41" t="s">
        <v>4937</v>
      </c>
      <c r="B24" s="41" t="s">
        <v>528</v>
      </c>
      <c r="C24" s="41" t="s">
        <v>4732</v>
      </c>
      <c r="D24" s="41" t="s">
        <v>1107</v>
      </c>
      <c r="E24" s="41" t="s">
        <v>1394</v>
      </c>
      <c r="F24" s="41" t="s">
        <v>4938</v>
      </c>
      <c r="G24" s="41" t="s">
        <v>4939</v>
      </c>
      <c r="H24" s="41" t="s">
        <v>4940</v>
      </c>
      <c r="I24" s="41" t="s">
        <v>4941</v>
      </c>
      <c r="J24" s="41" t="s">
        <v>4942</v>
      </c>
      <c r="K24" s="41" t="s">
        <v>4943</v>
      </c>
      <c r="L24" s="41" t="s">
        <v>4944</v>
      </c>
      <c r="M24" s="41" t="s">
        <v>4945</v>
      </c>
      <c r="N24" s="41" t="s">
        <v>4946</v>
      </c>
      <c r="O24" s="41" t="s">
        <v>4742</v>
      </c>
      <c r="P24" s="41" t="s">
        <v>4743</v>
      </c>
      <c r="Q24" s="41" t="s">
        <v>4744</v>
      </c>
      <c r="R24" s="41" t="s">
        <v>4745</v>
      </c>
      <c r="S24" s="41"/>
      <c r="T24" s="41" t="s">
        <v>4947</v>
      </c>
      <c r="U24" s="41" t="s">
        <v>4747</v>
      </c>
      <c r="V24" s="40" t="s">
        <v>6056</v>
      </c>
    </row>
    <row r="25" spans="1:22" ht="104.1" customHeight="1">
      <c r="A25" s="40" t="s">
        <v>3121</v>
      </c>
      <c r="B25" s="40" t="s">
        <v>533</v>
      </c>
      <c r="C25" s="40" t="s">
        <v>4732</v>
      </c>
      <c r="D25" s="40" t="s">
        <v>1115</v>
      </c>
      <c r="E25" s="40" t="s">
        <v>1394</v>
      </c>
      <c r="F25" s="40" t="s">
        <v>4948</v>
      </c>
      <c r="G25" s="40" t="s">
        <v>4949</v>
      </c>
      <c r="H25" s="40" t="s">
        <v>4950</v>
      </c>
      <c r="I25" s="40" t="s">
        <v>4951</v>
      </c>
      <c r="J25" s="40" t="s">
        <v>4952</v>
      </c>
      <c r="K25" s="40" t="s">
        <v>4953</v>
      </c>
      <c r="L25" s="40" t="s">
        <v>4954</v>
      </c>
      <c r="M25" s="40" t="s">
        <v>4955</v>
      </c>
      <c r="N25" s="40" t="s">
        <v>4956</v>
      </c>
      <c r="O25" s="40" t="s">
        <v>4742</v>
      </c>
      <c r="P25" s="40" t="s">
        <v>4743</v>
      </c>
      <c r="Q25" s="40" t="s">
        <v>4744</v>
      </c>
      <c r="R25" s="40" t="s">
        <v>4745</v>
      </c>
      <c r="S25" s="40"/>
      <c r="T25" s="40" t="s">
        <v>4957</v>
      </c>
      <c r="U25" s="40" t="s">
        <v>4747</v>
      </c>
      <c r="V25" s="40" t="s">
        <v>6056</v>
      </c>
    </row>
    <row r="26" spans="1:22" ht="104.1" customHeight="1">
      <c r="A26" s="41" t="s">
        <v>4958</v>
      </c>
      <c r="B26" s="41" t="s">
        <v>537</v>
      </c>
      <c r="C26" s="41" t="s">
        <v>538</v>
      </c>
      <c r="D26" s="41" t="s">
        <v>539</v>
      </c>
      <c r="E26" s="41" t="s">
        <v>1488</v>
      </c>
      <c r="F26" s="41" t="s">
        <v>4959</v>
      </c>
      <c r="G26" s="41" t="s">
        <v>4960</v>
      </c>
      <c r="H26" s="41" t="s">
        <v>4961</v>
      </c>
      <c r="I26" s="41" t="s">
        <v>4962</v>
      </c>
      <c r="J26" s="41" t="s">
        <v>4963</v>
      </c>
      <c r="K26" s="41" t="s">
        <v>4964</v>
      </c>
      <c r="L26" s="41" t="s">
        <v>4965</v>
      </c>
      <c r="M26" s="41" t="s">
        <v>4966</v>
      </c>
      <c r="N26" s="41" t="s">
        <v>4967</v>
      </c>
      <c r="O26" s="41" t="s">
        <v>4742</v>
      </c>
      <c r="P26" s="41" t="s">
        <v>4743</v>
      </c>
      <c r="Q26" s="41" t="s">
        <v>4744</v>
      </c>
      <c r="R26" s="41" t="s">
        <v>4968</v>
      </c>
      <c r="S26" s="41"/>
      <c r="T26" s="41" t="s">
        <v>4969</v>
      </c>
      <c r="U26" s="41" t="s">
        <v>4747</v>
      </c>
      <c r="V26" s="40" t="s">
        <v>6056</v>
      </c>
    </row>
    <row r="27" spans="1:22" ht="104.1" customHeight="1">
      <c r="A27" s="40" t="s">
        <v>4970</v>
      </c>
      <c r="B27" s="40" t="s">
        <v>543</v>
      </c>
      <c r="C27" s="40" t="s">
        <v>538</v>
      </c>
      <c r="D27" s="40" t="s">
        <v>544</v>
      </c>
      <c r="E27" s="40" t="s">
        <v>4881</v>
      </c>
      <c r="F27" s="40" t="s">
        <v>4971</v>
      </c>
      <c r="G27" s="40" t="s">
        <v>4972</v>
      </c>
      <c r="H27" s="40" t="s">
        <v>4973</v>
      </c>
      <c r="I27" s="40" t="s">
        <v>4974</v>
      </c>
      <c r="J27" s="40" t="s">
        <v>4975</v>
      </c>
      <c r="K27" s="40" t="s">
        <v>4976</v>
      </c>
      <c r="L27" s="40" t="s">
        <v>4977</v>
      </c>
      <c r="M27" s="40" t="s">
        <v>4978</v>
      </c>
      <c r="N27" s="40" t="s">
        <v>4979</v>
      </c>
      <c r="O27" s="40" t="s">
        <v>4742</v>
      </c>
      <c r="P27" s="40" t="s">
        <v>4743</v>
      </c>
      <c r="Q27" s="40" t="s">
        <v>4744</v>
      </c>
      <c r="R27" s="40" t="s">
        <v>4968</v>
      </c>
      <c r="S27" s="40"/>
      <c r="T27" s="40" t="s">
        <v>4980</v>
      </c>
      <c r="U27" s="40" t="s">
        <v>4747</v>
      </c>
      <c r="V27" s="40" t="s">
        <v>6056</v>
      </c>
    </row>
    <row r="28" spans="1:22" ht="104.1" customHeight="1">
      <c r="A28" s="41" t="s">
        <v>4981</v>
      </c>
      <c r="B28" s="41" t="s">
        <v>1386</v>
      </c>
      <c r="C28" s="41" t="s">
        <v>1387</v>
      </c>
      <c r="D28" s="41" t="s">
        <v>1249</v>
      </c>
      <c r="E28" s="41" t="s">
        <v>1394</v>
      </c>
      <c r="F28" s="41" t="s">
        <v>1395</v>
      </c>
      <c r="G28" s="41" t="s">
        <v>1389</v>
      </c>
      <c r="H28" s="41" t="s">
        <v>1396</v>
      </c>
      <c r="I28" s="41" t="s">
        <v>1397</v>
      </c>
      <c r="J28" s="41" t="s">
        <v>4982</v>
      </c>
      <c r="K28" s="41" t="s">
        <v>4983</v>
      </c>
      <c r="L28" s="41" t="s">
        <v>4984</v>
      </c>
      <c r="M28" s="41" t="s">
        <v>1398</v>
      </c>
      <c r="N28" s="41" t="s">
        <v>1399</v>
      </c>
      <c r="O28" s="41" t="s">
        <v>4985</v>
      </c>
      <c r="P28" s="41" t="s">
        <v>4986</v>
      </c>
      <c r="Q28" s="41" t="s">
        <v>4987</v>
      </c>
      <c r="R28" s="41" t="s">
        <v>4988</v>
      </c>
      <c r="S28" s="41"/>
      <c r="T28" s="41" t="s">
        <v>1400</v>
      </c>
      <c r="U28" s="41" t="s">
        <v>4989</v>
      </c>
      <c r="V28" s="40" t="s">
        <v>6056</v>
      </c>
    </row>
    <row r="29" spans="1:22" ht="104.1" customHeight="1">
      <c r="A29" s="40" t="s">
        <v>4990</v>
      </c>
      <c r="B29" s="40" t="s">
        <v>1402</v>
      </c>
      <c r="C29" s="40" t="s">
        <v>1387</v>
      </c>
      <c r="D29" s="40" t="s">
        <v>1250</v>
      </c>
      <c r="E29" s="40" t="s">
        <v>1407</v>
      </c>
      <c r="F29" s="40" t="s">
        <v>1408</v>
      </c>
      <c r="G29" s="40" t="s">
        <v>1404</v>
      </c>
      <c r="H29" s="40" t="s">
        <v>1409</v>
      </c>
      <c r="I29" s="40" t="s">
        <v>1410</v>
      </c>
      <c r="J29" s="40" t="s">
        <v>4991</v>
      </c>
      <c r="K29" s="40" t="s">
        <v>4983</v>
      </c>
      <c r="L29" s="40" t="s">
        <v>4984</v>
      </c>
      <c r="M29" s="40" t="s">
        <v>1411</v>
      </c>
      <c r="N29" s="40" t="s">
        <v>1412</v>
      </c>
      <c r="O29" s="40" t="s">
        <v>4985</v>
      </c>
      <c r="P29" s="40" t="s">
        <v>4986</v>
      </c>
      <c r="Q29" s="40" t="s">
        <v>4987</v>
      </c>
      <c r="R29" s="40" t="s">
        <v>4988</v>
      </c>
      <c r="S29" s="40"/>
      <c r="T29" s="40" t="s">
        <v>1413</v>
      </c>
      <c r="U29" s="40" t="s">
        <v>4989</v>
      </c>
      <c r="V29" s="40" t="s">
        <v>6056</v>
      </c>
    </row>
    <row r="30" spans="1:22" ht="104.1" customHeight="1">
      <c r="A30" s="41" t="s">
        <v>4992</v>
      </c>
      <c r="B30" s="41" t="s">
        <v>1414</v>
      </c>
      <c r="C30" s="41" t="s">
        <v>1387</v>
      </c>
      <c r="D30" s="41" t="s">
        <v>1271</v>
      </c>
      <c r="E30" s="41" t="s">
        <v>1419</v>
      </c>
      <c r="F30" s="41" t="s">
        <v>1420</v>
      </c>
      <c r="G30" s="41" t="s">
        <v>1416</v>
      </c>
      <c r="H30" s="41" t="s">
        <v>1421</v>
      </c>
      <c r="I30" s="41" t="s">
        <v>1422</v>
      </c>
      <c r="J30" s="41" t="s">
        <v>4993</v>
      </c>
      <c r="K30" s="41" t="s">
        <v>4983</v>
      </c>
      <c r="L30" s="41" t="s">
        <v>4984</v>
      </c>
      <c r="M30" s="41" t="s">
        <v>1423</v>
      </c>
      <c r="N30" s="41" t="s">
        <v>1424</v>
      </c>
      <c r="O30" s="41" t="s">
        <v>4985</v>
      </c>
      <c r="P30" s="41" t="s">
        <v>4986</v>
      </c>
      <c r="Q30" s="41" t="s">
        <v>4987</v>
      </c>
      <c r="R30" s="41" t="s">
        <v>4988</v>
      </c>
      <c r="S30" s="41"/>
      <c r="T30" s="41" t="s">
        <v>1425</v>
      </c>
      <c r="U30" s="41" t="s">
        <v>4989</v>
      </c>
      <c r="V30" s="40" t="s">
        <v>6056</v>
      </c>
    </row>
    <row r="31" spans="1:22" ht="104.1" customHeight="1">
      <c r="A31" s="40" t="s">
        <v>4994</v>
      </c>
      <c r="B31" s="40" t="s">
        <v>1426</v>
      </c>
      <c r="C31" s="40" t="s">
        <v>1387</v>
      </c>
      <c r="D31" s="40" t="s">
        <v>1254</v>
      </c>
      <c r="E31" s="40" t="s">
        <v>1394</v>
      </c>
      <c r="F31" s="40" t="s">
        <v>1432</v>
      </c>
      <c r="G31" s="40" t="s">
        <v>1428</v>
      </c>
      <c r="H31" s="40" t="s">
        <v>1433</v>
      </c>
      <c r="I31" s="40" t="s">
        <v>1434</v>
      </c>
      <c r="J31" s="40" t="s">
        <v>4995</v>
      </c>
      <c r="K31" s="40" t="s">
        <v>4983</v>
      </c>
      <c r="L31" s="40" t="s">
        <v>4984</v>
      </c>
      <c r="M31" s="40" t="s">
        <v>1435</v>
      </c>
      <c r="N31" s="40" t="s">
        <v>1436</v>
      </c>
      <c r="O31" s="40" t="s">
        <v>4985</v>
      </c>
      <c r="P31" s="40" t="s">
        <v>4986</v>
      </c>
      <c r="Q31" s="40" t="s">
        <v>4987</v>
      </c>
      <c r="R31" s="40" t="s">
        <v>4988</v>
      </c>
      <c r="S31" s="40"/>
      <c r="T31" s="40" t="s">
        <v>1437</v>
      </c>
      <c r="U31" s="40" t="s">
        <v>4989</v>
      </c>
      <c r="V31" s="40" t="s">
        <v>6056</v>
      </c>
    </row>
    <row r="32" spans="1:22" ht="104.1" customHeight="1">
      <c r="A32" s="41" t="s">
        <v>4996</v>
      </c>
      <c r="B32" s="41" t="s">
        <v>1438</v>
      </c>
      <c r="C32" s="41" t="s">
        <v>1387</v>
      </c>
      <c r="D32" s="41" t="s">
        <v>1253</v>
      </c>
      <c r="E32" s="41" t="s">
        <v>1419</v>
      </c>
      <c r="F32" s="41" t="s">
        <v>1444</v>
      </c>
      <c r="G32" s="41" t="s">
        <v>1440</v>
      </c>
      <c r="H32" s="41" t="s">
        <v>1445</v>
      </c>
      <c r="I32" s="41" t="s">
        <v>1446</v>
      </c>
      <c r="J32" s="41" t="s">
        <v>4997</v>
      </c>
      <c r="K32" s="41" t="s">
        <v>4983</v>
      </c>
      <c r="L32" s="41" t="s">
        <v>4984</v>
      </c>
      <c r="M32" s="41" t="s">
        <v>1447</v>
      </c>
      <c r="N32" s="41" t="s">
        <v>1448</v>
      </c>
      <c r="O32" s="41" t="s">
        <v>4985</v>
      </c>
      <c r="P32" s="41" t="s">
        <v>4986</v>
      </c>
      <c r="Q32" s="41" t="s">
        <v>4987</v>
      </c>
      <c r="R32" s="41" t="s">
        <v>4988</v>
      </c>
      <c r="S32" s="41"/>
      <c r="T32" s="41" t="s">
        <v>1449</v>
      </c>
      <c r="U32" s="41" t="s">
        <v>4989</v>
      </c>
      <c r="V32" s="40" t="s">
        <v>6056</v>
      </c>
    </row>
    <row r="33" spans="1:22" ht="104.1" customHeight="1">
      <c r="A33" s="40" t="s">
        <v>4998</v>
      </c>
      <c r="B33" s="40" t="s">
        <v>1450</v>
      </c>
      <c r="C33" s="40" t="s">
        <v>1387</v>
      </c>
      <c r="D33" s="40" t="s">
        <v>1270</v>
      </c>
      <c r="E33" s="40" t="s">
        <v>1407</v>
      </c>
      <c r="F33" s="40" t="s">
        <v>1456</v>
      </c>
      <c r="G33" s="40" t="s">
        <v>1452</v>
      </c>
      <c r="H33" s="40" t="s">
        <v>1457</v>
      </c>
      <c r="I33" s="40" t="s">
        <v>1458</v>
      </c>
      <c r="J33" s="40" t="s">
        <v>4999</v>
      </c>
      <c r="K33" s="40" t="s">
        <v>4983</v>
      </c>
      <c r="L33" s="40" t="s">
        <v>4984</v>
      </c>
      <c r="M33" s="40" t="s">
        <v>1459</v>
      </c>
      <c r="N33" s="40" t="s">
        <v>1460</v>
      </c>
      <c r="O33" s="40" t="s">
        <v>4985</v>
      </c>
      <c r="P33" s="40" t="s">
        <v>4986</v>
      </c>
      <c r="Q33" s="40" t="s">
        <v>4987</v>
      </c>
      <c r="R33" s="40" t="s">
        <v>4988</v>
      </c>
      <c r="S33" s="40"/>
      <c r="T33" s="40" t="s">
        <v>1461</v>
      </c>
      <c r="U33" s="40" t="s">
        <v>4989</v>
      </c>
      <c r="V33" s="40" t="s">
        <v>6056</v>
      </c>
    </row>
    <row r="34" spans="1:22" ht="104.1" customHeight="1">
      <c r="A34" s="41" t="s">
        <v>5000</v>
      </c>
      <c r="B34" s="41" t="s">
        <v>1462</v>
      </c>
      <c r="C34" s="41" t="s">
        <v>1387</v>
      </c>
      <c r="D34" s="41" t="s">
        <v>1255</v>
      </c>
      <c r="E34" s="41" t="s">
        <v>1419</v>
      </c>
      <c r="F34" s="41" t="s">
        <v>1467</v>
      </c>
      <c r="G34" s="41" t="s">
        <v>1464</v>
      </c>
      <c r="H34" s="41" t="s">
        <v>1468</v>
      </c>
      <c r="I34" s="41" t="s">
        <v>1469</v>
      </c>
      <c r="J34" s="41" t="s">
        <v>5001</v>
      </c>
      <c r="K34" s="41" t="s">
        <v>4983</v>
      </c>
      <c r="L34" s="41" t="s">
        <v>4984</v>
      </c>
      <c r="M34" s="41" t="s">
        <v>1470</v>
      </c>
      <c r="N34" s="41" t="s">
        <v>1471</v>
      </c>
      <c r="O34" s="41" t="s">
        <v>4985</v>
      </c>
      <c r="P34" s="41" t="s">
        <v>4986</v>
      </c>
      <c r="Q34" s="41" t="s">
        <v>4987</v>
      </c>
      <c r="R34" s="41" t="s">
        <v>4988</v>
      </c>
      <c r="S34" s="41"/>
      <c r="T34" s="41" t="s">
        <v>1472</v>
      </c>
      <c r="U34" s="41" t="s">
        <v>4989</v>
      </c>
      <c r="V34" s="40" t="s">
        <v>6056</v>
      </c>
    </row>
    <row r="35" spans="1:22" ht="104.1" customHeight="1">
      <c r="A35" s="40" t="s">
        <v>5002</v>
      </c>
      <c r="B35" s="40" t="s">
        <v>1473</v>
      </c>
      <c r="C35" s="40" t="s">
        <v>1387</v>
      </c>
      <c r="D35" s="40" t="s">
        <v>1256</v>
      </c>
      <c r="E35" s="40" t="s">
        <v>1407</v>
      </c>
      <c r="F35" s="40" t="s">
        <v>1477</v>
      </c>
      <c r="G35" s="40" t="s">
        <v>1475</v>
      </c>
      <c r="H35" s="40" t="s">
        <v>1478</v>
      </c>
      <c r="I35" s="40" t="s">
        <v>1479</v>
      </c>
      <c r="J35" s="40" t="s">
        <v>5003</v>
      </c>
      <c r="K35" s="40" t="s">
        <v>4983</v>
      </c>
      <c r="L35" s="40" t="s">
        <v>4984</v>
      </c>
      <c r="M35" s="40" t="s">
        <v>1480</v>
      </c>
      <c r="N35" s="40" t="s">
        <v>1481</v>
      </c>
      <c r="O35" s="40" t="s">
        <v>4985</v>
      </c>
      <c r="P35" s="40" t="s">
        <v>4986</v>
      </c>
      <c r="Q35" s="40" t="s">
        <v>4987</v>
      </c>
      <c r="R35" s="40" t="s">
        <v>4988</v>
      </c>
      <c r="S35" s="40"/>
      <c r="T35" s="40" t="s">
        <v>1482</v>
      </c>
      <c r="U35" s="40" t="s">
        <v>4989</v>
      </c>
      <c r="V35" s="40" t="s">
        <v>6056</v>
      </c>
    </row>
    <row r="36" spans="1:22" ht="104.1" customHeight="1">
      <c r="A36" s="41" t="s">
        <v>5004</v>
      </c>
      <c r="B36" s="41" t="s">
        <v>1483</v>
      </c>
      <c r="C36" s="41" t="s">
        <v>1387</v>
      </c>
      <c r="D36" s="41" t="s">
        <v>1287</v>
      </c>
      <c r="E36" s="41" t="s">
        <v>1488</v>
      </c>
      <c r="F36" s="41" t="s">
        <v>1489</v>
      </c>
      <c r="G36" s="41" t="s">
        <v>1485</v>
      </c>
      <c r="H36" s="41" t="s">
        <v>1490</v>
      </c>
      <c r="I36" s="41" t="s">
        <v>1491</v>
      </c>
      <c r="J36" s="41" t="s">
        <v>5005</v>
      </c>
      <c r="K36" s="41" t="s">
        <v>4983</v>
      </c>
      <c r="L36" s="41" t="s">
        <v>4984</v>
      </c>
      <c r="M36" s="41" t="s">
        <v>1492</v>
      </c>
      <c r="N36" s="41" t="s">
        <v>1493</v>
      </c>
      <c r="O36" s="41" t="s">
        <v>4985</v>
      </c>
      <c r="P36" s="41" t="s">
        <v>4986</v>
      </c>
      <c r="Q36" s="41" t="s">
        <v>4987</v>
      </c>
      <c r="R36" s="41" t="s">
        <v>4988</v>
      </c>
      <c r="S36" s="41"/>
      <c r="T36" s="41" t="s">
        <v>1494</v>
      </c>
      <c r="U36" s="41" t="s">
        <v>4989</v>
      </c>
      <c r="V36" s="40" t="s">
        <v>6056</v>
      </c>
    </row>
    <row r="37" spans="1:22" ht="104.1" customHeight="1">
      <c r="A37" s="40" t="s">
        <v>5006</v>
      </c>
      <c r="B37" s="40" t="s">
        <v>1495</v>
      </c>
      <c r="C37" s="40" t="s">
        <v>1387</v>
      </c>
      <c r="D37" s="40" t="s">
        <v>1302</v>
      </c>
      <c r="E37" s="40" t="s">
        <v>1419</v>
      </c>
      <c r="F37" s="40" t="s">
        <v>1500</v>
      </c>
      <c r="G37" s="40" t="s">
        <v>1497</v>
      </c>
      <c r="H37" s="40" t="s">
        <v>1501</v>
      </c>
      <c r="I37" s="40" t="s">
        <v>1502</v>
      </c>
      <c r="J37" s="40" t="s">
        <v>5007</v>
      </c>
      <c r="K37" s="40" t="s">
        <v>4983</v>
      </c>
      <c r="L37" s="40" t="s">
        <v>4984</v>
      </c>
      <c r="M37" s="40" t="s">
        <v>1503</v>
      </c>
      <c r="N37" s="40" t="s">
        <v>1504</v>
      </c>
      <c r="O37" s="40" t="s">
        <v>4985</v>
      </c>
      <c r="P37" s="40" t="s">
        <v>4986</v>
      </c>
      <c r="Q37" s="40" t="s">
        <v>4987</v>
      </c>
      <c r="R37" s="40" t="s">
        <v>4988</v>
      </c>
      <c r="S37" s="40"/>
      <c r="T37" s="40" t="s">
        <v>1505</v>
      </c>
      <c r="U37" s="40" t="s">
        <v>4989</v>
      </c>
      <c r="V37" s="40" t="s">
        <v>6056</v>
      </c>
    </row>
    <row r="38" spans="1:22" ht="104.1" customHeight="1">
      <c r="A38" s="41" t="s">
        <v>5008</v>
      </c>
      <c r="B38" s="41" t="s">
        <v>1506</v>
      </c>
      <c r="C38" s="41" t="s">
        <v>1387</v>
      </c>
      <c r="D38" s="41" t="s">
        <v>1291</v>
      </c>
      <c r="E38" s="41" t="s">
        <v>1394</v>
      </c>
      <c r="F38" s="41" t="s">
        <v>1510</v>
      </c>
      <c r="G38" s="41" t="s">
        <v>1508</v>
      </c>
      <c r="H38" s="41" t="s">
        <v>1511</v>
      </c>
      <c r="I38" s="41" t="s">
        <v>1512</v>
      </c>
      <c r="J38" s="41" t="s">
        <v>5009</v>
      </c>
      <c r="K38" s="41" t="s">
        <v>4983</v>
      </c>
      <c r="L38" s="41" t="s">
        <v>4984</v>
      </c>
      <c r="M38" s="41" t="s">
        <v>1513</v>
      </c>
      <c r="N38" s="41" t="s">
        <v>1514</v>
      </c>
      <c r="O38" s="41" t="s">
        <v>4985</v>
      </c>
      <c r="P38" s="41" t="s">
        <v>4986</v>
      </c>
      <c r="Q38" s="41" t="s">
        <v>4987</v>
      </c>
      <c r="R38" s="41" t="s">
        <v>4988</v>
      </c>
      <c r="S38" s="41"/>
      <c r="T38" s="41" t="s">
        <v>1515</v>
      </c>
      <c r="U38" s="41" t="s">
        <v>4989</v>
      </c>
      <c r="V38" s="40" t="s">
        <v>6056</v>
      </c>
    </row>
    <row r="39" spans="1:22" ht="104.1" customHeight="1">
      <c r="A39" s="40" t="s">
        <v>5010</v>
      </c>
      <c r="B39" s="40" t="s">
        <v>1516</v>
      </c>
      <c r="C39" s="40" t="s">
        <v>1387</v>
      </c>
      <c r="D39" s="40" t="s">
        <v>1286</v>
      </c>
      <c r="E39" s="40" t="s">
        <v>1419</v>
      </c>
      <c r="F39" s="40" t="s">
        <v>1522</v>
      </c>
      <c r="G39" s="40" t="s">
        <v>1518</v>
      </c>
      <c r="H39" s="40" t="s">
        <v>1523</v>
      </c>
      <c r="I39" s="40" t="s">
        <v>1524</v>
      </c>
      <c r="J39" s="40" t="s">
        <v>5011</v>
      </c>
      <c r="K39" s="40" t="s">
        <v>4983</v>
      </c>
      <c r="L39" s="40" t="s">
        <v>4984</v>
      </c>
      <c r="M39" s="40" t="s">
        <v>1525</v>
      </c>
      <c r="N39" s="40" t="s">
        <v>1526</v>
      </c>
      <c r="O39" s="40" t="s">
        <v>4985</v>
      </c>
      <c r="P39" s="40" t="s">
        <v>4986</v>
      </c>
      <c r="Q39" s="40" t="s">
        <v>4987</v>
      </c>
      <c r="R39" s="40" t="s">
        <v>4988</v>
      </c>
      <c r="S39" s="40"/>
      <c r="T39" s="40" t="s">
        <v>1527</v>
      </c>
      <c r="U39" s="40" t="s">
        <v>4989</v>
      </c>
      <c r="V39" s="40" t="s">
        <v>6056</v>
      </c>
    </row>
  </sheetData>
  <mergeCells count="2">
    <mergeCell ref="A1:V1"/>
    <mergeCell ref="A2:V2"/>
  </mergeCells>
  <conditionalFormatting sqref="E5:E39">
    <cfRule type="containsText" dxfId="9" priority="1" operator="containsText" text="SSR"/>
    <cfRule type="containsText" dxfId="8" priority="2" operator="containsText" text="E"/>
    <cfRule type="containsText" dxfId="7" priority="3" operator="containsText" text="L"/>
  </conditionalFormatting>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8"/>
  <sheetViews>
    <sheetView showGridLines="0" topLeftCell="J1" workbookViewId="0">
      <selection sqref="A1:Q1"/>
    </sheetView>
  </sheetViews>
  <sheetFormatPr baseColWidth="10" defaultColWidth="9" defaultRowHeight="14.25"/>
  <cols>
    <col min="1" max="1" width="19" customWidth="1"/>
    <col min="2" max="2" width="14" customWidth="1"/>
    <col min="3" max="3" width="30" customWidth="1"/>
    <col min="4" max="4" width="31" customWidth="1"/>
    <col min="5" max="5" width="38" customWidth="1"/>
    <col min="6" max="7" width="42" customWidth="1"/>
    <col min="8" max="8" width="48" customWidth="1"/>
    <col min="9" max="9" width="62" customWidth="1"/>
    <col min="10" max="10" width="70" customWidth="1"/>
    <col min="11" max="11" width="58" customWidth="1"/>
    <col min="12" max="12" width="52" customWidth="1"/>
    <col min="13" max="13" width="58" customWidth="1"/>
    <col min="14" max="15" width="50" customWidth="1"/>
    <col min="16" max="16" width="52" customWidth="1"/>
    <col min="17" max="17" width="58" customWidth="1"/>
  </cols>
  <sheetData>
    <row r="1" spans="1:17" ht="27.95" customHeight="1">
      <c r="A1" s="66" t="s">
        <v>5012</v>
      </c>
      <c r="B1" s="66"/>
      <c r="C1" s="66"/>
      <c r="D1" s="66"/>
      <c r="E1" s="66"/>
      <c r="F1" s="66"/>
      <c r="G1" s="66"/>
      <c r="H1" s="66"/>
      <c r="I1" s="66"/>
      <c r="J1" s="66"/>
      <c r="K1" s="66"/>
      <c r="L1" s="66"/>
      <c r="M1" s="66"/>
      <c r="N1" s="66"/>
      <c r="O1" s="66"/>
      <c r="P1" s="66"/>
      <c r="Q1" s="66"/>
    </row>
    <row r="2" spans="1:17" ht="38.1" customHeight="1">
      <c r="A2" s="67" t="s">
        <v>5013</v>
      </c>
      <c r="B2" s="67"/>
      <c r="C2" s="67"/>
      <c r="D2" s="67"/>
      <c r="E2" s="67"/>
      <c r="F2" s="67"/>
      <c r="G2" s="67"/>
      <c r="H2" s="67"/>
      <c r="I2" s="67"/>
      <c r="J2" s="67"/>
      <c r="K2" s="67"/>
      <c r="L2" s="67"/>
      <c r="M2" s="67"/>
      <c r="N2" s="67"/>
      <c r="O2" s="67"/>
      <c r="P2" s="67"/>
      <c r="Q2" s="67"/>
    </row>
    <row r="3" spans="1:17">
      <c r="A3" s="26"/>
      <c r="B3" s="26"/>
      <c r="C3" s="26"/>
      <c r="D3" s="26"/>
      <c r="E3" s="26"/>
      <c r="F3" s="26"/>
      <c r="G3" s="26"/>
      <c r="H3" s="26"/>
      <c r="I3" s="26"/>
      <c r="J3" s="26"/>
      <c r="K3" s="26"/>
      <c r="L3" s="26"/>
      <c r="M3" s="26"/>
      <c r="N3" s="26"/>
      <c r="O3" s="26"/>
      <c r="P3" s="26"/>
      <c r="Q3" s="26"/>
    </row>
    <row r="4" spans="1:17" ht="42" customHeight="1">
      <c r="A4" s="39" t="s">
        <v>5014</v>
      </c>
      <c r="B4" s="39" t="s">
        <v>97</v>
      </c>
      <c r="C4" s="39" t="s">
        <v>5015</v>
      </c>
      <c r="D4" s="39" t="s">
        <v>5016</v>
      </c>
      <c r="E4" s="39" t="s">
        <v>5017</v>
      </c>
      <c r="F4" s="39" t="s">
        <v>5018</v>
      </c>
      <c r="G4" s="39" t="s">
        <v>5019</v>
      </c>
      <c r="H4" s="39" t="s">
        <v>5020</v>
      </c>
      <c r="I4" s="39" t="s">
        <v>5021</v>
      </c>
      <c r="J4" s="39" t="s">
        <v>5022</v>
      </c>
      <c r="K4" s="39" t="s">
        <v>1859</v>
      </c>
      <c r="L4" s="39" t="s">
        <v>5023</v>
      </c>
      <c r="M4" s="39" t="s">
        <v>5024</v>
      </c>
      <c r="N4" s="39" t="s">
        <v>125</v>
      </c>
      <c r="O4" s="39" t="s">
        <v>5025</v>
      </c>
      <c r="P4" s="39" t="s">
        <v>5026</v>
      </c>
      <c r="Q4" s="39" t="s">
        <v>5027</v>
      </c>
    </row>
    <row r="5" spans="1:17" ht="117.95" customHeight="1">
      <c r="A5" s="40" t="s">
        <v>2074</v>
      </c>
      <c r="B5" s="40" t="s">
        <v>144</v>
      </c>
      <c r="C5" s="40" t="s">
        <v>5028</v>
      </c>
      <c r="D5" s="40" t="s">
        <v>5029</v>
      </c>
      <c r="E5" s="40" t="s">
        <v>5030</v>
      </c>
      <c r="F5" s="40" t="s">
        <v>627</v>
      </c>
      <c r="G5" s="40" t="s">
        <v>644</v>
      </c>
      <c r="H5" s="40" t="s">
        <v>5031</v>
      </c>
      <c r="I5" s="40" t="s">
        <v>5032</v>
      </c>
      <c r="J5" s="40" t="s">
        <v>2075</v>
      </c>
      <c r="K5" s="40" t="s">
        <v>2076</v>
      </c>
      <c r="L5" s="40" t="s">
        <v>5033</v>
      </c>
      <c r="M5" s="40" t="s">
        <v>5034</v>
      </c>
      <c r="N5" s="40" t="s">
        <v>2078</v>
      </c>
      <c r="O5" s="40" t="s">
        <v>5035</v>
      </c>
      <c r="P5" s="40" t="s">
        <v>5036</v>
      </c>
      <c r="Q5" s="40" t="s">
        <v>5037</v>
      </c>
    </row>
    <row r="6" spans="1:17" ht="117.95" customHeight="1">
      <c r="A6" s="41" t="s">
        <v>2173</v>
      </c>
      <c r="B6" s="41" t="s">
        <v>166</v>
      </c>
      <c r="C6" s="41" t="s">
        <v>5038</v>
      </c>
      <c r="D6" s="41" t="s">
        <v>5039</v>
      </c>
      <c r="E6" s="41" t="s">
        <v>5040</v>
      </c>
      <c r="F6" s="41" t="s">
        <v>680</v>
      </c>
      <c r="G6" s="41" t="s">
        <v>680</v>
      </c>
      <c r="H6" s="41" t="s">
        <v>5041</v>
      </c>
      <c r="I6" s="41" t="s">
        <v>5042</v>
      </c>
      <c r="J6" s="41" t="s">
        <v>5043</v>
      </c>
      <c r="K6" s="41" t="s">
        <v>2175</v>
      </c>
      <c r="L6" s="41" t="s">
        <v>5044</v>
      </c>
      <c r="M6" s="41" t="s">
        <v>5045</v>
      </c>
      <c r="N6" s="41" t="s">
        <v>5046</v>
      </c>
      <c r="O6" s="41" t="s">
        <v>5047</v>
      </c>
      <c r="P6" s="41" t="s">
        <v>5048</v>
      </c>
      <c r="Q6" s="41" t="s">
        <v>5037</v>
      </c>
    </row>
    <row r="7" spans="1:17" ht="117.95" customHeight="1">
      <c r="A7" s="40" t="s">
        <v>2525</v>
      </c>
      <c r="B7" s="40" t="s">
        <v>239</v>
      </c>
      <c r="C7" s="40" t="s">
        <v>5049</v>
      </c>
      <c r="D7" s="40" t="s">
        <v>5050</v>
      </c>
      <c r="E7" s="40" t="s">
        <v>5051</v>
      </c>
      <c r="F7" s="40" t="s">
        <v>878</v>
      </c>
      <c r="G7" s="40" t="s">
        <v>885</v>
      </c>
      <c r="H7" s="40" t="s">
        <v>5052</v>
      </c>
      <c r="I7" s="40" t="s">
        <v>5053</v>
      </c>
      <c r="J7" s="40" t="s">
        <v>2526</v>
      </c>
      <c r="K7" s="40" t="s">
        <v>2527</v>
      </c>
      <c r="L7" s="40" t="s">
        <v>5054</v>
      </c>
      <c r="M7" s="40" t="s">
        <v>5055</v>
      </c>
      <c r="N7" s="40" t="s">
        <v>2528</v>
      </c>
      <c r="O7" s="40" t="s">
        <v>5056</v>
      </c>
      <c r="P7" s="40" t="s">
        <v>5057</v>
      </c>
      <c r="Q7" s="40" t="s">
        <v>5037</v>
      </c>
    </row>
    <row r="8" spans="1:17" ht="117.95" customHeight="1">
      <c r="A8" s="41" t="s">
        <v>2782</v>
      </c>
      <c r="B8" s="41" t="s">
        <v>298</v>
      </c>
      <c r="C8" s="41" t="s">
        <v>5058</v>
      </c>
      <c r="D8" s="41" t="s">
        <v>5059</v>
      </c>
      <c r="E8" s="41" t="s">
        <v>5060</v>
      </c>
      <c r="F8" s="41" t="s">
        <v>1022</v>
      </c>
      <c r="G8" s="41" t="s">
        <v>1028</v>
      </c>
      <c r="H8" s="41" t="s">
        <v>5061</v>
      </c>
      <c r="I8" s="41" t="s">
        <v>5062</v>
      </c>
      <c r="J8" s="41" t="s">
        <v>2783</v>
      </c>
      <c r="K8" s="41" t="s">
        <v>2784</v>
      </c>
      <c r="L8" s="41" t="s">
        <v>5063</v>
      </c>
      <c r="M8" s="41" t="s">
        <v>5064</v>
      </c>
      <c r="N8" s="41" t="s">
        <v>2785</v>
      </c>
      <c r="O8" s="41" t="s">
        <v>5065</v>
      </c>
      <c r="P8" s="41" t="s">
        <v>5066</v>
      </c>
      <c r="Q8" s="41" t="s">
        <v>5037</v>
      </c>
    </row>
  </sheetData>
  <mergeCells count="2">
    <mergeCell ref="A1:Q1"/>
    <mergeCell ref="A2:Q2"/>
  </mergeCells>
  <conditionalFormatting sqref="O5:O8">
    <cfRule type="containsText" dxfId="6" priority="1" operator="containsText" text="FIELD"/>
  </conditionalFormatting>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10"/>
  <sheetViews>
    <sheetView showGridLines="0" topLeftCell="G2" workbookViewId="0">
      <selection activeCell="P5" sqref="P5:P10"/>
    </sheetView>
  </sheetViews>
  <sheetFormatPr baseColWidth="10" defaultColWidth="9" defaultRowHeight="14.25"/>
  <cols>
    <col min="1" max="1" width="24" customWidth="1"/>
    <col min="2" max="2" width="14" customWidth="1"/>
    <col min="3" max="3" width="20" customWidth="1"/>
    <col min="4" max="4" width="30" customWidth="1"/>
    <col min="5" max="5" width="24" customWidth="1"/>
    <col min="6" max="6" width="12" customWidth="1"/>
    <col min="7" max="7" width="62" customWidth="1"/>
    <col min="8" max="8" width="24" customWidth="1"/>
    <col min="9" max="9" width="58" customWidth="1"/>
    <col min="10" max="10" width="52" customWidth="1"/>
    <col min="11" max="11" width="45" customWidth="1"/>
    <col min="12" max="12" width="30" customWidth="1"/>
    <col min="13" max="13" width="52" customWidth="1"/>
    <col min="14" max="14" width="58" customWidth="1"/>
    <col min="15" max="15" width="38" customWidth="1"/>
    <col min="16" max="16" width="25" customWidth="1"/>
  </cols>
  <sheetData>
    <row r="1" spans="1:16" ht="27.95" customHeight="1">
      <c r="A1" s="66" t="s">
        <v>5067</v>
      </c>
      <c r="B1" s="66"/>
      <c r="C1" s="66"/>
      <c r="D1" s="66"/>
      <c r="E1" s="66"/>
      <c r="F1" s="66"/>
      <c r="G1" s="66"/>
      <c r="H1" s="66"/>
      <c r="I1" s="66"/>
      <c r="J1" s="66"/>
      <c r="K1" s="66"/>
      <c r="L1" s="66"/>
      <c r="M1" s="66"/>
      <c r="N1" s="66"/>
      <c r="O1" s="66"/>
      <c r="P1" s="66"/>
    </row>
    <row r="2" spans="1:16" ht="38.1" customHeight="1">
      <c r="A2" s="67" t="s">
        <v>5068</v>
      </c>
      <c r="B2" s="67"/>
      <c r="C2" s="67"/>
      <c r="D2" s="67"/>
      <c r="E2" s="67"/>
      <c r="F2" s="67"/>
      <c r="G2" s="67"/>
      <c r="H2" s="67"/>
      <c r="I2" s="67"/>
      <c r="J2" s="67"/>
      <c r="K2" s="67"/>
      <c r="L2" s="67"/>
      <c r="M2" s="67"/>
      <c r="N2" s="67"/>
      <c r="O2" s="67"/>
      <c r="P2" s="67"/>
    </row>
    <row r="3" spans="1:16">
      <c r="A3" s="26"/>
      <c r="B3" s="26"/>
      <c r="C3" s="26"/>
      <c r="D3" s="26"/>
      <c r="E3" s="26"/>
      <c r="F3" s="26"/>
      <c r="G3" s="26"/>
      <c r="H3" s="26"/>
      <c r="I3" s="26"/>
      <c r="J3" s="26"/>
      <c r="K3" s="26"/>
      <c r="L3" s="26"/>
      <c r="M3" s="26"/>
      <c r="N3" s="26"/>
      <c r="O3" s="26"/>
      <c r="P3" s="26"/>
    </row>
    <row r="4" spans="1:16" ht="42" customHeight="1">
      <c r="A4" s="39" t="s">
        <v>5069</v>
      </c>
      <c r="B4" s="39" t="s">
        <v>97</v>
      </c>
      <c r="C4" s="39" t="s">
        <v>1849</v>
      </c>
      <c r="D4" s="39" t="s">
        <v>5070</v>
      </c>
      <c r="E4" s="39" t="s">
        <v>5071</v>
      </c>
      <c r="F4" s="39" t="s">
        <v>5072</v>
      </c>
      <c r="G4" s="39" t="s">
        <v>5073</v>
      </c>
      <c r="H4" s="39" t="s">
        <v>5074</v>
      </c>
      <c r="I4" s="39" t="s">
        <v>5075</v>
      </c>
      <c r="J4" s="39" t="s">
        <v>5076</v>
      </c>
      <c r="K4" s="39" t="s">
        <v>5077</v>
      </c>
      <c r="L4" s="39" t="s">
        <v>1864</v>
      </c>
      <c r="M4" s="39" t="s">
        <v>5078</v>
      </c>
      <c r="N4" s="39" t="s">
        <v>85</v>
      </c>
      <c r="O4" s="39" t="s">
        <v>5079</v>
      </c>
      <c r="P4" s="39" t="s">
        <v>1385</v>
      </c>
    </row>
    <row r="5" spans="1:16" ht="93.95" customHeight="1">
      <c r="A5" s="40" t="s">
        <v>5080</v>
      </c>
      <c r="B5" s="40" t="s">
        <v>126</v>
      </c>
      <c r="C5" s="40" t="s">
        <v>1969</v>
      </c>
      <c r="D5" s="40" t="s">
        <v>5081</v>
      </c>
      <c r="E5" s="40" t="s">
        <v>5082</v>
      </c>
      <c r="F5" s="46">
        <v>60</v>
      </c>
      <c r="G5" s="40" t="s">
        <v>5083</v>
      </c>
      <c r="H5" s="40" t="s">
        <v>5084</v>
      </c>
      <c r="I5" s="40" t="s">
        <v>5085</v>
      </c>
      <c r="J5" s="40" t="s">
        <v>5086</v>
      </c>
      <c r="K5" s="40" t="s">
        <v>5087</v>
      </c>
      <c r="L5" s="40" t="s">
        <v>5088</v>
      </c>
      <c r="M5" s="40" t="s">
        <v>5089</v>
      </c>
      <c r="N5" s="40" t="s">
        <v>5090</v>
      </c>
      <c r="O5" s="40" t="s">
        <v>5091</v>
      </c>
      <c r="P5" s="40" t="s">
        <v>6056</v>
      </c>
    </row>
    <row r="6" spans="1:16" ht="93.95" customHeight="1">
      <c r="A6" s="41" t="s">
        <v>5092</v>
      </c>
      <c r="B6" s="41" t="s">
        <v>166</v>
      </c>
      <c r="C6" s="41" t="s">
        <v>2172</v>
      </c>
      <c r="D6" s="41" t="s">
        <v>5093</v>
      </c>
      <c r="E6" s="41" t="s">
        <v>5082</v>
      </c>
      <c r="F6" s="47">
        <v>20</v>
      </c>
      <c r="G6" s="41" t="s">
        <v>5094</v>
      </c>
      <c r="H6" s="41" t="s">
        <v>5095</v>
      </c>
      <c r="I6" s="41" t="s">
        <v>5096</v>
      </c>
      <c r="J6" s="41" t="s">
        <v>5097</v>
      </c>
      <c r="K6" s="41" t="s">
        <v>5098</v>
      </c>
      <c r="L6" s="41" t="s">
        <v>5099</v>
      </c>
      <c r="M6" s="41" t="s">
        <v>5100</v>
      </c>
      <c r="N6" s="41" t="s">
        <v>5101</v>
      </c>
      <c r="O6" s="41" t="s">
        <v>5102</v>
      </c>
      <c r="P6" s="40" t="s">
        <v>6056</v>
      </c>
    </row>
    <row r="7" spans="1:16" ht="93.95" customHeight="1">
      <c r="A7" s="40" t="s">
        <v>5103</v>
      </c>
      <c r="B7" s="40" t="s">
        <v>211</v>
      </c>
      <c r="C7" s="40" t="s">
        <v>2398</v>
      </c>
      <c r="D7" s="40" t="s">
        <v>5104</v>
      </c>
      <c r="E7" s="40" t="s">
        <v>5082</v>
      </c>
      <c r="F7" s="46">
        <v>120</v>
      </c>
      <c r="G7" s="40" t="s">
        <v>5105</v>
      </c>
      <c r="H7" s="40" t="s">
        <v>5106</v>
      </c>
      <c r="I7" s="40" t="s">
        <v>5107</v>
      </c>
      <c r="J7" s="40" t="s">
        <v>5108</v>
      </c>
      <c r="K7" s="40" t="s">
        <v>5087</v>
      </c>
      <c r="L7" s="40" t="s">
        <v>5109</v>
      </c>
      <c r="M7" s="40" t="s">
        <v>5110</v>
      </c>
      <c r="N7" s="40" t="s">
        <v>5111</v>
      </c>
      <c r="O7" s="40" t="s">
        <v>5112</v>
      </c>
      <c r="P7" s="40" t="s">
        <v>6056</v>
      </c>
    </row>
    <row r="8" spans="1:16" ht="93.95" customHeight="1">
      <c r="A8" s="41" t="s">
        <v>5113</v>
      </c>
      <c r="B8" s="41" t="s">
        <v>270</v>
      </c>
      <c r="C8" s="41" t="s">
        <v>2670</v>
      </c>
      <c r="D8" s="41" t="s">
        <v>5114</v>
      </c>
      <c r="E8" s="41" t="s">
        <v>5082</v>
      </c>
      <c r="F8" s="47">
        <v>90</v>
      </c>
      <c r="G8" s="41" t="s">
        <v>5115</v>
      </c>
      <c r="H8" s="41" t="s">
        <v>5116</v>
      </c>
      <c r="I8" s="41" t="s">
        <v>5117</v>
      </c>
      <c r="J8" s="41" t="s">
        <v>5118</v>
      </c>
      <c r="K8" s="41" t="s">
        <v>5087</v>
      </c>
      <c r="L8" s="41" t="s">
        <v>5119</v>
      </c>
      <c r="M8" s="41" t="s">
        <v>5120</v>
      </c>
      <c r="N8" s="41" t="s">
        <v>5121</v>
      </c>
      <c r="O8" s="41" t="s">
        <v>3645</v>
      </c>
      <c r="P8" s="40" t="s">
        <v>6056</v>
      </c>
    </row>
    <row r="9" spans="1:16" ht="93.95" customHeight="1">
      <c r="A9" s="40" t="s">
        <v>5122</v>
      </c>
      <c r="B9" s="40" t="s">
        <v>312</v>
      </c>
      <c r="C9" s="40" t="s">
        <v>2853</v>
      </c>
      <c r="D9" s="40" t="s">
        <v>5123</v>
      </c>
      <c r="E9" s="40" t="s">
        <v>5082</v>
      </c>
      <c r="F9" s="46">
        <v>120</v>
      </c>
      <c r="G9" s="40" t="s">
        <v>5124</v>
      </c>
      <c r="H9" s="40" t="s">
        <v>5106</v>
      </c>
      <c r="I9" s="40" t="s">
        <v>5125</v>
      </c>
      <c r="J9" s="40" t="s">
        <v>5126</v>
      </c>
      <c r="K9" s="40" t="s">
        <v>5087</v>
      </c>
      <c r="L9" s="40" t="s">
        <v>5127</v>
      </c>
      <c r="M9" s="40" t="s">
        <v>5128</v>
      </c>
      <c r="N9" s="40" t="s">
        <v>5129</v>
      </c>
      <c r="O9" s="40" t="s">
        <v>5130</v>
      </c>
      <c r="P9" s="40" t="s">
        <v>6056</v>
      </c>
    </row>
    <row r="10" spans="1:16" ht="93.95" customHeight="1">
      <c r="A10" s="41" t="s">
        <v>5131</v>
      </c>
      <c r="B10" s="41" t="s">
        <v>507</v>
      </c>
      <c r="C10" s="41" t="s">
        <v>3024</v>
      </c>
      <c r="D10" s="41" t="s">
        <v>5132</v>
      </c>
      <c r="E10" s="41" t="s">
        <v>5082</v>
      </c>
      <c r="F10" s="47">
        <v>60</v>
      </c>
      <c r="G10" s="41" t="s">
        <v>5133</v>
      </c>
      <c r="H10" s="41" t="s">
        <v>1070</v>
      </c>
      <c r="I10" s="41" t="s">
        <v>5134</v>
      </c>
      <c r="J10" s="41" t="s">
        <v>5135</v>
      </c>
      <c r="K10" s="41" t="s">
        <v>5136</v>
      </c>
      <c r="L10" s="41" t="s">
        <v>5137</v>
      </c>
      <c r="M10" s="41" t="s">
        <v>5138</v>
      </c>
      <c r="N10" s="41" t="s">
        <v>5139</v>
      </c>
      <c r="O10" s="41" t="s">
        <v>5140</v>
      </c>
      <c r="P10" s="40" t="s">
        <v>6056</v>
      </c>
    </row>
  </sheetData>
  <mergeCells count="2">
    <mergeCell ref="A1:P1"/>
    <mergeCell ref="A2:P2"/>
  </mergeCells>
  <conditionalFormatting sqref="P5:P10">
    <cfRule type="containsText" dxfId="5" priority="1" operator="containsText" text="FIELD"/>
  </conditionalFormatting>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19"/>
  <sheetViews>
    <sheetView showGridLines="0" topLeftCell="A5" workbookViewId="0">
      <selection sqref="A1:F1"/>
    </sheetView>
  </sheetViews>
  <sheetFormatPr baseColWidth="10" defaultColWidth="9" defaultRowHeight="14.25"/>
  <cols>
    <col min="1" max="1" width="34" customWidth="1"/>
    <col min="2" max="3" width="62" customWidth="1"/>
    <col min="4" max="4" width="19" customWidth="1"/>
    <col min="5" max="5" width="72" customWidth="1"/>
    <col min="6" max="6" width="52" customWidth="1"/>
  </cols>
  <sheetData>
    <row r="1" spans="1:6" ht="27.95" customHeight="1">
      <c r="A1" s="66" t="s">
        <v>5141</v>
      </c>
      <c r="B1" s="66"/>
      <c r="C1" s="66"/>
      <c r="D1" s="66"/>
      <c r="E1" s="66"/>
      <c r="F1" s="66"/>
    </row>
    <row r="2" spans="1:6" ht="38.1" customHeight="1">
      <c r="A2" s="67" t="s">
        <v>5142</v>
      </c>
      <c r="B2" s="67"/>
      <c r="C2" s="67"/>
      <c r="D2" s="67"/>
      <c r="E2" s="67"/>
      <c r="F2" s="67"/>
    </row>
    <row r="3" spans="1:6">
      <c r="A3" s="26"/>
      <c r="B3" s="26"/>
      <c r="C3" s="26"/>
      <c r="D3" s="26"/>
      <c r="E3" s="26"/>
      <c r="F3" s="26"/>
    </row>
    <row r="4" spans="1:6" ht="42" customHeight="1">
      <c r="A4" s="39" t="s">
        <v>5143</v>
      </c>
      <c r="B4" s="39" t="s">
        <v>5144</v>
      </c>
      <c r="C4" s="39" t="s">
        <v>5145</v>
      </c>
      <c r="D4" s="39" t="s">
        <v>27</v>
      </c>
      <c r="E4" s="39" t="s">
        <v>5146</v>
      </c>
      <c r="F4" s="39" t="s">
        <v>5147</v>
      </c>
    </row>
    <row r="5" spans="1:6" ht="90" customHeight="1">
      <c r="A5" s="40" t="s">
        <v>5148</v>
      </c>
      <c r="B5" s="40" t="s">
        <v>5149</v>
      </c>
      <c r="C5" s="40" t="s">
        <v>2885</v>
      </c>
      <c r="D5" s="40" t="s">
        <v>5150</v>
      </c>
      <c r="E5" s="40" t="s">
        <v>5151</v>
      </c>
      <c r="F5" s="40" t="s">
        <v>5152</v>
      </c>
    </row>
    <row r="6" spans="1:6" ht="90" customHeight="1">
      <c r="A6" s="41" t="s">
        <v>5153</v>
      </c>
      <c r="B6" s="41" t="s">
        <v>5154</v>
      </c>
      <c r="C6" s="41" t="s">
        <v>5155</v>
      </c>
      <c r="D6" s="41" t="s">
        <v>5150</v>
      </c>
      <c r="E6" s="41" t="s">
        <v>5156</v>
      </c>
      <c r="F6" s="41" t="s">
        <v>5157</v>
      </c>
    </row>
    <row r="7" spans="1:6" ht="90" customHeight="1">
      <c r="A7" s="40" t="s">
        <v>5158</v>
      </c>
      <c r="B7" s="40" t="s">
        <v>5159</v>
      </c>
      <c r="C7" s="40" t="s">
        <v>5160</v>
      </c>
      <c r="D7" s="40" t="s">
        <v>5150</v>
      </c>
      <c r="E7" s="40" t="s">
        <v>5161</v>
      </c>
      <c r="F7" s="40" t="s">
        <v>5162</v>
      </c>
    </row>
    <row r="8" spans="1:6" ht="90" customHeight="1">
      <c r="A8" s="41" t="s">
        <v>5163</v>
      </c>
      <c r="B8" s="41" t="s">
        <v>5164</v>
      </c>
      <c r="C8" s="41" t="s">
        <v>5165</v>
      </c>
      <c r="D8" s="41" t="s">
        <v>5150</v>
      </c>
      <c r="E8" s="41" t="s">
        <v>5166</v>
      </c>
      <c r="F8" s="41" t="s">
        <v>5167</v>
      </c>
    </row>
    <row r="9" spans="1:6" ht="90" customHeight="1">
      <c r="A9" s="40" t="s">
        <v>5168</v>
      </c>
      <c r="B9" s="40" t="s">
        <v>5169</v>
      </c>
      <c r="C9" s="40" t="s">
        <v>5170</v>
      </c>
      <c r="D9" s="40" t="s">
        <v>5150</v>
      </c>
      <c r="E9" s="40" t="s">
        <v>5171</v>
      </c>
      <c r="F9" s="40" t="s">
        <v>5172</v>
      </c>
    </row>
    <row r="10" spans="1:6" ht="90" customHeight="1">
      <c r="A10" s="41" t="s">
        <v>5173</v>
      </c>
      <c r="B10" s="41" t="s">
        <v>5174</v>
      </c>
      <c r="C10" s="41" t="s">
        <v>5175</v>
      </c>
      <c r="D10" s="41" t="s">
        <v>5150</v>
      </c>
      <c r="E10" s="41" t="s">
        <v>5176</v>
      </c>
      <c r="F10" s="41" t="s">
        <v>5177</v>
      </c>
    </row>
    <row r="11" spans="1:6" ht="90" customHeight="1">
      <c r="A11" s="40" t="s">
        <v>5178</v>
      </c>
      <c r="B11" s="40" t="s">
        <v>5179</v>
      </c>
      <c r="C11" s="40" t="s">
        <v>5180</v>
      </c>
      <c r="D11" s="40" t="s">
        <v>5150</v>
      </c>
      <c r="E11" s="40" t="s">
        <v>5181</v>
      </c>
      <c r="F11" s="40" t="s">
        <v>5182</v>
      </c>
    </row>
    <row r="12" spans="1:6" ht="90" customHeight="1">
      <c r="A12" s="41" t="s">
        <v>5183</v>
      </c>
      <c r="B12" s="41" t="s">
        <v>5184</v>
      </c>
      <c r="C12" s="41" t="s">
        <v>5185</v>
      </c>
      <c r="D12" s="41" t="s">
        <v>5186</v>
      </c>
      <c r="E12" s="41" t="s">
        <v>5187</v>
      </c>
      <c r="F12" s="41" t="s">
        <v>5188</v>
      </c>
    </row>
    <row r="13" spans="1:6" ht="90" customHeight="1">
      <c r="A13" s="40" t="s">
        <v>5189</v>
      </c>
      <c r="B13" s="40" t="s">
        <v>5190</v>
      </c>
      <c r="C13" s="40" t="s">
        <v>5191</v>
      </c>
      <c r="D13" s="40" t="s">
        <v>5186</v>
      </c>
      <c r="E13" s="40" t="s">
        <v>5192</v>
      </c>
      <c r="F13" s="40" t="s">
        <v>5193</v>
      </c>
    </row>
    <row r="14" spans="1:6" ht="90" customHeight="1">
      <c r="A14" s="41" t="s">
        <v>5194</v>
      </c>
      <c r="B14" s="41" t="s">
        <v>5195</v>
      </c>
      <c r="C14" s="41" t="s">
        <v>5196</v>
      </c>
      <c r="D14" s="41" t="s">
        <v>5197</v>
      </c>
      <c r="E14" s="41" t="s">
        <v>5198</v>
      </c>
      <c r="F14" s="41" t="s">
        <v>5199</v>
      </c>
    </row>
    <row r="15" spans="1:6" ht="26.45" customHeight="1">
      <c r="A15" s="2" t="s">
        <v>5200</v>
      </c>
      <c r="B15" s="2" t="s">
        <v>5201</v>
      </c>
      <c r="C15" s="2" t="s">
        <v>5202</v>
      </c>
      <c r="D15" s="2" t="s">
        <v>5203</v>
      </c>
      <c r="E15" s="2" t="s">
        <v>5204</v>
      </c>
      <c r="F15" s="2" t="s">
        <v>5205</v>
      </c>
    </row>
    <row r="16" spans="1:6" ht="26.45" customHeight="1">
      <c r="A16" s="2" t="s">
        <v>5206</v>
      </c>
      <c r="B16" s="2" t="s">
        <v>5207</v>
      </c>
      <c r="C16" s="2" t="s">
        <v>5208</v>
      </c>
      <c r="D16" s="2" t="s">
        <v>5203</v>
      </c>
      <c r="E16" s="2" t="s">
        <v>5209</v>
      </c>
      <c r="F16" s="2" t="s">
        <v>5210</v>
      </c>
    </row>
    <row r="17" spans="1:6" ht="26.45" customHeight="1">
      <c r="A17" s="2" t="s">
        <v>5211</v>
      </c>
      <c r="B17" s="2" t="s">
        <v>5212</v>
      </c>
      <c r="C17" s="2" t="s">
        <v>5213</v>
      </c>
      <c r="D17" s="2" t="s">
        <v>5203</v>
      </c>
      <c r="E17" s="2" t="s">
        <v>5214</v>
      </c>
      <c r="F17" s="2" t="s">
        <v>5215</v>
      </c>
    </row>
    <row r="18" spans="1:6" ht="26.45" customHeight="1">
      <c r="A18" s="2" t="s">
        <v>5216</v>
      </c>
      <c r="B18" s="2" t="s">
        <v>5217</v>
      </c>
      <c r="C18" s="2" t="s">
        <v>5218</v>
      </c>
      <c r="D18" s="2" t="s">
        <v>5203</v>
      </c>
      <c r="E18" s="2" t="s">
        <v>5219</v>
      </c>
      <c r="F18" s="2" t="s">
        <v>5220</v>
      </c>
    </row>
    <row r="19" spans="1:6" ht="15" customHeight="1">
      <c r="A19" s="2" t="s">
        <v>5221</v>
      </c>
      <c r="B19" s="2" t="s">
        <v>5222</v>
      </c>
      <c r="C19" s="2" t="s">
        <v>5223</v>
      </c>
      <c r="D19" s="2" t="s">
        <v>5203</v>
      </c>
      <c r="E19" s="2" t="s">
        <v>5224</v>
      </c>
      <c r="F19" s="2" t="s">
        <v>5225</v>
      </c>
    </row>
  </sheetData>
  <mergeCells count="2">
    <mergeCell ref="A1:F1"/>
    <mergeCell ref="A2:F2"/>
  </mergeCells>
  <conditionalFormatting sqref="D5:D14">
    <cfRule type="containsText" dxfId="4" priority="1" operator="containsText" text="BEDEUTEND"/>
    <cfRule type="containsText" dxfId="3" priority="2" operator="containsText" text="KONSISTENT"/>
  </conditionalFormatting>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V44"/>
  <sheetViews>
    <sheetView showGridLines="0" workbookViewId="0">
      <selection sqref="A1:P1"/>
    </sheetView>
  </sheetViews>
  <sheetFormatPr baseColWidth="10" defaultColWidth="9" defaultRowHeight="14.25"/>
  <cols>
    <col min="1" max="1" width="14" customWidth="1"/>
    <col min="2" max="2" width="30" customWidth="1"/>
    <col min="3" max="3" width="20" customWidth="1"/>
    <col min="4" max="4" width="12" customWidth="1"/>
    <col min="5" max="5" width="18" customWidth="1"/>
    <col min="6" max="6" width="25" customWidth="1"/>
    <col min="7" max="7" width="24" customWidth="1"/>
    <col min="8" max="9" width="22" customWidth="1"/>
    <col min="10" max="11" width="18" customWidth="1"/>
    <col min="12" max="12" width="20" customWidth="1"/>
    <col min="13" max="13" width="15" customWidth="1"/>
    <col min="14" max="14" width="17" customWidth="1"/>
    <col min="15" max="15" width="14" customWidth="1"/>
    <col min="16" max="16" width="15" customWidth="1"/>
    <col min="17" max="17" width="29" customWidth="1"/>
    <col min="18" max="20" width="12" customWidth="1"/>
    <col min="21" max="21" width="14" customWidth="1"/>
    <col min="22" max="22" width="45" customWidth="1"/>
  </cols>
  <sheetData>
    <row r="1" spans="1:22" ht="27.95" customHeight="1">
      <c r="A1" s="66" t="s">
        <v>5226</v>
      </c>
      <c r="B1" s="66"/>
      <c r="C1" s="66"/>
      <c r="D1" s="66"/>
      <c r="E1" s="66"/>
      <c r="F1" s="66"/>
      <c r="G1" s="66"/>
      <c r="H1" s="66"/>
      <c r="I1" s="66"/>
      <c r="J1" s="66"/>
      <c r="K1" s="66"/>
      <c r="L1" s="66"/>
      <c r="M1" s="66"/>
      <c r="N1" s="66"/>
      <c r="O1" s="66"/>
      <c r="P1" s="66"/>
    </row>
    <row r="2" spans="1:22" ht="38.1" customHeight="1">
      <c r="A2" s="67" t="s">
        <v>5227</v>
      </c>
      <c r="B2" s="67"/>
      <c r="C2" s="67"/>
      <c r="D2" s="67"/>
      <c r="E2" s="67"/>
      <c r="F2" s="67"/>
      <c r="G2" s="67"/>
      <c r="H2" s="67"/>
      <c r="I2" s="67"/>
      <c r="J2" s="67"/>
      <c r="K2" s="67"/>
      <c r="L2" s="67"/>
      <c r="M2" s="67"/>
      <c r="N2" s="67"/>
      <c r="O2" s="67"/>
      <c r="P2" s="67"/>
    </row>
    <row r="3" spans="1:22">
      <c r="A3" s="26"/>
      <c r="B3" s="26"/>
      <c r="C3" s="26"/>
      <c r="D3" s="26"/>
      <c r="E3" s="26"/>
      <c r="F3" s="26"/>
      <c r="G3" s="26"/>
      <c r="H3" s="26"/>
      <c r="I3" s="26"/>
      <c r="J3" s="26"/>
      <c r="K3" s="26"/>
      <c r="L3" s="26"/>
      <c r="M3" s="26"/>
      <c r="N3" s="26"/>
      <c r="O3" s="26"/>
      <c r="P3" s="26"/>
    </row>
    <row r="4" spans="1:22" ht="42" customHeight="1">
      <c r="A4" s="39" t="s">
        <v>97</v>
      </c>
      <c r="B4" s="39" t="s">
        <v>462</v>
      </c>
      <c r="C4" s="39" t="s">
        <v>461</v>
      </c>
      <c r="D4" s="39" t="s">
        <v>5228</v>
      </c>
      <c r="E4" s="39" t="s">
        <v>560</v>
      </c>
      <c r="F4" s="39" t="s">
        <v>5229</v>
      </c>
      <c r="G4" s="39" t="s">
        <v>5230</v>
      </c>
      <c r="H4" s="39" t="s">
        <v>5231</v>
      </c>
      <c r="I4" s="39" t="s">
        <v>5232</v>
      </c>
      <c r="J4" s="39" t="s">
        <v>5233</v>
      </c>
      <c r="K4" s="39" t="s">
        <v>5234</v>
      </c>
      <c r="L4" s="39" t="s">
        <v>5235</v>
      </c>
      <c r="M4" s="39" t="s">
        <v>5236</v>
      </c>
      <c r="N4" s="39" t="s">
        <v>5237</v>
      </c>
      <c r="O4" s="39" t="s">
        <v>21</v>
      </c>
      <c r="P4" s="39" t="s">
        <v>5238</v>
      </c>
      <c r="Q4" s="49" t="s">
        <v>1197</v>
      </c>
      <c r="R4" s="49" t="s">
        <v>5239</v>
      </c>
      <c r="S4" s="49" t="s">
        <v>5240</v>
      </c>
      <c r="T4" s="49" t="s">
        <v>46</v>
      </c>
      <c r="U4" s="49" t="s">
        <v>47</v>
      </c>
      <c r="V4" s="49" t="s">
        <v>28</v>
      </c>
    </row>
    <row r="5" spans="1:22" ht="36" customHeight="1">
      <c r="A5" s="40" t="s">
        <v>126</v>
      </c>
      <c r="B5" s="40" t="s">
        <v>128</v>
      </c>
      <c r="C5" s="40" t="s">
        <v>473</v>
      </c>
      <c r="D5" s="40">
        <v>1</v>
      </c>
      <c r="E5" s="40">
        <v>1</v>
      </c>
      <c r="F5" s="40">
        <v>0</v>
      </c>
      <c r="G5" s="40">
        <v>0</v>
      </c>
      <c r="H5" s="40">
        <v>1</v>
      </c>
      <c r="I5" s="40">
        <v>1</v>
      </c>
      <c r="J5" s="40">
        <v>1</v>
      </c>
      <c r="K5" s="40">
        <v>1</v>
      </c>
      <c r="L5" s="40" t="s">
        <v>132</v>
      </c>
      <c r="M5" s="40">
        <v>0</v>
      </c>
      <c r="N5" s="40">
        <v>0</v>
      </c>
      <c r="O5" s="40">
        <v>0</v>
      </c>
      <c r="P5" s="40">
        <v>1</v>
      </c>
      <c r="Q5" s="51" t="s">
        <v>5241</v>
      </c>
      <c r="R5" s="51">
        <v>26</v>
      </c>
      <c r="S5" s="51">
        <v>26</v>
      </c>
      <c r="T5" s="51">
        <f>SUMIF($C$5:$C$44,"REGULAER",$D$5:$D$44)</f>
        <v>26</v>
      </c>
      <c r="U5" s="51" t="str">
        <f t="shared" ref="U5:U16" si="0">IF(AND(T5&gt;=R5,T5&lt;=S5),"OK","PRUEFEN")</f>
        <v>OK</v>
      </c>
      <c r="V5" s="51" t="s">
        <v>5242</v>
      </c>
    </row>
    <row r="6" spans="1:22" ht="36" customHeight="1">
      <c r="A6" s="41" t="s">
        <v>136</v>
      </c>
      <c r="B6" s="41" t="s">
        <v>137</v>
      </c>
      <c r="C6" s="41" t="s">
        <v>473</v>
      </c>
      <c r="D6" s="41">
        <v>1</v>
      </c>
      <c r="E6" s="41">
        <v>1</v>
      </c>
      <c r="F6" s="41">
        <v>1</v>
      </c>
      <c r="G6" s="41">
        <v>1</v>
      </c>
      <c r="H6" s="41">
        <v>0</v>
      </c>
      <c r="I6" s="41">
        <v>0</v>
      </c>
      <c r="J6" s="41">
        <v>0</v>
      </c>
      <c r="K6" s="41">
        <v>1</v>
      </c>
      <c r="L6" s="41" t="s">
        <v>140</v>
      </c>
      <c r="M6" s="41">
        <v>1</v>
      </c>
      <c r="N6" s="41">
        <v>0</v>
      </c>
      <c r="O6" s="41">
        <v>0</v>
      </c>
      <c r="P6" s="41">
        <v>0</v>
      </c>
      <c r="Q6" s="51" t="s">
        <v>5243</v>
      </c>
      <c r="R6" s="51">
        <v>26</v>
      </c>
      <c r="S6" s="51">
        <v>26</v>
      </c>
      <c r="T6" s="51">
        <f>SUMIF($C$5:$C$44,"REGULAER",$E$5:$E$44)</f>
        <v>26</v>
      </c>
      <c r="U6" s="51" t="str">
        <f t="shared" si="0"/>
        <v>OK</v>
      </c>
      <c r="V6" s="51" t="s">
        <v>5242</v>
      </c>
    </row>
    <row r="7" spans="1:22" ht="36" customHeight="1">
      <c r="A7" s="40" t="s">
        <v>144</v>
      </c>
      <c r="B7" s="40" t="s">
        <v>145</v>
      </c>
      <c r="C7" s="40" t="s">
        <v>473</v>
      </c>
      <c r="D7" s="40">
        <v>1</v>
      </c>
      <c r="E7" s="40">
        <v>1</v>
      </c>
      <c r="F7" s="40">
        <v>1</v>
      </c>
      <c r="G7" s="40">
        <v>0</v>
      </c>
      <c r="H7" s="40">
        <v>0</v>
      </c>
      <c r="I7" s="40">
        <v>0</v>
      </c>
      <c r="J7" s="40">
        <v>0</v>
      </c>
      <c r="K7" s="40">
        <v>0</v>
      </c>
      <c r="L7" s="40"/>
      <c r="M7" s="40">
        <v>0</v>
      </c>
      <c r="N7" s="40">
        <v>0</v>
      </c>
      <c r="O7" s="40">
        <v>1</v>
      </c>
      <c r="P7" s="40">
        <v>0</v>
      </c>
      <c r="Q7" s="51" t="s">
        <v>5229</v>
      </c>
      <c r="R7" s="51">
        <v>12</v>
      </c>
      <c r="S7" s="51">
        <v>14</v>
      </c>
      <c r="T7" s="51">
        <f>SUMIF($C$5:$C$44,"REGULAER",$F$5:$F$44)</f>
        <v>13</v>
      </c>
      <c r="U7" s="51" t="str">
        <f t="shared" si="0"/>
        <v>OK</v>
      </c>
      <c r="V7" s="51" t="s">
        <v>5244</v>
      </c>
    </row>
    <row r="8" spans="1:22" ht="36" customHeight="1">
      <c r="A8" s="41" t="s">
        <v>151</v>
      </c>
      <c r="B8" s="41" t="s">
        <v>152</v>
      </c>
      <c r="C8" s="41" t="s">
        <v>473</v>
      </c>
      <c r="D8" s="41">
        <v>1</v>
      </c>
      <c r="E8" s="41">
        <v>1</v>
      </c>
      <c r="F8" s="41">
        <v>1</v>
      </c>
      <c r="G8" s="41">
        <v>0</v>
      </c>
      <c r="H8" s="41">
        <v>0</v>
      </c>
      <c r="I8" s="41">
        <v>1</v>
      </c>
      <c r="J8" s="41">
        <v>0</v>
      </c>
      <c r="K8" s="41">
        <v>0</v>
      </c>
      <c r="L8" s="41"/>
      <c r="M8" s="41">
        <v>1</v>
      </c>
      <c r="N8" s="41">
        <v>0</v>
      </c>
      <c r="O8" s="41">
        <v>0</v>
      </c>
      <c r="P8" s="41">
        <v>0</v>
      </c>
      <c r="Q8" s="51" t="s">
        <v>5230</v>
      </c>
      <c r="R8" s="51">
        <v>8</v>
      </c>
      <c r="S8" s="51">
        <v>10</v>
      </c>
      <c r="T8" s="51">
        <f>SUMIF($C$5:$C$44,"REGULAER",$G$5:$G$44)</f>
        <v>10</v>
      </c>
      <c r="U8" s="51" t="str">
        <f t="shared" si="0"/>
        <v>OK</v>
      </c>
      <c r="V8" s="51" t="s">
        <v>5245</v>
      </c>
    </row>
    <row r="9" spans="1:22" ht="36" customHeight="1">
      <c r="A9" s="40" t="s">
        <v>159</v>
      </c>
      <c r="B9" s="40" t="s">
        <v>160</v>
      </c>
      <c r="C9" s="40" t="s">
        <v>473</v>
      </c>
      <c r="D9" s="40">
        <v>1</v>
      </c>
      <c r="E9" s="40">
        <v>1</v>
      </c>
      <c r="F9" s="40">
        <v>1</v>
      </c>
      <c r="G9" s="40">
        <v>0</v>
      </c>
      <c r="H9" s="40">
        <v>0</v>
      </c>
      <c r="I9" s="40">
        <v>0</v>
      </c>
      <c r="J9" s="40">
        <v>0</v>
      </c>
      <c r="K9" s="40">
        <v>0</v>
      </c>
      <c r="L9" s="40"/>
      <c r="M9" s="40">
        <v>0</v>
      </c>
      <c r="N9" s="40">
        <v>0</v>
      </c>
      <c r="O9" s="40">
        <v>0</v>
      </c>
      <c r="P9" s="40">
        <v>0</v>
      </c>
      <c r="Q9" s="51" t="s">
        <v>5231</v>
      </c>
      <c r="R9" s="51">
        <v>5</v>
      </c>
      <c r="S9" s="51">
        <v>7</v>
      </c>
      <c r="T9" s="51">
        <f>SUMIF($C$5:$C$44,"REGULAER",$H$5:$H$44)</f>
        <v>6</v>
      </c>
      <c r="U9" s="51" t="str">
        <f t="shared" si="0"/>
        <v>OK</v>
      </c>
      <c r="V9" s="51" t="s">
        <v>5246</v>
      </c>
    </row>
    <row r="10" spans="1:22" ht="36" customHeight="1">
      <c r="A10" s="41" t="s">
        <v>166</v>
      </c>
      <c r="B10" s="41" t="s">
        <v>167</v>
      </c>
      <c r="C10" s="41" t="s">
        <v>473</v>
      </c>
      <c r="D10" s="41">
        <v>1</v>
      </c>
      <c r="E10" s="41">
        <v>1</v>
      </c>
      <c r="F10" s="41">
        <v>1</v>
      </c>
      <c r="G10" s="41">
        <v>1</v>
      </c>
      <c r="H10" s="41">
        <v>0</v>
      </c>
      <c r="I10" s="41">
        <v>0</v>
      </c>
      <c r="J10" s="41">
        <v>1</v>
      </c>
      <c r="K10" s="41">
        <v>1</v>
      </c>
      <c r="L10" s="41" t="s">
        <v>170</v>
      </c>
      <c r="M10" s="41">
        <v>0</v>
      </c>
      <c r="N10" s="41">
        <v>0</v>
      </c>
      <c r="O10" s="41">
        <v>1</v>
      </c>
      <c r="P10" s="41">
        <v>1</v>
      </c>
      <c r="Q10" s="51" t="s">
        <v>5232</v>
      </c>
      <c r="R10" s="51">
        <v>5</v>
      </c>
      <c r="S10" s="51">
        <v>7</v>
      </c>
      <c r="T10" s="51">
        <f>SUMIF($C$5:$C$44,"REGULAER",$I$5:$I$44)</f>
        <v>6</v>
      </c>
      <c r="U10" s="51" t="str">
        <f t="shared" si="0"/>
        <v>OK</v>
      </c>
      <c r="V10" s="51" t="s">
        <v>5246</v>
      </c>
    </row>
    <row r="11" spans="1:22" ht="36" customHeight="1">
      <c r="A11" s="40" t="s">
        <v>173</v>
      </c>
      <c r="B11" s="40" t="s">
        <v>174</v>
      </c>
      <c r="C11" s="40" t="s">
        <v>473</v>
      </c>
      <c r="D11" s="40">
        <v>1</v>
      </c>
      <c r="E11" s="40">
        <v>1</v>
      </c>
      <c r="F11" s="40">
        <v>0</v>
      </c>
      <c r="G11" s="40">
        <v>0</v>
      </c>
      <c r="H11" s="40">
        <v>1</v>
      </c>
      <c r="I11" s="40">
        <v>1</v>
      </c>
      <c r="J11" s="40">
        <v>0</v>
      </c>
      <c r="K11" s="40">
        <v>0</v>
      </c>
      <c r="L11" s="40"/>
      <c r="M11" s="40">
        <v>0</v>
      </c>
      <c r="N11" s="40">
        <v>0</v>
      </c>
      <c r="O11" s="40">
        <v>0</v>
      </c>
      <c r="P11" s="40">
        <v>0</v>
      </c>
      <c r="Q11" s="51" t="s">
        <v>5233</v>
      </c>
      <c r="R11" s="51">
        <v>4</v>
      </c>
      <c r="S11" s="51">
        <v>6</v>
      </c>
      <c r="T11" s="51">
        <f>SUMIF($C$5:$C$44,"REGULAER",$J$5:$J$44)</f>
        <v>6</v>
      </c>
      <c r="U11" s="51" t="str">
        <f t="shared" si="0"/>
        <v>OK</v>
      </c>
      <c r="V11" s="51" t="s">
        <v>5247</v>
      </c>
    </row>
    <row r="12" spans="1:22" ht="36" customHeight="1">
      <c r="A12" s="41" t="s">
        <v>181</v>
      </c>
      <c r="B12" s="41" t="s">
        <v>182</v>
      </c>
      <c r="C12" s="41" t="s">
        <v>473</v>
      </c>
      <c r="D12" s="41">
        <v>1</v>
      </c>
      <c r="E12" s="41">
        <v>1</v>
      </c>
      <c r="F12" s="41">
        <v>1</v>
      </c>
      <c r="G12" s="41">
        <v>1</v>
      </c>
      <c r="H12" s="41">
        <v>0</v>
      </c>
      <c r="I12" s="41">
        <v>0</v>
      </c>
      <c r="J12" s="41">
        <v>0</v>
      </c>
      <c r="K12" s="41">
        <v>0</v>
      </c>
      <c r="L12" s="41"/>
      <c r="M12" s="41">
        <v>0</v>
      </c>
      <c r="N12" s="41">
        <v>0</v>
      </c>
      <c r="O12" s="41">
        <v>0</v>
      </c>
      <c r="P12" s="41">
        <v>0</v>
      </c>
      <c r="Q12" s="51" t="s">
        <v>5234</v>
      </c>
      <c r="R12" s="51">
        <v>4</v>
      </c>
      <c r="S12" s="51">
        <v>26</v>
      </c>
      <c r="T12" s="51">
        <f>SUMIF($C$5:$C$44,"REGULAER",$K$5:$K$44)</f>
        <v>4</v>
      </c>
      <c r="U12" s="51" t="str">
        <f t="shared" si="0"/>
        <v>OK</v>
      </c>
      <c r="V12" s="51" t="s">
        <v>5248</v>
      </c>
    </row>
    <row r="13" spans="1:22" ht="36" customHeight="1">
      <c r="A13" s="40" t="s">
        <v>188</v>
      </c>
      <c r="B13" s="40" t="s">
        <v>189</v>
      </c>
      <c r="C13" s="40" t="s">
        <v>473</v>
      </c>
      <c r="D13" s="40">
        <v>1</v>
      </c>
      <c r="E13" s="40">
        <v>1</v>
      </c>
      <c r="F13" s="40">
        <v>1</v>
      </c>
      <c r="G13" s="40">
        <v>0</v>
      </c>
      <c r="H13" s="40">
        <v>0</v>
      </c>
      <c r="I13" s="40">
        <v>1</v>
      </c>
      <c r="J13" s="40">
        <v>0</v>
      </c>
      <c r="K13" s="40">
        <v>0</v>
      </c>
      <c r="L13" s="40"/>
      <c r="M13" s="40">
        <v>1</v>
      </c>
      <c r="N13" s="40">
        <v>0</v>
      </c>
      <c r="O13" s="40">
        <v>0</v>
      </c>
      <c r="P13" s="40">
        <v>0</v>
      </c>
      <c r="Q13" s="51" t="s">
        <v>5236</v>
      </c>
      <c r="R13" s="51">
        <v>4</v>
      </c>
      <c r="S13" s="51">
        <v>26</v>
      </c>
      <c r="T13" s="51">
        <f>SUMIF($C$5:$C$44,"REGULAER",$M$5:$M$44)</f>
        <v>6</v>
      </c>
      <c r="U13" s="51" t="str">
        <f t="shared" si="0"/>
        <v>OK</v>
      </c>
      <c r="V13" s="51" t="s">
        <v>5249</v>
      </c>
    </row>
    <row r="14" spans="1:22" ht="36" customHeight="1">
      <c r="A14" s="41" t="s">
        <v>196</v>
      </c>
      <c r="B14" s="41" t="s">
        <v>197</v>
      </c>
      <c r="C14" s="41" t="s">
        <v>473</v>
      </c>
      <c r="D14" s="41">
        <v>1</v>
      </c>
      <c r="E14" s="41">
        <v>1</v>
      </c>
      <c r="F14" s="41">
        <v>1</v>
      </c>
      <c r="G14" s="41">
        <v>0</v>
      </c>
      <c r="H14" s="41">
        <v>0</v>
      </c>
      <c r="I14" s="41">
        <v>0</v>
      </c>
      <c r="J14" s="41">
        <v>1</v>
      </c>
      <c r="K14" s="41">
        <v>0</v>
      </c>
      <c r="L14" s="41"/>
      <c r="M14" s="41">
        <v>0</v>
      </c>
      <c r="N14" s="41">
        <v>0</v>
      </c>
      <c r="O14" s="41">
        <v>0</v>
      </c>
      <c r="P14" s="41">
        <v>0</v>
      </c>
      <c r="Q14" s="51" t="s">
        <v>21</v>
      </c>
      <c r="R14" s="51">
        <v>3</v>
      </c>
      <c r="S14" s="51">
        <v>4</v>
      </c>
      <c r="T14" s="51">
        <f>SUMIF($C$5:$C$44,"REGULAER",$O$5:$O$44)</f>
        <v>4</v>
      </c>
      <c r="U14" s="51" t="str">
        <f t="shared" si="0"/>
        <v>OK</v>
      </c>
      <c r="V14" s="51" t="s">
        <v>5250</v>
      </c>
    </row>
    <row r="15" spans="1:22" ht="36" customHeight="1">
      <c r="A15" s="40" t="s">
        <v>204</v>
      </c>
      <c r="B15" s="40" t="s">
        <v>205</v>
      </c>
      <c r="C15" s="40" t="s">
        <v>473</v>
      </c>
      <c r="D15" s="40">
        <v>1</v>
      </c>
      <c r="E15" s="40">
        <v>1</v>
      </c>
      <c r="F15" s="40">
        <v>1</v>
      </c>
      <c r="G15" s="40">
        <v>0</v>
      </c>
      <c r="H15" s="40">
        <v>1</v>
      </c>
      <c r="I15" s="40">
        <v>0</v>
      </c>
      <c r="J15" s="40">
        <v>0</v>
      </c>
      <c r="K15" s="40">
        <v>0</v>
      </c>
      <c r="L15" s="40"/>
      <c r="M15" s="40">
        <v>0</v>
      </c>
      <c r="N15" s="40">
        <v>0</v>
      </c>
      <c r="O15" s="40">
        <v>0</v>
      </c>
      <c r="P15" s="40">
        <v>0</v>
      </c>
      <c r="Q15" s="51" t="s">
        <v>5237</v>
      </c>
      <c r="R15" s="51">
        <v>7</v>
      </c>
      <c r="S15" s="51">
        <v>7</v>
      </c>
      <c r="T15" s="51">
        <f>SUM($N$5:$N$44)</f>
        <v>7</v>
      </c>
      <c r="U15" s="51" t="str">
        <f t="shared" si="0"/>
        <v>OK</v>
      </c>
      <c r="V15" s="51" t="s">
        <v>5251</v>
      </c>
    </row>
    <row r="16" spans="1:22" ht="36" customHeight="1">
      <c r="A16" s="41" t="s">
        <v>211</v>
      </c>
      <c r="B16" s="41" t="s">
        <v>212</v>
      </c>
      <c r="C16" s="41" t="s">
        <v>473</v>
      </c>
      <c r="D16" s="41">
        <v>1</v>
      </c>
      <c r="E16" s="41">
        <v>1</v>
      </c>
      <c r="F16" s="41">
        <v>0</v>
      </c>
      <c r="G16" s="41">
        <v>1</v>
      </c>
      <c r="H16" s="41">
        <v>0</v>
      </c>
      <c r="I16" s="41">
        <v>0</v>
      </c>
      <c r="J16" s="41">
        <v>1</v>
      </c>
      <c r="K16" s="41">
        <v>0</v>
      </c>
      <c r="L16" s="41"/>
      <c r="M16" s="41">
        <v>0</v>
      </c>
      <c r="N16" s="41">
        <v>0</v>
      </c>
      <c r="O16" s="41">
        <v>0</v>
      </c>
      <c r="P16" s="41">
        <v>1</v>
      </c>
      <c r="Q16" s="52" t="s">
        <v>5252</v>
      </c>
      <c r="R16" s="52">
        <v>4</v>
      </c>
      <c r="S16" s="52">
        <v>8</v>
      </c>
      <c r="T16" s="52">
        <f>SUM($P$5:$P$44)</f>
        <v>6</v>
      </c>
      <c r="U16" s="52" t="str">
        <f t="shared" si="0"/>
        <v>OK</v>
      </c>
      <c r="V16" s="52" t="s">
        <v>5253</v>
      </c>
    </row>
    <row r="17" spans="1:22" ht="36" customHeight="1">
      <c r="A17" s="40" t="s">
        <v>217</v>
      </c>
      <c r="B17" s="40" t="s">
        <v>218</v>
      </c>
      <c r="C17" s="40" t="s">
        <v>473</v>
      </c>
      <c r="D17" s="40">
        <v>1</v>
      </c>
      <c r="E17" s="40">
        <v>1</v>
      </c>
      <c r="F17" s="40">
        <v>0</v>
      </c>
      <c r="G17" s="40">
        <v>1</v>
      </c>
      <c r="H17" s="40">
        <v>0</v>
      </c>
      <c r="I17" s="40">
        <v>0</v>
      </c>
      <c r="J17" s="40">
        <v>0</v>
      </c>
      <c r="K17" s="40">
        <v>0</v>
      </c>
      <c r="L17" s="40"/>
      <c r="M17" s="40">
        <v>0</v>
      </c>
      <c r="N17" s="40">
        <v>0</v>
      </c>
      <c r="O17" s="40">
        <v>0</v>
      </c>
      <c r="P17" s="40">
        <v>0</v>
      </c>
    </row>
    <row r="18" spans="1:22" ht="36" customHeight="1">
      <c r="A18" s="41" t="s">
        <v>224</v>
      </c>
      <c r="B18" s="41" t="s">
        <v>225</v>
      </c>
      <c r="C18" s="41" t="s">
        <v>473</v>
      </c>
      <c r="D18" s="41">
        <v>1</v>
      </c>
      <c r="E18" s="41">
        <v>1</v>
      </c>
      <c r="F18" s="41">
        <v>0</v>
      </c>
      <c r="G18" s="41">
        <v>0</v>
      </c>
      <c r="H18" s="41">
        <v>1</v>
      </c>
      <c r="I18" s="41">
        <v>1</v>
      </c>
      <c r="J18" s="41">
        <v>0</v>
      </c>
      <c r="K18" s="41">
        <v>0</v>
      </c>
      <c r="L18" s="41"/>
      <c r="M18" s="41">
        <v>0</v>
      </c>
      <c r="N18" s="41">
        <v>0</v>
      </c>
      <c r="O18" s="41">
        <v>0</v>
      </c>
      <c r="P18" s="41">
        <v>0</v>
      </c>
      <c r="Q18" s="50" t="s">
        <v>5254</v>
      </c>
      <c r="R18" s="50" t="s">
        <v>5255</v>
      </c>
      <c r="S18" s="50" t="s">
        <v>46</v>
      </c>
      <c r="T18" s="50" t="s">
        <v>47</v>
      </c>
      <c r="U18" s="50" t="s">
        <v>5256</v>
      </c>
      <c r="V18" s="50" t="s">
        <v>28</v>
      </c>
    </row>
    <row r="19" spans="1:22" ht="36" customHeight="1">
      <c r="A19" s="40" t="s">
        <v>231</v>
      </c>
      <c r="B19" s="40" t="s">
        <v>232</v>
      </c>
      <c r="C19" s="40" t="s">
        <v>473</v>
      </c>
      <c r="D19" s="40">
        <v>1</v>
      </c>
      <c r="E19" s="40">
        <v>1</v>
      </c>
      <c r="F19" s="40">
        <v>0</v>
      </c>
      <c r="G19" s="40">
        <v>0</v>
      </c>
      <c r="H19" s="40">
        <v>0</v>
      </c>
      <c r="I19" s="40">
        <v>0</v>
      </c>
      <c r="J19" s="40">
        <v>1</v>
      </c>
      <c r="K19" s="40">
        <v>1</v>
      </c>
      <c r="L19" s="40" t="s">
        <v>236</v>
      </c>
      <c r="M19" s="40">
        <v>0</v>
      </c>
      <c r="N19" s="40">
        <v>0</v>
      </c>
      <c r="O19" s="40">
        <v>0</v>
      </c>
      <c r="P19" s="40">
        <v>0</v>
      </c>
      <c r="Q19" s="53" t="s">
        <v>132</v>
      </c>
      <c r="R19" s="53">
        <v>1</v>
      </c>
      <c r="S19" s="53">
        <f>COUNTIF($L$5:$L$44,Q19)</f>
        <v>1</v>
      </c>
      <c r="T19" s="53" t="str">
        <f>IF(S19&gt;=R19,"OK","PRUEFEN")</f>
        <v>OK</v>
      </c>
      <c r="U19" s="53" t="s">
        <v>126</v>
      </c>
      <c r="V19" s="53" t="s">
        <v>5257</v>
      </c>
    </row>
    <row r="20" spans="1:22" ht="36" customHeight="1">
      <c r="A20" s="41" t="s">
        <v>239</v>
      </c>
      <c r="B20" s="41" t="s">
        <v>240</v>
      </c>
      <c r="C20" s="41" t="s">
        <v>473</v>
      </c>
      <c r="D20" s="41">
        <v>1</v>
      </c>
      <c r="E20" s="41">
        <v>1</v>
      </c>
      <c r="F20" s="41">
        <v>0</v>
      </c>
      <c r="G20" s="41">
        <v>1</v>
      </c>
      <c r="H20" s="41">
        <v>0</v>
      </c>
      <c r="I20" s="41">
        <v>0</v>
      </c>
      <c r="J20" s="41">
        <v>0</v>
      </c>
      <c r="K20" s="41">
        <v>0</v>
      </c>
      <c r="L20" s="41"/>
      <c r="M20" s="41">
        <v>1</v>
      </c>
      <c r="N20" s="41">
        <v>0</v>
      </c>
      <c r="O20" s="41">
        <v>1</v>
      </c>
      <c r="P20" s="41">
        <v>0</v>
      </c>
      <c r="Q20" s="53" t="s">
        <v>140</v>
      </c>
      <c r="R20" s="53">
        <v>1</v>
      </c>
      <c r="S20" s="53">
        <f>COUNTIF($L$5:$L$44,Q20)</f>
        <v>1</v>
      </c>
      <c r="T20" s="53" t="str">
        <f>IF(S20&gt;=R20,"OK","PRUEFEN")</f>
        <v>OK</v>
      </c>
      <c r="U20" s="53" t="s">
        <v>136</v>
      </c>
      <c r="V20" s="53" t="s">
        <v>5257</v>
      </c>
    </row>
    <row r="21" spans="1:22" ht="36" customHeight="1">
      <c r="A21" s="40" t="s">
        <v>247</v>
      </c>
      <c r="B21" s="40" t="s">
        <v>249</v>
      </c>
      <c r="C21" s="40" t="s">
        <v>473</v>
      </c>
      <c r="D21" s="40">
        <v>1</v>
      </c>
      <c r="E21" s="40">
        <v>1</v>
      </c>
      <c r="F21" s="40">
        <v>1</v>
      </c>
      <c r="G21" s="40">
        <v>1</v>
      </c>
      <c r="H21" s="40">
        <v>0</v>
      </c>
      <c r="I21" s="40">
        <v>0</v>
      </c>
      <c r="J21" s="40">
        <v>0</v>
      </c>
      <c r="K21" s="40">
        <v>0</v>
      </c>
      <c r="L21" s="40"/>
      <c r="M21" s="40">
        <v>0</v>
      </c>
      <c r="N21" s="40">
        <v>0</v>
      </c>
      <c r="O21" s="40">
        <v>0</v>
      </c>
      <c r="P21" s="40">
        <v>0</v>
      </c>
      <c r="Q21" s="53" t="s">
        <v>170</v>
      </c>
      <c r="R21" s="53">
        <v>1</v>
      </c>
      <c r="S21" s="53">
        <f>COUNTIF($L$5:$L$44,Q21)</f>
        <v>1</v>
      </c>
      <c r="T21" s="53" t="str">
        <f>IF(S21&gt;=R21,"OK","PRUEFEN")</f>
        <v>OK</v>
      </c>
      <c r="U21" s="53" t="s">
        <v>166</v>
      </c>
      <c r="V21" s="53" t="s">
        <v>5257</v>
      </c>
    </row>
    <row r="22" spans="1:22" ht="36" customHeight="1">
      <c r="A22" s="41" t="s">
        <v>255</v>
      </c>
      <c r="B22" s="41" t="s">
        <v>256</v>
      </c>
      <c r="C22" s="41" t="s">
        <v>473</v>
      </c>
      <c r="D22" s="41">
        <v>1</v>
      </c>
      <c r="E22" s="41">
        <v>1</v>
      </c>
      <c r="F22" s="41">
        <v>1</v>
      </c>
      <c r="G22" s="41">
        <v>0</v>
      </c>
      <c r="H22" s="41">
        <v>0</v>
      </c>
      <c r="I22" s="41">
        <v>0</v>
      </c>
      <c r="J22" s="41">
        <v>0</v>
      </c>
      <c r="K22" s="41">
        <v>0</v>
      </c>
      <c r="L22" s="41"/>
      <c r="M22" s="41">
        <v>0</v>
      </c>
      <c r="N22" s="41">
        <v>0</v>
      </c>
      <c r="O22" s="41">
        <v>0</v>
      </c>
      <c r="P22" s="41">
        <v>0</v>
      </c>
      <c r="Q22" s="54" t="s">
        <v>236</v>
      </c>
      <c r="R22" s="54">
        <v>1</v>
      </c>
      <c r="S22" s="54">
        <f>COUNTIF($L$5:$L$44,Q22)</f>
        <v>1</v>
      </c>
      <c r="T22" s="54" t="str">
        <f>IF(S22&gt;=R22,"OK","PRUEFEN")</f>
        <v>OK</v>
      </c>
      <c r="U22" s="54" t="s">
        <v>231</v>
      </c>
      <c r="V22" s="54" t="s">
        <v>5257</v>
      </c>
    </row>
    <row r="23" spans="1:22" ht="36" customHeight="1">
      <c r="A23" s="40" t="s">
        <v>262</v>
      </c>
      <c r="B23" s="40" t="s">
        <v>263</v>
      </c>
      <c r="C23" s="40" t="s">
        <v>473</v>
      </c>
      <c r="D23" s="40">
        <v>1</v>
      </c>
      <c r="E23" s="40">
        <v>1</v>
      </c>
      <c r="F23" s="40">
        <v>0</v>
      </c>
      <c r="G23" s="40">
        <v>1</v>
      </c>
      <c r="H23" s="40">
        <v>0</v>
      </c>
      <c r="I23" s="40">
        <v>0</v>
      </c>
      <c r="J23" s="40">
        <v>0</v>
      </c>
      <c r="K23" s="40">
        <v>0</v>
      </c>
      <c r="L23" s="40"/>
      <c r="M23" s="40">
        <v>1</v>
      </c>
      <c r="N23" s="40">
        <v>0</v>
      </c>
      <c r="O23" s="40">
        <v>0</v>
      </c>
      <c r="P23" s="40">
        <v>0</v>
      </c>
    </row>
    <row r="24" spans="1:22" ht="36" customHeight="1">
      <c r="A24" s="41" t="s">
        <v>270</v>
      </c>
      <c r="B24" s="41" t="s">
        <v>271</v>
      </c>
      <c r="C24" s="41" t="s">
        <v>473</v>
      </c>
      <c r="D24" s="41">
        <v>1</v>
      </c>
      <c r="E24" s="41">
        <v>1</v>
      </c>
      <c r="F24" s="41">
        <v>0</v>
      </c>
      <c r="G24" s="41">
        <v>0</v>
      </c>
      <c r="H24" s="41">
        <v>1</v>
      </c>
      <c r="I24" s="41">
        <v>0</v>
      </c>
      <c r="J24" s="41">
        <v>0</v>
      </c>
      <c r="K24" s="41">
        <v>0</v>
      </c>
      <c r="L24" s="41"/>
      <c r="M24" s="41">
        <v>0</v>
      </c>
      <c r="N24" s="41">
        <v>0</v>
      </c>
      <c r="O24" s="41">
        <v>0</v>
      </c>
      <c r="P24" s="41">
        <v>1</v>
      </c>
    </row>
    <row r="25" spans="1:22" ht="36" customHeight="1">
      <c r="A25" s="40" t="s">
        <v>278</v>
      </c>
      <c r="B25" s="40" t="s">
        <v>279</v>
      </c>
      <c r="C25" s="40" t="s">
        <v>473</v>
      </c>
      <c r="D25" s="40">
        <v>1</v>
      </c>
      <c r="E25" s="40">
        <v>1</v>
      </c>
      <c r="F25" s="40">
        <v>1</v>
      </c>
      <c r="G25" s="40">
        <v>1</v>
      </c>
      <c r="H25" s="40">
        <v>0</v>
      </c>
      <c r="I25" s="40">
        <v>0</v>
      </c>
      <c r="J25" s="40">
        <v>0</v>
      </c>
      <c r="K25" s="40">
        <v>0</v>
      </c>
      <c r="L25" s="40"/>
      <c r="M25" s="40">
        <v>0</v>
      </c>
      <c r="N25" s="40">
        <v>0</v>
      </c>
      <c r="O25" s="40">
        <v>0</v>
      </c>
      <c r="P25" s="40">
        <v>0</v>
      </c>
    </row>
    <row r="26" spans="1:22" ht="36" customHeight="1">
      <c r="A26" s="41" t="s">
        <v>286</v>
      </c>
      <c r="B26" s="41" t="s">
        <v>287</v>
      </c>
      <c r="C26" s="41" t="s">
        <v>473</v>
      </c>
      <c r="D26" s="41">
        <v>1</v>
      </c>
      <c r="E26" s="41">
        <v>1</v>
      </c>
      <c r="F26" s="41">
        <v>1</v>
      </c>
      <c r="G26" s="41">
        <v>0</v>
      </c>
      <c r="H26" s="41">
        <v>0</v>
      </c>
      <c r="I26" s="41">
        <v>0</v>
      </c>
      <c r="J26" s="41">
        <v>0</v>
      </c>
      <c r="K26" s="41">
        <v>0</v>
      </c>
      <c r="L26" s="41"/>
      <c r="M26" s="41">
        <v>0</v>
      </c>
      <c r="N26" s="41">
        <v>0</v>
      </c>
      <c r="O26" s="41">
        <v>0</v>
      </c>
      <c r="P26" s="41">
        <v>0</v>
      </c>
    </row>
    <row r="27" spans="1:22" ht="36" customHeight="1">
      <c r="A27" s="40" t="s">
        <v>292</v>
      </c>
      <c r="B27" s="40" t="s">
        <v>293</v>
      </c>
      <c r="C27" s="40" t="s">
        <v>473</v>
      </c>
      <c r="D27" s="40">
        <v>1</v>
      </c>
      <c r="E27" s="40">
        <v>1</v>
      </c>
      <c r="F27" s="40">
        <v>0</v>
      </c>
      <c r="G27" s="40">
        <v>0</v>
      </c>
      <c r="H27" s="40">
        <v>0</v>
      </c>
      <c r="I27" s="40">
        <v>0</v>
      </c>
      <c r="J27" s="40">
        <v>1</v>
      </c>
      <c r="K27" s="40">
        <v>0</v>
      </c>
      <c r="L27" s="40"/>
      <c r="M27" s="40">
        <v>0</v>
      </c>
      <c r="N27" s="40">
        <v>0</v>
      </c>
      <c r="O27" s="40">
        <v>0</v>
      </c>
      <c r="P27" s="40">
        <v>0</v>
      </c>
    </row>
    <row r="28" spans="1:22" ht="36" customHeight="1">
      <c r="A28" s="41" t="s">
        <v>298</v>
      </c>
      <c r="B28" s="41" t="s">
        <v>299</v>
      </c>
      <c r="C28" s="41" t="s">
        <v>473</v>
      </c>
      <c r="D28" s="41">
        <v>1</v>
      </c>
      <c r="E28" s="41">
        <v>1</v>
      </c>
      <c r="F28" s="41">
        <v>0</v>
      </c>
      <c r="G28" s="41">
        <v>1</v>
      </c>
      <c r="H28" s="41">
        <v>0</v>
      </c>
      <c r="I28" s="41">
        <v>0</v>
      </c>
      <c r="J28" s="41">
        <v>0</v>
      </c>
      <c r="K28" s="41">
        <v>0</v>
      </c>
      <c r="L28" s="41"/>
      <c r="M28" s="41">
        <v>0</v>
      </c>
      <c r="N28" s="41">
        <v>0</v>
      </c>
      <c r="O28" s="41">
        <v>1</v>
      </c>
      <c r="P28" s="41">
        <v>0</v>
      </c>
    </row>
    <row r="29" spans="1:22" ht="36" customHeight="1">
      <c r="A29" s="40" t="s">
        <v>305</v>
      </c>
      <c r="B29" s="40" t="s">
        <v>306</v>
      </c>
      <c r="C29" s="40" t="s">
        <v>473</v>
      </c>
      <c r="D29" s="40">
        <v>1</v>
      </c>
      <c r="E29" s="40">
        <v>1</v>
      </c>
      <c r="F29" s="40">
        <v>0</v>
      </c>
      <c r="G29" s="40">
        <v>0</v>
      </c>
      <c r="H29" s="40">
        <v>1</v>
      </c>
      <c r="I29" s="40">
        <v>0</v>
      </c>
      <c r="J29" s="40">
        <v>0</v>
      </c>
      <c r="K29" s="40">
        <v>0</v>
      </c>
      <c r="L29" s="40"/>
      <c r="M29" s="40">
        <v>0</v>
      </c>
      <c r="N29" s="40">
        <v>0</v>
      </c>
      <c r="O29" s="40">
        <v>0</v>
      </c>
      <c r="P29" s="40">
        <v>0</v>
      </c>
    </row>
    <row r="30" spans="1:22" ht="36" customHeight="1">
      <c r="A30" s="41" t="s">
        <v>312</v>
      </c>
      <c r="B30" s="41" t="s">
        <v>313</v>
      </c>
      <c r="C30" s="41" t="s">
        <v>473</v>
      </c>
      <c r="D30" s="41">
        <v>1</v>
      </c>
      <c r="E30" s="41">
        <v>1</v>
      </c>
      <c r="F30" s="41">
        <v>0</v>
      </c>
      <c r="G30" s="41">
        <v>0</v>
      </c>
      <c r="H30" s="41">
        <v>0</v>
      </c>
      <c r="I30" s="41">
        <v>1</v>
      </c>
      <c r="J30" s="41">
        <v>0</v>
      </c>
      <c r="K30" s="41">
        <v>0</v>
      </c>
      <c r="L30" s="41"/>
      <c r="M30" s="41">
        <v>1</v>
      </c>
      <c r="N30" s="41">
        <v>0</v>
      </c>
      <c r="O30" s="41">
        <v>0</v>
      </c>
      <c r="P30" s="41">
        <v>1</v>
      </c>
    </row>
    <row r="31" spans="1:22" ht="36" customHeight="1">
      <c r="A31" s="40" t="s">
        <v>474</v>
      </c>
      <c r="B31" s="40" t="s">
        <v>476</v>
      </c>
      <c r="C31" s="40" t="s">
        <v>475</v>
      </c>
      <c r="D31" s="40">
        <v>1</v>
      </c>
      <c r="E31" s="40">
        <v>1</v>
      </c>
      <c r="F31" s="40">
        <v>0</v>
      </c>
      <c r="G31" s="40">
        <v>0</v>
      </c>
      <c r="H31" s="40">
        <v>0</v>
      </c>
      <c r="I31" s="40">
        <v>0</v>
      </c>
      <c r="J31" s="40">
        <v>0</v>
      </c>
      <c r="K31" s="40">
        <v>0</v>
      </c>
      <c r="L31" s="40"/>
      <c r="M31" s="40">
        <v>0</v>
      </c>
      <c r="N31" s="40">
        <v>1</v>
      </c>
      <c r="O31" s="40">
        <v>0</v>
      </c>
      <c r="P31" s="40">
        <v>0</v>
      </c>
    </row>
    <row r="32" spans="1:22" ht="36" customHeight="1">
      <c r="A32" s="41" t="s">
        <v>481</v>
      </c>
      <c r="B32" s="41" t="s">
        <v>482</v>
      </c>
      <c r="C32" s="41" t="s">
        <v>475</v>
      </c>
      <c r="D32" s="41">
        <v>1</v>
      </c>
      <c r="E32" s="41">
        <v>1</v>
      </c>
      <c r="F32" s="41">
        <v>0</v>
      </c>
      <c r="G32" s="41">
        <v>0</v>
      </c>
      <c r="H32" s="41">
        <v>0</v>
      </c>
      <c r="I32" s="41">
        <v>0</v>
      </c>
      <c r="J32" s="41">
        <v>0</v>
      </c>
      <c r="K32" s="41">
        <v>0</v>
      </c>
      <c r="L32" s="41"/>
      <c r="M32" s="41">
        <v>0</v>
      </c>
      <c r="N32" s="41">
        <v>1</v>
      </c>
      <c r="O32" s="41">
        <v>0</v>
      </c>
      <c r="P32" s="41">
        <v>0</v>
      </c>
    </row>
    <row r="33" spans="1:16" ht="36" customHeight="1">
      <c r="A33" s="40" t="s">
        <v>486</v>
      </c>
      <c r="B33" s="40" t="s">
        <v>487</v>
      </c>
      <c r="C33" s="40" t="s">
        <v>475</v>
      </c>
      <c r="D33" s="40">
        <v>1</v>
      </c>
      <c r="E33" s="40">
        <v>1</v>
      </c>
      <c r="F33" s="40">
        <v>0</v>
      </c>
      <c r="G33" s="40">
        <v>0</v>
      </c>
      <c r="H33" s="40">
        <v>0</v>
      </c>
      <c r="I33" s="40">
        <v>0</v>
      </c>
      <c r="J33" s="40">
        <v>0</v>
      </c>
      <c r="K33" s="40">
        <v>0</v>
      </c>
      <c r="L33" s="40"/>
      <c r="M33" s="40">
        <v>0</v>
      </c>
      <c r="N33" s="40">
        <v>1</v>
      </c>
      <c r="O33" s="40">
        <v>0</v>
      </c>
      <c r="P33" s="40">
        <v>0</v>
      </c>
    </row>
    <row r="34" spans="1:16" ht="36" customHeight="1">
      <c r="A34" s="41" t="s">
        <v>490</v>
      </c>
      <c r="B34" s="41" t="s">
        <v>493</v>
      </c>
      <c r="C34" s="41" t="s">
        <v>491</v>
      </c>
      <c r="D34" s="41">
        <v>1</v>
      </c>
      <c r="E34" s="41">
        <v>1</v>
      </c>
      <c r="F34" s="41">
        <v>0</v>
      </c>
      <c r="G34" s="41">
        <v>0</v>
      </c>
      <c r="H34" s="41">
        <v>0</v>
      </c>
      <c r="I34" s="41">
        <v>0</v>
      </c>
      <c r="J34" s="41">
        <v>0</v>
      </c>
      <c r="K34" s="41">
        <v>0</v>
      </c>
      <c r="L34" s="41"/>
      <c r="M34" s="41">
        <v>0</v>
      </c>
      <c r="N34" s="41">
        <v>1</v>
      </c>
      <c r="O34" s="41">
        <v>0</v>
      </c>
      <c r="P34" s="41">
        <v>0</v>
      </c>
    </row>
    <row r="35" spans="1:16" ht="36" customHeight="1">
      <c r="A35" s="40" t="s">
        <v>497</v>
      </c>
      <c r="B35" s="40" t="s">
        <v>498</v>
      </c>
      <c r="C35" s="40" t="s">
        <v>475</v>
      </c>
      <c r="D35" s="40">
        <v>1</v>
      </c>
      <c r="E35" s="40">
        <v>1</v>
      </c>
      <c r="F35" s="40">
        <v>0</v>
      </c>
      <c r="G35" s="40">
        <v>0</v>
      </c>
      <c r="H35" s="40">
        <v>0</v>
      </c>
      <c r="I35" s="40">
        <v>0</v>
      </c>
      <c r="J35" s="40">
        <v>0</v>
      </c>
      <c r="K35" s="40">
        <v>0</v>
      </c>
      <c r="L35" s="40"/>
      <c r="M35" s="40">
        <v>0</v>
      </c>
      <c r="N35" s="40">
        <v>1</v>
      </c>
      <c r="O35" s="40">
        <v>0</v>
      </c>
      <c r="P35" s="40">
        <v>0</v>
      </c>
    </row>
    <row r="36" spans="1:16" ht="36" customHeight="1">
      <c r="A36" s="41" t="s">
        <v>502</v>
      </c>
      <c r="B36" s="41" t="s">
        <v>503</v>
      </c>
      <c r="C36" s="41" t="s">
        <v>475</v>
      </c>
      <c r="D36" s="41">
        <v>1</v>
      </c>
      <c r="E36" s="41">
        <v>1</v>
      </c>
      <c r="F36" s="41">
        <v>0</v>
      </c>
      <c r="G36" s="41">
        <v>0</v>
      </c>
      <c r="H36" s="41">
        <v>0</v>
      </c>
      <c r="I36" s="41">
        <v>0</v>
      </c>
      <c r="J36" s="41">
        <v>0</v>
      </c>
      <c r="K36" s="41">
        <v>0</v>
      </c>
      <c r="L36" s="41"/>
      <c r="M36" s="41">
        <v>0</v>
      </c>
      <c r="N36" s="41">
        <v>1</v>
      </c>
      <c r="O36" s="41">
        <v>0</v>
      </c>
      <c r="P36" s="41">
        <v>0</v>
      </c>
    </row>
    <row r="37" spans="1:16" ht="36" customHeight="1">
      <c r="A37" s="40" t="s">
        <v>507</v>
      </c>
      <c r="B37" s="40" t="s">
        <v>508</v>
      </c>
      <c r="C37" s="40" t="s">
        <v>475</v>
      </c>
      <c r="D37" s="40">
        <v>1</v>
      </c>
      <c r="E37" s="40">
        <v>1</v>
      </c>
      <c r="F37" s="40">
        <v>0</v>
      </c>
      <c r="G37" s="40">
        <v>0</v>
      </c>
      <c r="H37" s="40">
        <v>0</v>
      </c>
      <c r="I37" s="40">
        <v>0</v>
      </c>
      <c r="J37" s="40">
        <v>0</v>
      </c>
      <c r="K37" s="40">
        <v>0</v>
      </c>
      <c r="L37" s="40"/>
      <c r="M37" s="40">
        <v>0</v>
      </c>
      <c r="N37" s="40">
        <v>1</v>
      </c>
      <c r="O37" s="40">
        <v>0</v>
      </c>
      <c r="P37" s="40">
        <v>1</v>
      </c>
    </row>
    <row r="38" spans="1:16" ht="36" customHeight="1">
      <c r="A38" s="41" t="s">
        <v>512</v>
      </c>
      <c r="B38" s="41" t="s">
        <v>514</v>
      </c>
      <c r="C38" s="41" t="s">
        <v>513</v>
      </c>
      <c r="D38" s="41">
        <v>1</v>
      </c>
      <c r="E38" s="41">
        <v>1</v>
      </c>
      <c r="F38" s="41">
        <v>0</v>
      </c>
      <c r="G38" s="41">
        <v>0</v>
      </c>
      <c r="H38" s="41">
        <v>0</v>
      </c>
      <c r="I38" s="41">
        <v>0</v>
      </c>
      <c r="J38" s="41">
        <v>0</v>
      </c>
      <c r="K38" s="41">
        <v>0</v>
      </c>
      <c r="L38" s="41"/>
      <c r="M38" s="41">
        <v>1</v>
      </c>
      <c r="N38" s="41">
        <v>0</v>
      </c>
      <c r="O38" s="41">
        <v>0</v>
      </c>
      <c r="P38" s="41">
        <v>0</v>
      </c>
    </row>
    <row r="39" spans="1:16" ht="36" customHeight="1">
      <c r="A39" s="40" t="s">
        <v>518</v>
      </c>
      <c r="B39" s="40" t="s">
        <v>519</v>
      </c>
      <c r="C39" s="40" t="s">
        <v>513</v>
      </c>
      <c r="D39" s="40">
        <v>1</v>
      </c>
      <c r="E39" s="40">
        <v>1</v>
      </c>
      <c r="F39" s="40">
        <v>0</v>
      </c>
      <c r="G39" s="40">
        <v>0</v>
      </c>
      <c r="H39" s="40">
        <v>0</v>
      </c>
      <c r="I39" s="40">
        <v>0</v>
      </c>
      <c r="J39" s="40">
        <v>0</v>
      </c>
      <c r="K39" s="40">
        <v>0</v>
      </c>
      <c r="L39" s="40"/>
      <c r="M39" s="40">
        <v>1</v>
      </c>
      <c r="N39" s="40">
        <v>0</v>
      </c>
      <c r="O39" s="40">
        <v>0</v>
      </c>
      <c r="P39" s="40">
        <v>0</v>
      </c>
    </row>
    <row r="40" spans="1:16" ht="36" customHeight="1">
      <c r="A40" s="41" t="s">
        <v>523</v>
      </c>
      <c r="B40" s="41" t="s">
        <v>524</v>
      </c>
      <c r="C40" s="41" t="s">
        <v>513</v>
      </c>
      <c r="D40" s="41">
        <v>1</v>
      </c>
      <c r="E40" s="41">
        <v>1</v>
      </c>
      <c r="F40" s="41">
        <v>0</v>
      </c>
      <c r="G40" s="41">
        <v>1</v>
      </c>
      <c r="H40" s="41">
        <v>0</v>
      </c>
      <c r="I40" s="41">
        <v>0</v>
      </c>
      <c r="J40" s="41">
        <v>0</v>
      </c>
      <c r="K40" s="41">
        <v>0</v>
      </c>
      <c r="L40" s="41"/>
      <c r="M40" s="41">
        <v>1</v>
      </c>
      <c r="N40" s="41">
        <v>0</v>
      </c>
      <c r="O40" s="41">
        <v>0</v>
      </c>
      <c r="P40" s="41">
        <v>0</v>
      </c>
    </row>
    <row r="41" spans="1:16" ht="36" customHeight="1">
      <c r="A41" s="40" t="s">
        <v>528</v>
      </c>
      <c r="B41" s="40" t="s">
        <v>529</v>
      </c>
      <c r="C41" s="40" t="s">
        <v>513</v>
      </c>
      <c r="D41" s="40">
        <v>1</v>
      </c>
      <c r="E41" s="40">
        <v>1</v>
      </c>
      <c r="F41" s="40">
        <v>0</v>
      </c>
      <c r="G41" s="40">
        <v>1</v>
      </c>
      <c r="H41" s="40">
        <v>0</v>
      </c>
      <c r="I41" s="40">
        <v>0</v>
      </c>
      <c r="J41" s="40">
        <v>0</v>
      </c>
      <c r="K41" s="40">
        <v>0</v>
      </c>
      <c r="L41" s="40"/>
      <c r="M41" s="40">
        <v>0</v>
      </c>
      <c r="N41" s="40">
        <v>0</v>
      </c>
      <c r="O41" s="40">
        <v>0</v>
      </c>
      <c r="P41" s="40">
        <v>0</v>
      </c>
    </row>
    <row r="42" spans="1:16" ht="36" customHeight="1">
      <c r="A42" s="41" t="s">
        <v>533</v>
      </c>
      <c r="B42" s="41" t="s">
        <v>534</v>
      </c>
      <c r="C42" s="41" t="s">
        <v>513</v>
      </c>
      <c r="D42" s="41">
        <v>1</v>
      </c>
      <c r="E42" s="41">
        <v>1</v>
      </c>
      <c r="F42" s="41">
        <v>0</v>
      </c>
      <c r="G42" s="41">
        <v>0</v>
      </c>
      <c r="H42" s="41">
        <v>1</v>
      </c>
      <c r="I42" s="41">
        <v>0</v>
      </c>
      <c r="J42" s="41">
        <v>0</v>
      </c>
      <c r="K42" s="41">
        <v>0</v>
      </c>
      <c r="L42" s="41"/>
      <c r="M42" s="41">
        <v>1</v>
      </c>
      <c r="N42" s="41">
        <v>0</v>
      </c>
      <c r="O42" s="41">
        <v>0</v>
      </c>
      <c r="P42" s="41">
        <v>0</v>
      </c>
    </row>
    <row r="43" spans="1:16" ht="36" customHeight="1">
      <c r="A43" s="40" t="s">
        <v>537</v>
      </c>
      <c r="B43" s="40" t="s">
        <v>539</v>
      </c>
      <c r="C43" s="40" t="s">
        <v>538</v>
      </c>
      <c r="D43" s="40">
        <v>1</v>
      </c>
      <c r="E43" s="40">
        <v>1</v>
      </c>
      <c r="F43" s="40">
        <v>0</v>
      </c>
      <c r="G43" s="40">
        <v>0</v>
      </c>
      <c r="H43" s="40">
        <v>0</v>
      </c>
      <c r="I43" s="40">
        <v>0</v>
      </c>
      <c r="J43" s="40">
        <v>0</v>
      </c>
      <c r="K43" s="40">
        <v>0</v>
      </c>
      <c r="L43" s="40"/>
      <c r="M43" s="40">
        <v>1</v>
      </c>
      <c r="N43" s="40">
        <v>0</v>
      </c>
      <c r="O43" s="40">
        <v>0</v>
      </c>
      <c r="P43" s="40">
        <v>0</v>
      </c>
    </row>
    <row r="44" spans="1:16" ht="36" customHeight="1">
      <c r="A44" s="41" t="s">
        <v>543</v>
      </c>
      <c r="B44" s="41" t="s">
        <v>544</v>
      </c>
      <c r="C44" s="41" t="s">
        <v>538</v>
      </c>
      <c r="D44" s="41">
        <v>1</v>
      </c>
      <c r="E44" s="41">
        <v>1</v>
      </c>
      <c r="F44" s="41">
        <v>0</v>
      </c>
      <c r="G44" s="41">
        <v>0</v>
      </c>
      <c r="H44" s="41">
        <v>0</v>
      </c>
      <c r="I44" s="41">
        <v>0</v>
      </c>
      <c r="J44" s="41">
        <v>0</v>
      </c>
      <c r="K44" s="41">
        <v>0</v>
      </c>
      <c r="L44" s="41"/>
      <c r="M44" s="41">
        <v>1</v>
      </c>
      <c r="N44" s="41">
        <v>0</v>
      </c>
      <c r="O44" s="41">
        <v>0</v>
      </c>
      <c r="P44" s="41">
        <v>0</v>
      </c>
    </row>
  </sheetData>
  <mergeCells count="2">
    <mergeCell ref="A1:P1"/>
    <mergeCell ref="A2:P2"/>
  </mergeCells>
  <conditionalFormatting sqref="T19:T22">
    <cfRule type="containsText" dxfId="2" priority="3" operator="containsText" text="OK"/>
  </conditionalFormatting>
  <conditionalFormatting sqref="U5:U16">
    <cfRule type="containsText" dxfId="1" priority="1" operator="containsText" text="OK"/>
    <cfRule type="containsText" dxfId="0" priority="2" operator="containsText" text="PRUEFEN"/>
  </conditionalFormatting>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49"/>
  <sheetViews>
    <sheetView showGridLines="0" workbookViewId="0">
      <selection sqref="A1:F1"/>
    </sheetView>
  </sheetViews>
  <sheetFormatPr baseColWidth="10" defaultColWidth="9" defaultRowHeight="14.25"/>
  <cols>
    <col min="1" max="1" width="30" customWidth="1"/>
    <col min="2" max="2" width="56" customWidth="1"/>
    <col min="3" max="3" width="30" customWidth="1"/>
    <col min="4" max="4" width="60" customWidth="1"/>
    <col min="5" max="5" width="55" customWidth="1"/>
    <col min="6" max="6" width="52" customWidth="1"/>
  </cols>
  <sheetData>
    <row r="1" spans="1:6" ht="27.95" customHeight="1">
      <c r="A1" s="76" t="s">
        <v>5258</v>
      </c>
      <c r="B1" s="76"/>
      <c r="C1" s="76"/>
      <c r="D1" s="76"/>
      <c r="E1" s="76"/>
      <c r="F1" s="76"/>
    </row>
    <row r="2" spans="1:6" ht="42" customHeight="1">
      <c r="A2" s="77" t="s">
        <v>5259</v>
      </c>
      <c r="B2" s="77"/>
      <c r="C2" s="77"/>
      <c r="D2" s="77"/>
      <c r="E2" s="77"/>
      <c r="F2" s="77"/>
    </row>
    <row r="3" spans="1:6">
      <c r="A3" s="55"/>
      <c r="B3" s="55"/>
      <c r="C3" s="55"/>
      <c r="D3" s="55"/>
      <c r="E3" s="55"/>
      <c r="F3" s="55"/>
    </row>
    <row r="4" spans="1:6">
      <c r="A4" s="38" t="s">
        <v>5260</v>
      </c>
      <c r="B4" s="38" t="s">
        <v>1317</v>
      </c>
      <c r="C4" s="38" t="s">
        <v>5261</v>
      </c>
      <c r="D4" s="38" t="s">
        <v>5262</v>
      </c>
      <c r="E4" s="38" t="s">
        <v>5263</v>
      </c>
      <c r="F4" s="38" t="s">
        <v>5264</v>
      </c>
    </row>
    <row r="5" spans="1:6" ht="54" customHeight="1">
      <c r="A5" s="40" t="s">
        <v>5265</v>
      </c>
      <c r="B5" s="40" t="s">
        <v>5266</v>
      </c>
      <c r="C5" s="40" t="s">
        <v>5267</v>
      </c>
      <c r="D5" s="40" t="s">
        <v>5268</v>
      </c>
      <c r="E5" s="40" t="s">
        <v>5269</v>
      </c>
      <c r="F5" s="40" t="s">
        <v>5270</v>
      </c>
    </row>
    <row r="6" spans="1:6" ht="54" customHeight="1">
      <c r="A6" s="41" t="s">
        <v>5271</v>
      </c>
      <c r="B6" s="41">
        <v>3</v>
      </c>
      <c r="C6" s="41" t="s">
        <v>473</v>
      </c>
      <c r="D6" s="41" t="s">
        <v>5272</v>
      </c>
      <c r="E6" s="41" t="s">
        <v>5273</v>
      </c>
      <c r="F6" s="41" t="s">
        <v>5274</v>
      </c>
    </row>
    <row r="7" spans="1:6" ht="54" customHeight="1">
      <c r="A7" s="40" t="s">
        <v>5275</v>
      </c>
      <c r="B7" s="40" t="s">
        <v>1806</v>
      </c>
      <c r="C7" s="40" t="s">
        <v>513</v>
      </c>
      <c r="D7" s="40" t="s">
        <v>5276</v>
      </c>
      <c r="E7" s="40" t="s">
        <v>5277</v>
      </c>
      <c r="F7" s="40" t="s">
        <v>5278</v>
      </c>
    </row>
    <row r="8" spans="1:6" ht="54" customHeight="1">
      <c r="A8" s="41" t="s">
        <v>5279</v>
      </c>
      <c r="B8" s="41" t="s">
        <v>5280</v>
      </c>
      <c r="C8" s="41" t="s">
        <v>491</v>
      </c>
      <c r="D8" s="41" t="s">
        <v>5281</v>
      </c>
      <c r="E8" s="41" t="s">
        <v>5282</v>
      </c>
      <c r="F8" s="41" t="s">
        <v>5283</v>
      </c>
    </row>
    <row r="9" spans="1:6" ht="54" customHeight="1">
      <c r="A9" s="40" t="s">
        <v>5284</v>
      </c>
      <c r="B9" s="40">
        <v>55</v>
      </c>
      <c r="C9" s="40" t="s">
        <v>5285</v>
      </c>
      <c r="D9" s="40" t="s">
        <v>5286</v>
      </c>
      <c r="E9" s="40" t="s">
        <v>5287</v>
      </c>
      <c r="F9" s="40" t="s">
        <v>5288</v>
      </c>
    </row>
    <row r="10" spans="1:6" ht="54" customHeight="1">
      <c r="A10" s="41" t="s">
        <v>5289</v>
      </c>
      <c r="B10" s="41">
        <v>15</v>
      </c>
      <c r="C10" s="41" t="s">
        <v>5290</v>
      </c>
      <c r="D10" s="41" t="s">
        <v>5291</v>
      </c>
      <c r="E10" s="41" t="s">
        <v>5292</v>
      </c>
      <c r="F10" s="41" t="s">
        <v>5288</v>
      </c>
    </row>
    <row r="11" spans="1:6" ht="54" customHeight="1">
      <c r="A11" s="40" t="s">
        <v>5293</v>
      </c>
      <c r="B11" s="40">
        <v>25</v>
      </c>
      <c r="C11" s="40" t="s">
        <v>5294</v>
      </c>
      <c r="D11" s="40" t="s">
        <v>5295</v>
      </c>
      <c r="E11" s="40" t="s">
        <v>5296</v>
      </c>
      <c r="F11" s="40" t="s">
        <v>5288</v>
      </c>
    </row>
    <row r="12" spans="1:6" ht="54" customHeight="1">
      <c r="A12" s="41" t="s">
        <v>5297</v>
      </c>
      <c r="B12" s="41">
        <v>20</v>
      </c>
      <c r="C12" s="41" t="s">
        <v>1387</v>
      </c>
      <c r="D12" s="41" t="s">
        <v>5298</v>
      </c>
      <c r="E12" s="41" t="s">
        <v>5299</v>
      </c>
      <c r="F12" s="41" t="s">
        <v>5288</v>
      </c>
    </row>
    <row r="13" spans="1:6" ht="54" customHeight="1">
      <c r="A13" s="40" t="s">
        <v>5300</v>
      </c>
      <c r="B13" s="40">
        <v>30</v>
      </c>
      <c r="C13" s="40" t="s">
        <v>538</v>
      </c>
      <c r="D13" s="40" t="s">
        <v>5301</v>
      </c>
      <c r="E13" s="40" t="s">
        <v>5302</v>
      </c>
      <c r="F13" s="40" t="s">
        <v>5288</v>
      </c>
    </row>
    <row r="14" spans="1:6" ht="54" customHeight="1">
      <c r="A14" s="41" t="s">
        <v>5303</v>
      </c>
      <c r="B14" s="41">
        <v>1000</v>
      </c>
      <c r="C14" s="41" t="s">
        <v>5304</v>
      </c>
      <c r="D14" s="41" t="s">
        <v>5305</v>
      </c>
      <c r="E14" s="41" t="s">
        <v>5306</v>
      </c>
      <c r="F14" s="41" t="s">
        <v>5307</v>
      </c>
    </row>
    <row r="15" spans="1:6" ht="54" customHeight="1">
      <c r="A15" s="40" t="s">
        <v>5308</v>
      </c>
      <c r="B15" s="40" t="s">
        <v>5309</v>
      </c>
      <c r="C15" s="40" t="s">
        <v>5267</v>
      </c>
      <c r="D15" s="40" t="s">
        <v>5310</v>
      </c>
      <c r="E15" s="40" t="s">
        <v>5311</v>
      </c>
      <c r="F15" s="40" t="s">
        <v>5312</v>
      </c>
    </row>
    <row r="16" spans="1:6" ht="54" customHeight="1">
      <c r="A16" s="41" t="s">
        <v>5313</v>
      </c>
      <c r="B16" s="41" t="s">
        <v>5314</v>
      </c>
      <c r="C16" s="41" t="s">
        <v>5315</v>
      </c>
      <c r="D16" s="41" t="s">
        <v>5316</v>
      </c>
      <c r="E16" s="41" t="s">
        <v>5317</v>
      </c>
      <c r="F16" s="41" t="s">
        <v>5318</v>
      </c>
    </row>
    <row r="17" spans="1:6" ht="54" customHeight="1">
      <c r="A17" s="40" t="s">
        <v>5319</v>
      </c>
      <c r="B17" s="56" t="b">
        <v>1</v>
      </c>
      <c r="C17" s="40" t="s">
        <v>5320</v>
      </c>
      <c r="D17" s="40" t="s">
        <v>5321</v>
      </c>
      <c r="E17" s="40" t="s">
        <v>5322</v>
      </c>
      <c r="F17" s="40" t="s">
        <v>5288</v>
      </c>
    </row>
    <row r="18" spans="1:6" ht="54" customHeight="1">
      <c r="A18" s="41" t="s">
        <v>5323</v>
      </c>
      <c r="B18" s="41" t="s">
        <v>5324</v>
      </c>
      <c r="C18" s="41" t="s">
        <v>5325</v>
      </c>
      <c r="D18" s="41" t="s">
        <v>5326</v>
      </c>
      <c r="E18" s="41" t="s">
        <v>5327</v>
      </c>
      <c r="F18" s="41" t="s">
        <v>5288</v>
      </c>
    </row>
    <row r="19" spans="1:6" ht="54" customHeight="1">
      <c r="A19" s="40" t="s">
        <v>5328</v>
      </c>
      <c r="B19" s="40" t="s">
        <v>5329</v>
      </c>
      <c r="C19" s="40" t="s">
        <v>21</v>
      </c>
      <c r="D19" s="40" t="s">
        <v>5330</v>
      </c>
      <c r="E19" s="40" t="s">
        <v>5331</v>
      </c>
      <c r="F19" s="40" t="s">
        <v>5332</v>
      </c>
    </row>
    <row r="20" spans="1:6" ht="54" customHeight="1">
      <c r="A20" s="41" t="s">
        <v>5333</v>
      </c>
      <c r="B20" s="41" t="s">
        <v>5334</v>
      </c>
      <c r="C20" s="41" t="s">
        <v>5335</v>
      </c>
      <c r="D20" s="41" t="s">
        <v>5336</v>
      </c>
      <c r="E20" s="41" t="s">
        <v>5337</v>
      </c>
      <c r="F20" s="41" t="s">
        <v>5338</v>
      </c>
    </row>
    <row r="21" spans="1:6" ht="54" customHeight="1">
      <c r="A21" s="40" t="s">
        <v>5339</v>
      </c>
      <c r="B21" s="40" t="s">
        <v>5340</v>
      </c>
      <c r="C21" s="40" t="s">
        <v>5341</v>
      </c>
      <c r="D21" s="40" t="s">
        <v>5342</v>
      </c>
      <c r="E21" s="40" t="s">
        <v>5343</v>
      </c>
      <c r="F21" s="40" t="s">
        <v>5344</v>
      </c>
    </row>
    <row r="22" spans="1:6" ht="54" customHeight="1">
      <c r="A22" s="41" t="s">
        <v>5345</v>
      </c>
      <c r="B22" s="41" t="s">
        <v>5346</v>
      </c>
      <c r="C22" s="41" t="s">
        <v>5347</v>
      </c>
      <c r="D22" s="41" t="s">
        <v>5348</v>
      </c>
      <c r="E22" s="41" t="s">
        <v>5349</v>
      </c>
      <c r="F22" s="41" t="s">
        <v>5288</v>
      </c>
    </row>
    <row r="23" spans="1:6" ht="54" customHeight="1">
      <c r="A23" s="55"/>
      <c r="B23" s="55"/>
      <c r="C23" s="55"/>
      <c r="D23" s="55"/>
      <c r="E23" s="55"/>
      <c r="F23" s="55"/>
    </row>
    <row r="24" spans="1:6" ht="54" customHeight="1">
      <c r="A24" s="55"/>
      <c r="B24" s="55"/>
      <c r="C24" s="55"/>
      <c r="D24" s="55"/>
      <c r="E24" s="55"/>
      <c r="F24" s="55"/>
    </row>
    <row r="25" spans="1:6" ht="54" customHeight="1">
      <c r="A25" s="38" t="s">
        <v>5350</v>
      </c>
      <c r="B25" s="38" t="s">
        <v>5351</v>
      </c>
      <c r="C25" s="38" t="s">
        <v>5352</v>
      </c>
      <c r="D25" s="38" t="s">
        <v>5353</v>
      </c>
      <c r="E25" s="38" t="s">
        <v>5354</v>
      </c>
      <c r="F25" s="38" t="s">
        <v>5355</v>
      </c>
    </row>
    <row r="26" spans="1:6" ht="54" customHeight="1">
      <c r="A26" s="41" t="s">
        <v>5356</v>
      </c>
      <c r="B26" s="41" t="s">
        <v>5357</v>
      </c>
      <c r="C26" s="41" t="s">
        <v>5358</v>
      </c>
      <c r="D26" s="41" t="s">
        <v>5359</v>
      </c>
      <c r="E26" s="41" t="s">
        <v>5360</v>
      </c>
      <c r="F26" s="41" t="s">
        <v>5361</v>
      </c>
    </row>
    <row r="27" spans="1:6" ht="54" customHeight="1">
      <c r="A27" s="57" t="s">
        <v>5362</v>
      </c>
      <c r="B27" s="57" t="s">
        <v>5363</v>
      </c>
      <c r="C27" s="57" t="s">
        <v>5357</v>
      </c>
      <c r="D27" s="57" t="s">
        <v>5364</v>
      </c>
      <c r="E27" s="57" t="s">
        <v>5365</v>
      </c>
      <c r="F27" s="57" t="s">
        <v>5366</v>
      </c>
    </row>
    <row r="28" spans="1:6" ht="54" customHeight="1">
      <c r="A28" s="41" t="s">
        <v>5367</v>
      </c>
      <c r="B28" s="41" t="s">
        <v>5368</v>
      </c>
      <c r="C28" s="41" t="s">
        <v>5369</v>
      </c>
      <c r="D28" s="41" t="s">
        <v>5370</v>
      </c>
      <c r="E28" s="41" t="s">
        <v>5371</v>
      </c>
      <c r="F28" s="41" t="s">
        <v>5372</v>
      </c>
    </row>
    <row r="29" spans="1:6" ht="54" customHeight="1">
      <c r="A29" s="57" t="s">
        <v>5373</v>
      </c>
      <c r="B29" s="57" t="s">
        <v>5374</v>
      </c>
      <c r="C29" s="57" t="s">
        <v>5375</v>
      </c>
      <c r="D29" s="57" t="s">
        <v>18</v>
      </c>
      <c r="E29" s="57" t="s">
        <v>5376</v>
      </c>
      <c r="F29" s="57" t="s">
        <v>5377</v>
      </c>
    </row>
    <row r="30" spans="1:6" ht="54" customHeight="1">
      <c r="A30" s="41" t="s">
        <v>5378</v>
      </c>
      <c r="B30" s="41" t="s">
        <v>5379</v>
      </c>
      <c r="C30" s="41" t="s">
        <v>5380</v>
      </c>
      <c r="D30" s="41" t="s">
        <v>19</v>
      </c>
      <c r="E30" s="41" t="s">
        <v>5381</v>
      </c>
      <c r="F30" s="41" t="s">
        <v>5382</v>
      </c>
    </row>
    <row r="31" spans="1:6" ht="54" customHeight="1">
      <c r="A31" s="57" t="s">
        <v>5383</v>
      </c>
      <c r="B31" s="57" t="s">
        <v>5384</v>
      </c>
      <c r="C31" s="57" t="s">
        <v>5385</v>
      </c>
      <c r="D31" s="57" t="s">
        <v>20</v>
      </c>
      <c r="E31" s="57" t="s">
        <v>5386</v>
      </c>
      <c r="F31" s="57" t="s">
        <v>5387</v>
      </c>
    </row>
    <row r="32" spans="1:6" ht="54" customHeight="1">
      <c r="A32" s="41" t="s">
        <v>5388</v>
      </c>
      <c r="B32" s="41" t="s">
        <v>5389</v>
      </c>
      <c r="C32" s="41" t="s">
        <v>5380</v>
      </c>
      <c r="D32" s="41" t="s">
        <v>21</v>
      </c>
      <c r="E32" s="41" t="s">
        <v>5390</v>
      </c>
      <c r="F32" s="41" t="s">
        <v>5391</v>
      </c>
    </row>
    <row r="33" spans="1:6" ht="54" customHeight="1">
      <c r="A33" s="57" t="s">
        <v>5392</v>
      </c>
      <c r="B33" s="57" t="s">
        <v>5393</v>
      </c>
      <c r="C33" s="57" t="s">
        <v>5394</v>
      </c>
      <c r="D33" s="57" t="s">
        <v>5395</v>
      </c>
      <c r="E33" s="57" t="s">
        <v>5396</v>
      </c>
      <c r="F33" s="57" t="s">
        <v>5397</v>
      </c>
    </row>
    <row r="34" spans="1:6" ht="54" customHeight="1">
      <c r="A34" s="41" t="s">
        <v>5398</v>
      </c>
      <c r="B34" s="41" t="s">
        <v>5399</v>
      </c>
      <c r="C34" s="41" t="s">
        <v>5400</v>
      </c>
      <c r="D34" s="41" t="s">
        <v>5401</v>
      </c>
      <c r="E34" s="41" t="s">
        <v>5402</v>
      </c>
      <c r="F34" s="41" t="s">
        <v>5403</v>
      </c>
    </row>
    <row r="35" spans="1:6" ht="54" customHeight="1">
      <c r="A35" s="55"/>
      <c r="B35" s="55"/>
      <c r="C35" s="55"/>
      <c r="D35" s="55"/>
      <c r="E35" s="55"/>
      <c r="F35" s="55"/>
    </row>
    <row r="36" spans="1:6" ht="54" customHeight="1">
      <c r="A36" s="55"/>
      <c r="B36" s="55"/>
      <c r="C36" s="55"/>
      <c r="D36" s="55"/>
      <c r="E36" s="55"/>
      <c r="F36" s="55"/>
    </row>
    <row r="37" spans="1:6" ht="54" customHeight="1">
      <c r="A37" s="38" t="s">
        <v>5404</v>
      </c>
      <c r="B37" s="38" t="s">
        <v>5405</v>
      </c>
      <c r="C37" s="38" t="s">
        <v>5406</v>
      </c>
      <c r="D37" s="38" t="s">
        <v>125</v>
      </c>
      <c r="E37" s="38" t="s">
        <v>5407</v>
      </c>
      <c r="F37" s="38" t="s">
        <v>119</v>
      </c>
    </row>
    <row r="38" spans="1:6" ht="54" customHeight="1">
      <c r="A38" s="41" t="s">
        <v>5408</v>
      </c>
      <c r="B38" s="41" t="s">
        <v>5409</v>
      </c>
      <c r="C38" s="41" t="s">
        <v>5410</v>
      </c>
      <c r="D38" s="41" t="s">
        <v>5411</v>
      </c>
      <c r="E38" s="41" t="s">
        <v>5412</v>
      </c>
      <c r="F38" s="41" t="s">
        <v>5413</v>
      </c>
    </row>
    <row r="39" spans="1:6" ht="54" customHeight="1">
      <c r="A39" s="40" t="s">
        <v>5414</v>
      </c>
      <c r="B39" s="40" t="s">
        <v>5415</v>
      </c>
      <c r="C39" s="40" t="s">
        <v>5416</v>
      </c>
      <c r="D39" s="40" t="s">
        <v>5417</v>
      </c>
      <c r="E39" s="40" t="s">
        <v>5418</v>
      </c>
      <c r="F39" s="40" t="s">
        <v>5419</v>
      </c>
    </row>
    <row r="40" spans="1:6" ht="54" customHeight="1">
      <c r="A40" s="41" t="s">
        <v>5420</v>
      </c>
      <c r="B40" s="41" t="s">
        <v>5421</v>
      </c>
      <c r="C40" s="41" t="s">
        <v>5422</v>
      </c>
      <c r="D40" s="41" t="s">
        <v>5417</v>
      </c>
      <c r="E40" s="41" t="s">
        <v>5423</v>
      </c>
      <c r="F40" s="41" t="s">
        <v>5424</v>
      </c>
    </row>
    <row r="41" spans="1:6" ht="54" customHeight="1">
      <c r="A41" s="40" t="s">
        <v>5425</v>
      </c>
      <c r="B41" s="40" t="s">
        <v>5426</v>
      </c>
      <c r="C41" s="40" t="s">
        <v>5427</v>
      </c>
      <c r="D41" s="40" t="s">
        <v>5428</v>
      </c>
      <c r="E41" s="40" t="s">
        <v>5429</v>
      </c>
      <c r="F41" s="40" t="s">
        <v>5430</v>
      </c>
    </row>
    <row r="42" spans="1:6" ht="54" customHeight="1">
      <c r="A42" s="41" t="s">
        <v>5431</v>
      </c>
      <c r="B42" s="41" t="s">
        <v>5432</v>
      </c>
      <c r="C42" s="41" t="s">
        <v>5433</v>
      </c>
      <c r="D42" s="41" t="s">
        <v>5434</v>
      </c>
      <c r="E42" s="41" t="s">
        <v>5435</v>
      </c>
      <c r="F42" s="41" t="s">
        <v>5436</v>
      </c>
    </row>
    <row r="43" spans="1:6" ht="54" customHeight="1">
      <c r="A43" s="40" t="s">
        <v>5437</v>
      </c>
      <c r="B43" s="40" t="s">
        <v>5438</v>
      </c>
      <c r="C43" s="40" t="s">
        <v>5439</v>
      </c>
      <c r="D43" s="40" t="s">
        <v>5434</v>
      </c>
      <c r="E43" s="40" t="s">
        <v>5440</v>
      </c>
      <c r="F43" s="40" t="s">
        <v>5441</v>
      </c>
    </row>
    <row r="44" spans="1:6" ht="54" customHeight="1">
      <c r="A44" s="41" t="s">
        <v>5442</v>
      </c>
      <c r="B44" s="41" t="s">
        <v>5443</v>
      </c>
      <c r="C44" s="41" t="s">
        <v>5444</v>
      </c>
      <c r="D44" s="41" t="s">
        <v>5445</v>
      </c>
      <c r="E44" s="41" t="s">
        <v>5446</v>
      </c>
      <c r="F44" s="41" t="s">
        <v>5447</v>
      </c>
    </row>
    <row r="45" spans="1:6" ht="54" customHeight="1">
      <c r="A45" s="40" t="s">
        <v>5448</v>
      </c>
      <c r="B45" s="40" t="s">
        <v>5037</v>
      </c>
      <c r="C45" s="40" t="s">
        <v>5449</v>
      </c>
      <c r="D45" s="40" t="s">
        <v>5450</v>
      </c>
      <c r="E45" s="40" t="s">
        <v>5451</v>
      </c>
      <c r="F45" s="40" t="s">
        <v>5452</v>
      </c>
    </row>
    <row r="46" spans="1:6" ht="54" customHeight="1">
      <c r="A46" s="41" t="s">
        <v>5453</v>
      </c>
      <c r="B46" s="41" t="s">
        <v>5454</v>
      </c>
      <c r="C46" s="41" t="s">
        <v>5455</v>
      </c>
      <c r="D46" s="41" t="s">
        <v>5434</v>
      </c>
      <c r="E46" s="41" t="s">
        <v>5456</v>
      </c>
      <c r="F46" s="41" t="s">
        <v>5457</v>
      </c>
    </row>
    <row r="47" spans="1:6" ht="54" customHeight="1">
      <c r="A47" s="40" t="s">
        <v>5458</v>
      </c>
      <c r="B47" s="40" t="s">
        <v>5459</v>
      </c>
      <c r="C47" s="40" t="s">
        <v>5460</v>
      </c>
      <c r="D47" s="40" t="s">
        <v>5461</v>
      </c>
      <c r="E47" s="40" t="s">
        <v>5462</v>
      </c>
      <c r="F47" s="40" t="s">
        <v>5463</v>
      </c>
    </row>
    <row r="48" spans="1:6" ht="28.5">
      <c r="A48" s="61" t="s">
        <v>5464</v>
      </c>
      <c r="B48" s="61" t="s">
        <v>5465</v>
      </c>
      <c r="C48" s="61" t="s">
        <v>5466</v>
      </c>
      <c r="D48" s="61" t="s">
        <v>5467</v>
      </c>
      <c r="E48" s="61" t="s">
        <v>5468</v>
      </c>
      <c r="F48" s="61" t="s">
        <v>5469</v>
      </c>
    </row>
    <row r="49" spans="1:6" ht="28.5">
      <c r="A49" s="61" t="s">
        <v>5470</v>
      </c>
      <c r="B49" s="61" t="s">
        <v>5471</v>
      </c>
      <c r="C49" s="61" t="s">
        <v>5216</v>
      </c>
      <c r="D49" s="61" t="s">
        <v>5472</v>
      </c>
      <c r="E49" s="61" t="s">
        <v>5473</v>
      </c>
      <c r="F49" s="61" t="s">
        <v>5474</v>
      </c>
    </row>
  </sheetData>
  <mergeCells count="2">
    <mergeCell ref="A1:F1"/>
    <mergeCell ref="A2:F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N16"/>
  <sheetViews>
    <sheetView showGridLines="0" workbookViewId="0">
      <selection sqref="A1:N1"/>
    </sheetView>
  </sheetViews>
  <sheetFormatPr baseColWidth="10" defaultColWidth="9" defaultRowHeight="14.25"/>
  <cols>
    <col min="1" max="1" width="16" customWidth="1"/>
    <col min="2" max="2" width="10" customWidth="1"/>
    <col min="3" max="3" width="25" customWidth="1"/>
    <col min="4" max="4" width="10" customWidth="1"/>
    <col min="5" max="5" width="23" customWidth="1"/>
    <col min="6" max="9" width="9" customWidth="1"/>
    <col min="10" max="10" width="14" customWidth="1"/>
    <col min="11" max="12" width="10" customWidth="1"/>
    <col min="13" max="13" width="14" customWidth="1"/>
    <col min="14" max="14" width="32" customWidth="1"/>
  </cols>
  <sheetData>
    <row r="1" spans="1:14" ht="18">
      <c r="A1" s="78" t="s">
        <v>5475</v>
      </c>
      <c r="B1" s="78" t="s">
        <v>5475</v>
      </c>
      <c r="C1" s="78" t="s">
        <v>5475</v>
      </c>
      <c r="D1" s="78" t="s">
        <v>5475</v>
      </c>
      <c r="E1" s="78" t="s">
        <v>5475</v>
      </c>
      <c r="F1" s="78" t="s">
        <v>5475</v>
      </c>
      <c r="G1" s="78" t="s">
        <v>5475</v>
      </c>
      <c r="H1" s="78" t="s">
        <v>5475</v>
      </c>
      <c r="I1" s="78" t="s">
        <v>5475</v>
      </c>
      <c r="J1" s="78" t="s">
        <v>5475</v>
      </c>
      <c r="K1" s="78" t="s">
        <v>5475</v>
      </c>
      <c r="L1" s="78" t="s">
        <v>5475</v>
      </c>
      <c r="M1" s="78" t="s">
        <v>5475</v>
      </c>
      <c r="N1" s="78" t="s">
        <v>5475</v>
      </c>
    </row>
    <row r="2" spans="1:14">
      <c r="A2" s="79" t="s">
        <v>5476</v>
      </c>
      <c r="B2" s="79" t="s">
        <v>5476</v>
      </c>
      <c r="C2" s="79" t="s">
        <v>5476</v>
      </c>
      <c r="D2" s="79" t="s">
        <v>5476</v>
      </c>
      <c r="E2" s="79" t="s">
        <v>5476</v>
      </c>
      <c r="F2" s="79" t="s">
        <v>5476</v>
      </c>
      <c r="G2" s="79" t="s">
        <v>5476</v>
      </c>
      <c r="H2" s="79" t="s">
        <v>5476</v>
      </c>
      <c r="I2" s="79" t="s">
        <v>5476</v>
      </c>
      <c r="J2" s="79" t="s">
        <v>5476</v>
      </c>
      <c r="K2" s="79" t="s">
        <v>5476</v>
      </c>
      <c r="L2" s="79" t="s">
        <v>5476</v>
      </c>
      <c r="M2" s="79" t="s">
        <v>5476</v>
      </c>
      <c r="N2" s="79" t="s">
        <v>5476</v>
      </c>
    </row>
    <row r="4" spans="1:14" ht="26.45" customHeight="1">
      <c r="A4" s="60" t="s">
        <v>1363</v>
      </c>
      <c r="B4" s="60" t="s">
        <v>98</v>
      </c>
      <c r="C4" s="60" t="s">
        <v>4719</v>
      </c>
      <c r="D4" s="60" t="s">
        <v>1377</v>
      </c>
      <c r="E4" s="60" t="s">
        <v>4043</v>
      </c>
      <c r="F4" s="60" t="s">
        <v>5477</v>
      </c>
      <c r="G4" s="60" t="s">
        <v>5478</v>
      </c>
      <c r="H4" s="60" t="s">
        <v>5479</v>
      </c>
      <c r="I4" s="60" t="s">
        <v>5480</v>
      </c>
      <c r="J4" s="60" t="s">
        <v>5481</v>
      </c>
      <c r="K4" s="60" t="s">
        <v>5482</v>
      </c>
      <c r="L4" s="60" t="s">
        <v>5483</v>
      </c>
      <c r="M4" s="60" t="s">
        <v>5484</v>
      </c>
      <c r="N4" s="60" t="s">
        <v>5485</v>
      </c>
    </row>
    <row r="5" spans="1:14" ht="66" customHeight="1">
      <c r="A5" s="61" t="s">
        <v>1386</v>
      </c>
      <c r="B5" s="61" t="s">
        <v>127</v>
      </c>
      <c r="C5" s="61" t="s">
        <v>1249</v>
      </c>
      <c r="D5" s="61" t="s">
        <v>1394</v>
      </c>
      <c r="E5" s="61" t="s">
        <v>1395</v>
      </c>
      <c r="F5" s="62">
        <v>240</v>
      </c>
      <c r="G5" s="62">
        <v>24</v>
      </c>
      <c r="H5" s="62">
        <v>17</v>
      </c>
      <c r="I5" s="62">
        <v>12</v>
      </c>
      <c r="J5" s="63">
        <v>0.25</v>
      </c>
      <c r="K5" s="62">
        <v>50</v>
      </c>
      <c r="L5" s="62">
        <v>30</v>
      </c>
      <c r="M5" s="62" t="s">
        <v>1394</v>
      </c>
      <c r="N5" s="61" t="s">
        <v>5486</v>
      </c>
    </row>
    <row r="6" spans="1:14" ht="66" customHeight="1">
      <c r="A6" s="61" t="s">
        <v>1402</v>
      </c>
      <c r="B6" s="61" t="s">
        <v>127</v>
      </c>
      <c r="C6" s="61" t="s">
        <v>1250</v>
      </c>
      <c r="D6" s="61" t="s">
        <v>1407</v>
      </c>
      <c r="E6" s="61" t="s">
        <v>1408</v>
      </c>
      <c r="F6" s="62">
        <v>170</v>
      </c>
      <c r="G6" s="62">
        <v>20</v>
      </c>
      <c r="H6" s="62">
        <v>12</v>
      </c>
      <c r="I6" s="62">
        <v>14</v>
      </c>
      <c r="J6" s="63">
        <v>0.18</v>
      </c>
      <c r="K6" s="62">
        <v>35</v>
      </c>
      <c r="L6" s="62">
        <v>20</v>
      </c>
      <c r="M6" s="62" t="s">
        <v>1407</v>
      </c>
      <c r="N6" s="61" t="s">
        <v>5487</v>
      </c>
    </row>
    <row r="7" spans="1:14" ht="66" customHeight="1">
      <c r="A7" s="61" t="s">
        <v>1414</v>
      </c>
      <c r="B7" s="61" t="s">
        <v>127</v>
      </c>
      <c r="C7" s="61" t="s">
        <v>1271</v>
      </c>
      <c r="D7" s="61" t="s">
        <v>1419</v>
      </c>
      <c r="E7" s="61" t="s">
        <v>1420</v>
      </c>
      <c r="F7" s="62">
        <v>360</v>
      </c>
      <c r="G7" s="62">
        <v>29</v>
      </c>
      <c r="H7" s="62">
        <v>21</v>
      </c>
      <c r="I7" s="62">
        <v>10</v>
      </c>
      <c r="J7" s="63">
        <v>0.3</v>
      </c>
      <c r="K7" s="62">
        <v>75</v>
      </c>
      <c r="L7" s="62">
        <v>45</v>
      </c>
      <c r="M7" s="62" t="s">
        <v>1419</v>
      </c>
      <c r="N7" s="61" t="s">
        <v>5488</v>
      </c>
    </row>
    <row r="8" spans="1:14" ht="66" customHeight="1">
      <c r="A8" s="61" t="s">
        <v>1426</v>
      </c>
      <c r="B8" s="61" t="s">
        <v>127</v>
      </c>
      <c r="C8" s="61" t="s">
        <v>1254</v>
      </c>
      <c r="D8" s="61" t="s">
        <v>1394</v>
      </c>
      <c r="E8" s="61" t="s">
        <v>1432</v>
      </c>
      <c r="F8" s="62">
        <v>250</v>
      </c>
      <c r="G8" s="62">
        <v>23</v>
      </c>
      <c r="H8" s="62">
        <v>19</v>
      </c>
      <c r="I8" s="62">
        <v>9</v>
      </c>
      <c r="J8" s="63">
        <v>0.24</v>
      </c>
      <c r="K8" s="62">
        <v>50</v>
      </c>
      <c r="L8" s="62">
        <v>30</v>
      </c>
      <c r="M8" s="62" t="s">
        <v>1394</v>
      </c>
      <c r="N8" s="61" t="s">
        <v>5486</v>
      </c>
    </row>
    <row r="9" spans="1:14" ht="66" customHeight="1">
      <c r="A9" s="61" t="s">
        <v>1438</v>
      </c>
      <c r="B9" s="61" t="s">
        <v>127</v>
      </c>
      <c r="C9" s="61" t="s">
        <v>1253</v>
      </c>
      <c r="D9" s="61" t="s">
        <v>1419</v>
      </c>
      <c r="E9" s="61" t="s">
        <v>1444</v>
      </c>
      <c r="F9" s="62">
        <v>330</v>
      </c>
      <c r="G9" s="62">
        <v>27</v>
      </c>
      <c r="H9" s="62">
        <v>18</v>
      </c>
      <c r="I9" s="62">
        <v>15</v>
      </c>
      <c r="J9" s="63">
        <v>0.32</v>
      </c>
      <c r="K9" s="62">
        <v>75</v>
      </c>
      <c r="L9" s="62">
        <v>45</v>
      </c>
      <c r="M9" s="62" t="s">
        <v>1419</v>
      </c>
      <c r="N9" s="61" t="s">
        <v>5488</v>
      </c>
    </row>
    <row r="10" spans="1:14" ht="66" customHeight="1">
      <c r="A10" s="61" t="s">
        <v>1450</v>
      </c>
      <c r="B10" s="61" t="s">
        <v>127</v>
      </c>
      <c r="C10" s="61" t="s">
        <v>1270</v>
      </c>
      <c r="D10" s="61" t="s">
        <v>1407</v>
      </c>
      <c r="E10" s="61" t="s">
        <v>1456</v>
      </c>
      <c r="F10" s="62">
        <v>160</v>
      </c>
      <c r="G10" s="62">
        <v>18</v>
      </c>
      <c r="H10" s="62">
        <v>14</v>
      </c>
      <c r="I10" s="62">
        <v>16</v>
      </c>
      <c r="J10" s="63">
        <v>0.18</v>
      </c>
      <c r="K10" s="62">
        <v>35</v>
      </c>
      <c r="L10" s="62">
        <v>20</v>
      </c>
      <c r="M10" s="62" t="s">
        <v>1407</v>
      </c>
      <c r="N10" s="61" t="s">
        <v>5487</v>
      </c>
    </row>
    <row r="11" spans="1:14" ht="66" customHeight="1">
      <c r="A11" s="61" t="s">
        <v>1462</v>
      </c>
      <c r="B11" s="61" t="s">
        <v>127</v>
      </c>
      <c r="C11" s="61" t="s">
        <v>1255</v>
      </c>
      <c r="D11" s="61" t="s">
        <v>1419</v>
      </c>
      <c r="E11" s="61" t="s">
        <v>1467</v>
      </c>
      <c r="F11" s="62">
        <v>340</v>
      </c>
      <c r="G11" s="62">
        <v>26</v>
      </c>
      <c r="H11" s="62">
        <v>20</v>
      </c>
      <c r="I11" s="62">
        <v>11</v>
      </c>
      <c r="J11" s="63">
        <v>0.28000000000000003</v>
      </c>
      <c r="K11" s="62">
        <v>75</v>
      </c>
      <c r="L11" s="62">
        <v>45</v>
      </c>
      <c r="M11" s="62" t="s">
        <v>1419</v>
      </c>
      <c r="N11" s="61" t="s">
        <v>5488</v>
      </c>
    </row>
    <row r="12" spans="1:14" ht="66" customHeight="1">
      <c r="A12" s="61" t="s">
        <v>1473</v>
      </c>
      <c r="B12" s="61" t="s">
        <v>127</v>
      </c>
      <c r="C12" s="61" t="s">
        <v>1256</v>
      </c>
      <c r="D12" s="61" t="s">
        <v>1407</v>
      </c>
      <c r="E12" s="61" t="s">
        <v>1477</v>
      </c>
      <c r="F12" s="62">
        <v>180</v>
      </c>
      <c r="G12" s="62">
        <v>19</v>
      </c>
      <c r="H12" s="62">
        <v>13</v>
      </c>
      <c r="I12" s="62">
        <v>13</v>
      </c>
      <c r="J12" s="63">
        <v>0.2</v>
      </c>
      <c r="K12" s="62">
        <v>35</v>
      </c>
      <c r="L12" s="62">
        <v>20</v>
      </c>
      <c r="M12" s="62" t="s">
        <v>1407</v>
      </c>
      <c r="N12" s="61" t="s">
        <v>5487</v>
      </c>
    </row>
    <row r="13" spans="1:14" ht="66" customHeight="1">
      <c r="A13" s="61" t="s">
        <v>1483</v>
      </c>
      <c r="B13" s="61" t="s">
        <v>248</v>
      </c>
      <c r="C13" s="61" t="s">
        <v>1287</v>
      </c>
      <c r="D13" s="61" t="s">
        <v>1488</v>
      </c>
      <c r="E13" s="61" t="s">
        <v>1489</v>
      </c>
      <c r="F13" s="62">
        <v>520</v>
      </c>
      <c r="G13" s="62">
        <v>36</v>
      </c>
      <c r="H13" s="62">
        <v>26</v>
      </c>
      <c r="I13" s="62">
        <v>13</v>
      </c>
      <c r="J13" s="63">
        <v>0.35</v>
      </c>
      <c r="K13" s="62">
        <v>100</v>
      </c>
      <c r="L13" s="62">
        <v>60</v>
      </c>
      <c r="M13" s="62" t="s">
        <v>1488</v>
      </c>
      <c r="N13" s="61" t="s">
        <v>5489</v>
      </c>
    </row>
    <row r="14" spans="1:14" ht="66" customHeight="1">
      <c r="A14" s="61" t="s">
        <v>1495</v>
      </c>
      <c r="B14" s="61" t="s">
        <v>248</v>
      </c>
      <c r="C14" s="61" t="s">
        <v>1302</v>
      </c>
      <c r="D14" s="61" t="s">
        <v>1419</v>
      </c>
      <c r="E14" s="61" t="s">
        <v>1500</v>
      </c>
      <c r="F14" s="62">
        <v>380</v>
      </c>
      <c r="G14" s="62">
        <v>30</v>
      </c>
      <c r="H14" s="62">
        <v>22</v>
      </c>
      <c r="I14" s="62">
        <v>12</v>
      </c>
      <c r="J14" s="63">
        <v>0.3</v>
      </c>
      <c r="K14" s="62">
        <v>75</v>
      </c>
      <c r="L14" s="62">
        <v>45</v>
      </c>
      <c r="M14" s="62" t="s">
        <v>1419</v>
      </c>
      <c r="N14" s="61" t="s">
        <v>5488</v>
      </c>
    </row>
    <row r="15" spans="1:14" ht="66" customHeight="1">
      <c r="A15" s="61" t="s">
        <v>1506</v>
      </c>
      <c r="B15" s="61" t="s">
        <v>248</v>
      </c>
      <c r="C15" s="61" t="s">
        <v>1291</v>
      </c>
      <c r="D15" s="61" t="s">
        <v>1394</v>
      </c>
      <c r="E15" s="61" t="s">
        <v>1510</v>
      </c>
      <c r="F15" s="62">
        <v>260</v>
      </c>
      <c r="G15" s="62">
        <v>25</v>
      </c>
      <c r="H15" s="62">
        <v>16</v>
      </c>
      <c r="I15" s="62">
        <v>14</v>
      </c>
      <c r="J15" s="63">
        <v>0.24</v>
      </c>
      <c r="K15" s="62">
        <v>50</v>
      </c>
      <c r="L15" s="62">
        <v>30</v>
      </c>
      <c r="M15" s="62" t="s">
        <v>1394</v>
      </c>
      <c r="N15" s="61" t="s">
        <v>5486</v>
      </c>
    </row>
    <row r="16" spans="1:14" ht="66" customHeight="1">
      <c r="A16" s="61" t="s">
        <v>1516</v>
      </c>
      <c r="B16" s="61" t="s">
        <v>248</v>
      </c>
      <c r="C16" s="61" t="s">
        <v>1286</v>
      </c>
      <c r="D16" s="61" t="s">
        <v>1419</v>
      </c>
      <c r="E16" s="61" t="s">
        <v>1522</v>
      </c>
      <c r="F16" s="62">
        <v>400</v>
      </c>
      <c r="G16" s="62">
        <v>31</v>
      </c>
      <c r="H16" s="62">
        <v>23</v>
      </c>
      <c r="I16" s="62">
        <v>13</v>
      </c>
      <c r="J16" s="63">
        <v>0.32</v>
      </c>
      <c r="K16" s="62">
        <v>75</v>
      </c>
      <c r="L16" s="62">
        <v>45</v>
      </c>
      <c r="M16" s="62" t="s">
        <v>1419</v>
      </c>
      <c r="N16" s="61" t="s">
        <v>5488</v>
      </c>
    </row>
  </sheetData>
  <mergeCells count="2">
    <mergeCell ref="A1:N1"/>
    <mergeCell ref="A2:N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9"/>
  <sheetViews>
    <sheetView showGridLines="0" workbookViewId="0">
      <selection activeCell="M8" sqref="M8"/>
    </sheetView>
  </sheetViews>
  <sheetFormatPr baseColWidth="10" defaultColWidth="9" defaultRowHeight="14.25"/>
  <cols>
    <col min="1" max="1" width="16" customWidth="1"/>
    <col min="2" max="2" width="10" customWidth="1"/>
    <col min="3" max="3" width="40" customWidth="1"/>
    <col min="4" max="4" width="32" customWidth="1"/>
    <col min="5" max="5" width="28" customWidth="1"/>
    <col min="6" max="6" width="20" customWidth="1"/>
    <col min="7" max="8" width="52" customWidth="1"/>
    <col min="9" max="9" width="20" customWidth="1"/>
  </cols>
  <sheetData>
    <row r="1" spans="1:9" ht="18">
      <c r="A1" s="78" t="s">
        <v>5490</v>
      </c>
      <c r="B1" s="78" t="s">
        <v>5490</v>
      </c>
      <c r="C1" s="78" t="s">
        <v>5490</v>
      </c>
      <c r="D1" s="78" t="s">
        <v>5490</v>
      </c>
      <c r="E1" s="78" t="s">
        <v>5490</v>
      </c>
      <c r="F1" s="78" t="s">
        <v>5490</v>
      </c>
      <c r="G1" s="78" t="s">
        <v>5490</v>
      </c>
      <c r="H1" s="78" t="s">
        <v>5490</v>
      </c>
      <c r="I1" s="78" t="s">
        <v>5490</v>
      </c>
    </row>
    <row r="2" spans="1:9">
      <c r="A2" s="79" t="s">
        <v>5491</v>
      </c>
      <c r="B2" s="79" t="s">
        <v>5491</v>
      </c>
      <c r="C2" s="79" t="s">
        <v>5491</v>
      </c>
      <c r="D2" s="79" t="s">
        <v>5491</v>
      </c>
      <c r="E2" s="79" t="s">
        <v>5491</v>
      </c>
      <c r="F2" s="79" t="s">
        <v>5491</v>
      </c>
      <c r="G2" s="79" t="s">
        <v>5491</v>
      </c>
      <c r="H2" s="79" t="s">
        <v>5491</v>
      </c>
      <c r="I2" s="79" t="s">
        <v>5491</v>
      </c>
    </row>
    <row r="4" spans="1:9" ht="26.45" customHeight="1">
      <c r="A4" s="60" t="s">
        <v>1195</v>
      </c>
      <c r="B4" s="60" t="s">
        <v>98</v>
      </c>
      <c r="C4" s="60" t="s">
        <v>552</v>
      </c>
      <c r="D4" s="60" t="s">
        <v>553</v>
      </c>
      <c r="E4" s="60" t="s">
        <v>120</v>
      </c>
      <c r="F4" s="60" t="s">
        <v>5492</v>
      </c>
      <c r="G4" s="60" t="s">
        <v>5493</v>
      </c>
      <c r="H4" s="60" t="s">
        <v>5494</v>
      </c>
      <c r="I4" s="60" t="s">
        <v>1385</v>
      </c>
    </row>
    <row r="5" spans="1:9" ht="132" customHeight="1">
      <c r="A5" s="61" t="s">
        <v>1208</v>
      </c>
      <c r="B5" s="61" t="s">
        <v>127</v>
      </c>
      <c r="C5" s="61" t="s">
        <v>591</v>
      </c>
      <c r="D5" s="61" t="s">
        <v>592</v>
      </c>
      <c r="E5" s="61" t="s">
        <v>5495</v>
      </c>
      <c r="F5" s="61" t="s">
        <v>5496</v>
      </c>
      <c r="G5" s="61" t="s">
        <v>5497</v>
      </c>
      <c r="H5" s="61" t="s">
        <v>5498</v>
      </c>
      <c r="I5" s="61" t="s">
        <v>6056</v>
      </c>
    </row>
    <row r="6" spans="1:9" ht="132" customHeight="1">
      <c r="A6" s="61" t="s">
        <v>1217</v>
      </c>
      <c r="B6" s="61" t="s">
        <v>127</v>
      </c>
      <c r="C6" s="61" t="s">
        <v>680</v>
      </c>
      <c r="D6" s="61" t="s">
        <v>681</v>
      </c>
      <c r="E6" s="61" t="s">
        <v>5495</v>
      </c>
      <c r="F6" s="61" t="s">
        <v>5496</v>
      </c>
      <c r="G6" s="61" t="s">
        <v>5497</v>
      </c>
      <c r="H6" s="61" t="s">
        <v>5498</v>
      </c>
      <c r="I6" s="61" t="s">
        <v>6056</v>
      </c>
    </row>
    <row r="7" spans="1:9" ht="132" customHeight="1">
      <c r="A7" s="61" t="s">
        <v>1221</v>
      </c>
      <c r="B7" s="61" t="s">
        <v>127</v>
      </c>
      <c r="C7" s="61" t="s">
        <v>799</v>
      </c>
      <c r="D7" s="61" t="s">
        <v>800</v>
      </c>
      <c r="E7" s="61" t="s">
        <v>5495</v>
      </c>
      <c r="F7" s="61" t="s">
        <v>5496</v>
      </c>
      <c r="G7" s="61" t="s">
        <v>5497</v>
      </c>
      <c r="H7" s="61" t="s">
        <v>5498</v>
      </c>
      <c r="I7" s="61" t="s">
        <v>6056</v>
      </c>
    </row>
    <row r="8" spans="1:9" ht="132" customHeight="1">
      <c r="A8" s="61" t="s">
        <v>1232</v>
      </c>
      <c r="B8" s="61" t="s">
        <v>248</v>
      </c>
      <c r="C8" s="61" t="s">
        <v>929</v>
      </c>
      <c r="D8" s="61" t="s">
        <v>504</v>
      </c>
      <c r="E8" s="61" t="s">
        <v>5495</v>
      </c>
      <c r="F8" s="61" t="s">
        <v>5496</v>
      </c>
      <c r="G8" s="61" t="s">
        <v>5497</v>
      </c>
      <c r="H8" s="61" t="s">
        <v>5498</v>
      </c>
      <c r="I8" s="61" t="s">
        <v>6056</v>
      </c>
    </row>
    <row r="9" spans="1:9" ht="132" customHeight="1">
      <c r="A9" s="61" t="s">
        <v>1236</v>
      </c>
      <c r="B9" s="61" t="s">
        <v>248</v>
      </c>
      <c r="C9" s="61" t="s">
        <v>1101</v>
      </c>
      <c r="D9" s="61" t="s">
        <v>530</v>
      </c>
      <c r="E9" s="61" t="s">
        <v>5495</v>
      </c>
      <c r="F9" s="61" t="s">
        <v>5496</v>
      </c>
      <c r="G9" s="61" t="s">
        <v>5497</v>
      </c>
      <c r="H9" s="61" t="s">
        <v>5498</v>
      </c>
      <c r="I9" s="61" t="s">
        <v>6056</v>
      </c>
    </row>
  </sheetData>
  <mergeCells count="2">
    <mergeCell ref="A1:I1"/>
    <mergeCell ref="A2:I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M176"/>
  <sheetViews>
    <sheetView showGridLines="0" topLeftCell="C161" workbookViewId="0">
      <selection activeCell="L5" sqref="L5:L176"/>
    </sheetView>
  </sheetViews>
  <sheetFormatPr baseColWidth="10" defaultColWidth="9" defaultRowHeight="14.25"/>
  <cols>
    <col min="1" max="1" width="30" customWidth="1"/>
    <col min="2" max="2" width="24" customWidth="1"/>
    <col min="3" max="3" width="22" customWidth="1"/>
    <col min="4" max="4" width="30" customWidth="1"/>
    <col min="5" max="5" width="32" customWidth="1"/>
    <col min="6" max="6" width="22" customWidth="1"/>
    <col min="7" max="7" width="90" customWidth="1"/>
    <col min="8" max="8" width="75" customWidth="1"/>
    <col min="9" max="9" width="72" customWidth="1"/>
    <col min="10" max="10" width="12" customWidth="1"/>
    <col min="11" max="11" width="24" customWidth="1"/>
    <col min="12" max="12" width="22" customWidth="1"/>
    <col min="13" max="13" width="34" customWidth="1"/>
  </cols>
  <sheetData>
    <row r="1" spans="1:13" ht="18">
      <c r="A1" s="78" t="s">
        <v>5499</v>
      </c>
      <c r="B1" s="78" t="s">
        <v>5499</v>
      </c>
      <c r="C1" s="78" t="s">
        <v>5499</v>
      </c>
      <c r="D1" s="78" t="s">
        <v>5499</v>
      </c>
      <c r="E1" s="78" t="s">
        <v>5499</v>
      </c>
      <c r="F1" s="78" t="s">
        <v>5499</v>
      </c>
      <c r="G1" s="78" t="s">
        <v>5499</v>
      </c>
      <c r="H1" s="78" t="s">
        <v>5499</v>
      </c>
      <c r="I1" s="78" t="s">
        <v>5499</v>
      </c>
      <c r="J1" s="78" t="s">
        <v>5499</v>
      </c>
      <c r="K1" s="78" t="s">
        <v>5499</v>
      </c>
      <c r="L1" s="78" t="s">
        <v>5499</v>
      </c>
      <c r="M1" s="78" t="s">
        <v>5499</v>
      </c>
    </row>
    <row r="2" spans="1:13">
      <c r="A2" s="79" t="s">
        <v>5500</v>
      </c>
      <c r="B2" s="79" t="s">
        <v>5500</v>
      </c>
      <c r="C2" s="79" t="s">
        <v>5500</v>
      </c>
      <c r="D2" s="79" t="s">
        <v>5500</v>
      </c>
      <c r="E2" s="79" t="s">
        <v>5500</v>
      </c>
      <c r="F2" s="79" t="s">
        <v>5500</v>
      </c>
      <c r="G2" s="79" t="s">
        <v>5500</v>
      </c>
      <c r="H2" s="79" t="s">
        <v>5500</v>
      </c>
      <c r="I2" s="79" t="s">
        <v>5500</v>
      </c>
      <c r="J2" s="79" t="s">
        <v>5500</v>
      </c>
      <c r="K2" s="79" t="s">
        <v>5500</v>
      </c>
      <c r="L2" s="79" t="s">
        <v>5500</v>
      </c>
      <c r="M2" s="79" t="s">
        <v>5500</v>
      </c>
    </row>
    <row r="4" spans="1:13" ht="15" customHeight="1">
      <c r="A4" s="60" t="s">
        <v>5501</v>
      </c>
      <c r="B4" s="60" t="s">
        <v>5502</v>
      </c>
      <c r="C4" s="60" t="s">
        <v>5503</v>
      </c>
      <c r="D4" s="60" t="s">
        <v>5504</v>
      </c>
      <c r="E4" s="60" t="s">
        <v>5505</v>
      </c>
      <c r="F4" s="60" t="s">
        <v>5506</v>
      </c>
      <c r="G4" s="60" t="s">
        <v>5507</v>
      </c>
      <c r="H4" s="60" t="s">
        <v>5508</v>
      </c>
      <c r="I4" s="60" t="s">
        <v>5509</v>
      </c>
      <c r="J4" s="60" t="s">
        <v>5510</v>
      </c>
      <c r="K4" s="60" t="s">
        <v>5511</v>
      </c>
      <c r="L4" s="60" t="s">
        <v>1385</v>
      </c>
      <c r="M4" s="60" t="s">
        <v>5512</v>
      </c>
    </row>
    <row r="5" spans="1:13" ht="66" customHeight="1">
      <c r="A5" s="61" t="s">
        <v>5513</v>
      </c>
      <c r="B5" s="61" t="s">
        <v>5514</v>
      </c>
      <c r="C5" s="61" t="s">
        <v>5515</v>
      </c>
      <c r="D5" s="61" t="s">
        <v>1549</v>
      </c>
      <c r="E5" s="61" t="s">
        <v>1550</v>
      </c>
      <c r="F5" s="61" t="s">
        <v>5516</v>
      </c>
      <c r="G5" s="61" t="s">
        <v>4060</v>
      </c>
      <c r="H5" s="61" t="s">
        <v>5517</v>
      </c>
      <c r="I5" s="61" t="s">
        <v>5518</v>
      </c>
      <c r="J5" s="61"/>
      <c r="K5" s="61" t="s">
        <v>5519</v>
      </c>
      <c r="L5" s="61" t="s">
        <v>6056</v>
      </c>
      <c r="M5" s="61" t="s">
        <v>5520</v>
      </c>
    </row>
    <row r="6" spans="1:13" ht="66" customHeight="1">
      <c r="A6" s="61" t="s">
        <v>4062</v>
      </c>
      <c r="B6" s="61" t="s">
        <v>5521</v>
      </c>
      <c r="C6" s="61" t="s">
        <v>5522</v>
      </c>
      <c r="D6" s="61" t="s">
        <v>1549</v>
      </c>
      <c r="E6" s="61" t="s">
        <v>1550</v>
      </c>
      <c r="F6" s="61" t="s">
        <v>5523</v>
      </c>
      <c r="G6" s="61" t="s">
        <v>4060</v>
      </c>
      <c r="H6" s="61" t="s">
        <v>5524</v>
      </c>
      <c r="I6" s="61" t="s">
        <v>5525</v>
      </c>
      <c r="J6" s="61" t="s">
        <v>5526</v>
      </c>
      <c r="K6" s="61" t="s">
        <v>5527</v>
      </c>
      <c r="L6" s="61" t="s">
        <v>6056</v>
      </c>
      <c r="M6" s="61" t="s">
        <v>5528</v>
      </c>
    </row>
    <row r="7" spans="1:13" ht="66" customHeight="1">
      <c r="A7" s="61" t="s">
        <v>5529</v>
      </c>
      <c r="B7" s="61" t="s">
        <v>5514</v>
      </c>
      <c r="C7" s="61" t="s">
        <v>5515</v>
      </c>
      <c r="D7" s="61" t="s">
        <v>1565</v>
      </c>
      <c r="E7" s="61" t="s">
        <v>1566</v>
      </c>
      <c r="F7" s="61" t="s">
        <v>5516</v>
      </c>
      <c r="G7" s="61" t="s">
        <v>4070</v>
      </c>
      <c r="H7" s="61" t="s">
        <v>5517</v>
      </c>
      <c r="I7" s="61" t="s">
        <v>5518</v>
      </c>
      <c r="J7" s="61"/>
      <c r="K7" s="61" t="s">
        <v>5519</v>
      </c>
      <c r="L7" s="61" t="s">
        <v>6056</v>
      </c>
      <c r="M7" s="61" t="s">
        <v>5530</v>
      </c>
    </row>
    <row r="8" spans="1:13" ht="66" customHeight="1">
      <c r="A8" s="61" t="s">
        <v>4071</v>
      </c>
      <c r="B8" s="61" t="s">
        <v>5521</v>
      </c>
      <c r="C8" s="61" t="s">
        <v>5522</v>
      </c>
      <c r="D8" s="61" t="s">
        <v>1565</v>
      </c>
      <c r="E8" s="61" t="s">
        <v>1566</v>
      </c>
      <c r="F8" s="61" t="s">
        <v>5523</v>
      </c>
      <c r="G8" s="61" t="s">
        <v>4070</v>
      </c>
      <c r="H8" s="61" t="s">
        <v>5531</v>
      </c>
      <c r="I8" s="61" t="s">
        <v>5525</v>
      </c>
      <c r="J8" s="61" t="s">
        <v>5526</v>
      </c>
      <c r="K8" s="61" t="s">
        <v>5527</v>
      </c>
      <c r="L8" s="61" t="s">
        <v>6056</v>
      </c>
      <c r="M8" s="61" t="s">
        <v>5532</v>
      </c>
    </row>
    <row r="9" spans="1:13" ht="66" customHeight="1">
      <c r="A9" s="61" t="s">
        <v>5533</v>
      </c>
      <c r="B9" s="61" t="s">
        <v>5514</v>
      </c>
      <c r="C9" s="61" t="s">
        <v>5515</v>
      </c>
      <c r="D9" s="61" t="s">
        <v>1575</v>
      </c>
      <c r="E9" s="61" t="s">
        <v>1576</v>
      </c>
      <c r="F9" s="61" t="s">
        <v>5516</v>
      </c>
      <c r="G9" s="61" t="s">
        <v>4078</v>
      </c>
      <c r="H9" s="61" t="s">
        <v>5517</v>
      </c>
      <c r="I9" s="61" t="s">
        <v>5518</v>
      </c>
      <c r="J9" s="61"/>
      <c r="K9" s="61" t="s">
        <v>5519</v>
      </c>
      <c r="L9" s="61" t="s">
        <v>6056</v>
      </c>
      <c r="M9" s="61" t="s">
        <v>5534</v>
      </c>
    </row>
    <row r="10" spans="1:13" ht="66" customHeight="1">
      <c r="A10" s="61" t="s">
        <v>4079</v>
      </c>
      <c r="B10" s="61" t="s">
        <v>5521</v>
      </c>
      <c r="C10" s="61" t="s">
        <v>5522</v>
      </c>
      <c r="D10" s="61" t="s">
        <v>1575</v>
      </c>
      <c r="E10" s="61" t="s">
        <v>1576</v>
      </c>
      <c r="F10" s="61" t="s">
        <v>5523</v>
      </c>
      <c r="G10" s="61" t="s">
        <v>4078</v>
      </c>
      <c r="H10" s="61" t="s">
        <v>5535</v>
      </c>
      <c r="I10" s="61" t="s">
        <v>5525</v>
      </c>
      <c r="J10" s="61" t="s">
        <v>5526</v>
      </c>
      <c r="K10" s="61" t="s">
        <v>5527</v>
      </c>
      <c r="L10" s="61" t="s">
        <v>6056</v>
      </c>
      <c r="M10" s="61" t="s">
        <v>5536</v>
      </c>
    </row>
    <row r="11" spans="1:13" ht="66" customHeight="1">
      <c r="A11" s="61" t="s">
        <v>5537</v>
      </c>
      <c r="B11" s="61" t="s">
        <v>5514</v>
      </c>
      <c r="C11" s="61" t="s">
        <v>5515</v>
      </c>
      <c r="D11" s="61" t="s">
        <v>1583</v>
      </c>
      <c r="E11" s="61" t="s">
        <v>1584</v>
      </c>
      <c r="F11" s="61" t="s">
        <v>5516</v>
      </c>
      <c r="G11" s="61" t="s">
        <v>4086</v>
      </c>
      <c r="H11" s="61" t="s">
        <v>5517</v>
      </c>
      <c r="I11" s="61" t="s">
        <v>5518</v>
      </c>
      <c r="J11" s="61"/>
      <c r="K11" s="61" t="s">
        <v>5519</v>
      </c>
      <c r="L11" s="61" t="s">
        <v>6056</v>
      </c>
      <c r="M11" s="61" t="s">
        <v>5538</v>
      </c>
    </row>
    <row r="12" spans="1:13" ht="66" customHeight="1">
      <c r="A12" s="61" t="s">
        <v>4087</v>
      </c>
      <c r="B12" s="61" t="s">
        <v>5521</v>
      </c>
      <c r="C12" s="61" t="s">
        <v>5522</v>
      </c>
      <c r="D12" s="61" t="s">
        <v>1583</v>
      </c>
      <c r="E12" s="61" t="s">
        <v>1584</v>
      </c>
      <c r="F12" s="61" t="s">
        <v>5523</v>
      </c>
      <c r="G12" s="61" t="s">
        <v>4086</v>
      </c>
      <c r="H12" s="61" t="s">
        <v>5539</v>
      </c>
      <c r="I12" s="61" t="s">
        <v>5525</v>
      </c>
      <c r="J12" s="61" t="s">
        <v>5526</v>
      </c>
      <c r="K12" s="61" t="s">
        <v>5527</v>
      </c>
      <c r="L12" s="61" t="s">
        <v>6056</v>
      </c>
      <c r="M12" s="61" t="s">
        <v>5540</v>
      </c>
    </row>
    <row r="13" spans="1:13" ht="66" customHeight="1">
      <c r="A13" s="61" t="s">
        <v>5541</v>
      </c>
      <c r="B13" s="61" t="s">
        <v>5514</v>
      </c>
      <c r="C13" s="61" t="s">
        <v>5515</v>
      </c>
      <c r="D13" s="61" t="s">
        <v>1592</v>
      </c>
      <c r="E13" s="61" t="s">
        <v>1593</v>
      </c>
      <c r="F13" s="61" t="s">
        <v>5516</v>
      </c>
      <c r="G13" s="61" t="s">
        <v>4094</v>
      </c>
      <c r="H13" s="61" t="s">
        <v>5517</v>
      </c>
      <c r="I13" s="61" t="s">
        <v>5518</v>
      </c>
      <c r="J13" s="61"/>
      <c r="K13" s="61" t="s">
        <v>5519</v>
      </c>
      <c r="L13" s="61" t="s">
        <v>6056</v>
      </c>
      <c r="M13" s="61" t="s">
        <v>5542</v>
      </c>
    </row>
    <row r="14" spans="1:13" ht="66" customHeight="1">
      <c r="A14" s="61" t="s">
        <v>4095</v>
      </c>
      <c r="B14" s="61" t="s">
        <v>5521</v>
      </c>
      <c r="C14" s="61" t="s">
        <v>5522</v>
      </c>
      <c r="D14" s="61" t="s">
        <v>1592</v>
      </c>
      <c r="E14" s="61" t="s">
        <v>1593</v>
      </c>
      <c r="F14" s="61" t="s">
        <v>5523</v>
      </c>
      <c r="G14" s="61" t="s">
        <v>4094</v>
      </c>
      <c r="H14" s="61" t="s">
        <v>5543</v>
      </c>
      <c r="I14" s="61" t="s">
        <v>5525</v>
      </c>
      <c r="J14" s="61" t="s">
        <v>5526</v>
      </c>
      <c r="K14" s="61" t="s">
        <v>5527</v>
      </c>
      <c r="L14" s="61" t="s">
        <v>6056</v>
      </c>
      <c r="M14" s="61" t="s">
        <v>5544</v>
      </c>
    </row>
    <row r="15" spans="1:13" ht="66" customHeight="1">
      <c r="A15" s="61" t="s">
        <v>5545</v>
      </c>
      <c r="B15" s="61" t="s">
        <v>5514</v>
      </c>
      <c r="C15" s="61" t="s">
        <v>5515</v>
      </c>
      <c r="D15" s="61" t="s">
        <v>1598</v>
      </c>
      <c r="E15" s="61" t="s">
        <v>1599</v>
      </c>
      <c r="F15" s="61" t="s">
        <v>5516</v>
      </c>
      <c r="G15" s="61" t="s">
        <v>4103</v>
      </c>
      <c r="H15" s="61" t="s">
        <v>5517</v>
      </c>
      <c r="I15" s="61" t="s">
        <v>5518</v>
      </c>
      <c r="J15" s="61"/>
      <c r="K15" s="61" t="s">
        <v>5519</v>
      </c>
      <c r="L15" s="61" t="s">
        <v>6056</v>
      </c>
      <c r="M15" s="61" t="s">
        <v>5546</v>
      </c>
    </row>
    <row r="16" spans="1:13" ht="66" customHeight="1">
      <c r="A16" s="61" t="s">
        <v>4104</v>
      </c>
      <c r="B16" s="61" t="s">
        <v>5521</v>
      </c>
      <c r="C16" s="61" t="s">
        <v>5522</v>
      </c>
      <c r="D16" s="61" t="s">
        <v>1598</v>
      </c>
      <c r="E16" s="61" t="s">
        <v>1599</v>
      </c>
      <c r="F16" s="61" t="s">
        <v>5523</v>
      </c>
      <c r="G16" s="61" t="s">
        <v>4103</v>
      </c>
      <c r="H16" s="61" t="s">
        <v>5547</v>
      </c>
      <c r="I16" s="61" t="s">
        <v>5525</v>
      </c>
      <c r="J16" s="61" t="s">
        <v>5526</v>
      </c>
      <c r="K16" s="61" t="s">
        <v>5527</v>
      </c>
      <c r="L16" s="61" t="s">
        <v>6056</v>
      </c>
      <c r="M16" s="61" t="s">
        <v>5548</v>
      </c>
    </row>
    <row r="17" spans="1:13" ht="52.7" customHeight="1">
      <c r="A17" s="61" t="s">
        <v>5549</v>
      </c>
      <c r="B17" s="61" t="s">
        <v>5514</v>
      </c>
      <c r="C17" s="61" t="s">
        <v>5515</v>
      </c>
      <c r="D17" s="61" t="s">
        <v>1606</v>
      </c>
      <c r="E17" s="61" t="s">
        <v>1607</v>
      </c>
      <c r="F17" s="61" t="s">
        <v>5516</v>
      </c>
      <c r="G17" s="61" t="s">
        <v>4111</v>
      </c>
      <c r="H17" s="61" t="s">
        <v>5517</v>
      </c>
      <c r="I17" s="61" t="s">
        <v>5518</v>
      </c>
      <c r="J17" s="61"/>
      <c r="K17" s="61" t="s">
        <v>5519</v>
      </c>
      <c r="L17" s="61" t="s">
        <v>6056</v>
      </c>
      <c r="M17" s="61" t="s">
        <v>5550</v>
      </c>
    </row>
    <row r="18" spans="1:13" ht="52.7" customHeight="1">
      <c r="A18" s="61" t="s">
        <v>4112</v>
      </c>
      <c r="B18" s="61" t="s">
        <v>5521</v>
      </c>
      <c r="C18" s="61" t="s">
        <v>5522</v>
      </c>
      <c r="D18" s="61" t="s">
        <v>1606</v>
      </c>
      <c r="E18" s="61" t="s">
        <v>1607</v>
      </c>
      <c r="F18" s="61" t="s">
        <v>5523</v>
      </c>
      <c r="G18" s="61" t="s">
        <v>4111</v>
      </c>
      <c r="H18" s="61" t="s">
        <v>5551</v>
      </c>
      <c r="I18" s="61" t="s">
        <v>5525</v>
      </c>
      <c r="J18" s="61" t="s">
        <v>5526</v>
      </c>
      <c r="K18" s="61" t="s">
        <v>5527</v>
      </c>
      <c r="L18" s="61" t="s">
        <v>6056</v>
      </c>
      <c r="M18" s="61" t="s">
        <v>5552</v>
      </c>
    </row>
    <row r="19" spans="1:13" ht="66" customHeight="1">
      <c r="A19" s="61" t="s">
        <v>5553</v>
      </c>
      <c r="B19" s="61" t="s">
        <v>5514</v>
      </c>
      <c r="C19" s="61" t="s">
        <v>5515</v>
      </c>
      <c r="D19" s="61" t="s">
        <v>1615</v>
      </c>
      <c r="E19" s="61" t="s">
        <v>1616</v>
      </c>
      <c r="F19" s="61" t="s">
        <v>5516</v>
      </c>
      <c r="G19" s="61" t="s">
        <v>4119</v>
      </c>
      <c r="H19" s="61" t="s">
        <v>5517</v>
      </c>
      <c r="I19" s="61" t="s">
        <v>5518</v>
      </c>
      <c r="J19" s="61"/>
      <c r="K19" s="61" t="s">
        <v>5519</v>
      </c>
      <c r="L19" s="61" t="s">
        <v>6056</v>
      </c>
      <c r="M19" s="61" t="s">
        <v>5554</v>
      </c>
    </row>
    <row r="20" spans="1:13" ht="66" customHeight="1">
      <c r="A20" s="61" t="s">
        <v>4120</v>
      </c>
      <c r="B20" s="61" t="s">
        <v>5521</v>
      </c>
      <c r="C20" s="61" t="s">
        <v>5522</v>
      </c>
      <c r="D20" s="61" t="s">
        <v>1615</v>
      </c>
      <c r="E20" s="61" t="s">
        <v>1616</v>
      </c>
      <c r="F20" s="61" t="s">
        <v>5523</v>
      </c>
      <c r="G20" s="61" t="s">
        <v>4119</v>
      </c>
      <c r="H20" s="61" t="s">
        <v>5555</v>
      </c>
      <c r="I20" s="61" t="s">
        <v>5525</v>
      </c>
      <c r="J20" s="61" t="s">
        <v>5526</v>
      </c>
      <c r="K20" s="61" t="s">
        <v>5527</v>
      </c>
      <c r="L20" s="61" t="s">
        <v>6056</v>
      </c>
      <c r="M20" s="61" t="s">
        <v>5556</v>
      </c>
    </row>
    <row r="21" spans="1:13" ht="66" customHeight="1">
      <c r="A21" s="61" t="s">
        <v>5557</v>
      </c>
      <c r="B21" s="61" t="s">
        <v>5514</v>
      </c>
      <c r="C21" s="61" t="s">
        <v>5515</v>
      </c>
      <c r="D21" s="61" t="s">
        <v>1623</v>
      </c>
      <c r="E21" s="61" t="s">
        <v>1624</v>
      </c>
      <c r="F21" s="61" t="s">
        <v>5516</v>
      </c>
      <c r="G21" s="61" t="s">
        <v>4128</v>
      </c>
      <c r="H21" s="61" t="s">
        <v>5517</v>
      </c>
      <c r="I21" s="61" t="s">
        <v>5518</v>
      </c>
      <c r="J21" s="61"/>
      <c r="K21" s="61" t="s">
        <v>5519</v>
      </c>
      <c r="L21" s="61" t="s">
        <v>6056</v>
      </c>
      <c r="M21" s="61" t="s">
        <v>5558</v>
      </c>
    </row>
    <row r="22" spans="1:13" ht="66" customHeight="1">
      <c r="A22" s="61" t="s">
        <v>4129</v>
      </c>
      <c r="B22" s="61" t="s">
        <v>5521</v>
      </c>
      <c r="C22" s="61" t="s">
        <v>5522</v>
      </c>
      <c r="D22" s="61" t="s">
        <v>1623</v>
      </c>
      <c r="E22" s="61" t="s">
        <v>1624</v>
      </c>
      <c r="F22" s="61" t="s">
        <v>5523</v>
      </c>
      <c r="G22" s="61" t="s">
        <v>4128</v>
      </c>
      <c r="H22" s="61" t="s">
        <v>5559</v>
      </c>
      <c r="I22" s="61" t="s">
        <v>5525</v>
      </c>
      <c r="J22" s="61" t="s">
        <v>5526</v>
      </c>
      <c r="K22" s="61" t="s">
        <v>5527</v>
      </c>
      <c r="L22" s="61" t="s">
        <v>6056</v>
      </c>
      <c r="M22" s="61" t="s">
        <v>5560</v>
      </c>
    </row>
    <row r="23" spans="1:13" ht="66" customHeight="1">
      <c r="A23" s="61" t="s">
        <v>5561</v>
      </c>
      <c r="B23" s="61" t="s">
        <v>5514</v>
      </c>
      <c r="C23" s="61" t="s">
        <v>5515</v>
      </c>
      <c r="D23" s="61" t="s">
        <v>1632</v>
      </c>
      <c r="E23" s="61" t="s">
        <v>1633</v>
      </c>
      <c r="F23" s="61" t="s">
        <v>5516</v>
      </c>
      <c r="G23" s="61" t="s">
        <v>4136</v>
      </c>
      <c r="H23" s="61" t="s">
        <v>5517</v>
      </c>
      <c r="I23" s="61" t="s">
        <v>5518</v>
      </c>
      <c r="J23" s="61"/>
      <c r="K23" s="61" t="s">
        <v>5519</v>
      </c>
      <c r="L23" s="61" t="s">
        <v>6056</v>
      </c>
      <c r="M23" s="61" t="s">
        <v>5562</v>
      </c>
    </row>
    <row r="24" spans="1:13" ht="66" customHeight="1">
      <c r="A24" s="61" t="s">
        <v>4137</v>
      </c>
      <c r="B24" s="61" t="s">
        <v>5521</v>
      </c>
      <c r="C24" s="61" t="s">
        <v>5522</v>
      </c>
      <c r="D24" s="61" t="s">
        <v>1632</v>
      </c>
      <c r="E24" s="61" t="s">
        <v>1633</v>
      </c>
      <c r="F24" s="61" t="s">
        <v>5523</v>
      </c>
      <c r="G24" s="61" t="s">
        <v>4136</v>
      </c>
      <c r="H24" s="61" t="s">
        <v>5563</v>
      </c>
      <c r="I24" s="61" t="s">
        <v>5525</v>
      </c>
      <c r="J24" s="61" t="s">
        <v>5526</v>
      </c>
      <c r="K24" s="61" t="s">
        <v>5527</v>
      </c>
      <c r="L24" s="61" t="s">
        <v>6056</v>
      </c>
      <c r="M24" s="61" t="s">
        <v>5564</v>
      </c>
    </row>
    <row r="25" spans="1:13" ht="52.7" customHeight="1">
      <c r="A25" s="61" t="s">
        <v>5565</v>
      </c>
      <c r="B25" s="61" t="s">
        <v>5514</v>
      </c>
      <c r="C25" s="61" t="s">
        <v>5515</v>
      </c>
      <c r="D25" s="61" t="s">
        <v>1640</v>
      </c>
      <c r="E25" s="61" t="s">
        <v>1641</v>
      </c>
      <c r="F25" s="61" t="s">
        <v>5516</v>
      </c>
      <c r="G25" s="61" t="s">
        <v>4144</v>
      </c>
      <c r="H25" s="61" t="s">
        <v>5517</v>
      </c>
      <c r="I25" s="61" t="s">
        <v>5518</v>
      </c>
      <c r="J25" s="61"/>
      <c r="K25" s="61" t="s">
        <v>5519</v>
      </c>
      <c r="L25" s="61" t="s">
        <v>6056</v>
      </c>
      <c r="M25" s="61" t="s">
        <v>5566</v>
      </c>
    </row>
    <row r="26" spans="1:13" ht="52.7" customHeight="1">
      <c r="A26" s="61" t="s">
        <v>4145</v>
      </c>
      <c r="B26" s="61" t="s">
        <v>5521</v>
      </c>
      <c r="C26" s="61" t="s">
        <v>5522</v>
      </c>
      <c r="D26" s="61" t="s">
        <v>1640</v>
      </c>
      <c r="E26" s="61" t="s">
        <v>1641</v>
      </c>
      <c r="F26" s="61" t="s">
        <v>5523</v>
      </c>
      <c r="G26" s="61" t="s">
        <v>4144</v>
      </c>
      <c r="H26" s="61" t="s">
        <v>5567</v>
      </c>
      <c r="I26" s="61" t="s">
        <v>5525</v>
      </c>
      <c r="J26" s="61" t="s">
        <v>5526</v>
      </c>
      <c r="K26" s="61" t="s">
        <v>5527</v>
      </c>
      <c r="L26" s="61" t="s">
        <v>6056</v>
      </c>
      <c r="M26" s="61" t="s">
        <v>5568</v>
      </c>
    </row>
    <row r="27" spans="1:13" ht="52.7" customHeight="1">
      <c r="A27" s="61" t="s">
        <v>5569</v>
      </c>
      <c r="B27" s="61" t="s">
        <v>5514</v>
      </c>
      <c r="C27" s="61" t="s">
        <v>5515</v>
      </c>
      <c r="D27" s="61" t="s">
        <v>1646</v>
      </c>
      <c r="E27" s="61" t="s">
        <v>1647</v>
      </c>
      <c r="F27" s="61" t="s">
        <v>5516</v>
      </c>
      <c r="G27" s="61" t="s">
        <v>4152</v>
      </c>
      <c r="H27" s="61" t="s">
        <v>5517</v>
      </c>
      <c r="I27" s="61" t="s">
        <v>5518</v>
      </c>
      <c r="J27" s="61"/>
      <c r="K27" s="61" t="s">
        <v>5519</v>
      </c>
      <c r="L27" s="61" t="s">
        <v>6056</v>
      </c>
      <c r="M27" s="61" t="s">
        <v>5570</v>
      </c>
    </row>
    <row r="28" spans="1:13" ht="52.7" customHeight="1">
      <c r="A28" s="61" t="s">
        <v>4153</v>
      </c>
      <c r="B28" s="61" t="s">
        <v>5521</v>
      </c>
      <c r="C28" s="61" t="s">
        <v>5522</v>
      </c>
      <c r="D28" s="61" t="s">
        <v>1646</v>
      </c>
      <c r="E28" s="61" t="s">
        <v>1647</v>
      </c>
      <c r="F28" s="61" t="s">
        <v>5523</v>
      </c>
      <c r="G28" s="61" t="s">
        <v>4152</v>
      </c>
      <c r="H28" s="61" t="s">
        <v>5571</v>
      </c>
      <c r="I28" s="61" t="s">
        <v>5525</v>
      </c>
      <c r="J28" s="61" t="s">
        <v>5526</v>
      </c>
      <c r="K28" s="61" t="s">
        <v>5527</v>
      </c>
      <c r="L28" s="61" t="s">
        <v>6056</v>
      </c>
      <c r="M28" s="61" t="s">
        <v>5572</v>
      </c>
    </row>
    <row r="29" spans="1:13" ht="66" customHeight="1">
      <c r="A29" s="61" t="s">
        <v>5573</v>
      </c>
      <c r="B29" s="61" t="s">
        <v>5514</v>
      </c>
      <c r="C29" s="61" t="s">
        <v>5515</v>
      </c>
      <c r="D29" s="61" t="s">
        <v>1654</v>
      </c>
      <c r="E29" s="61" t="s">
        <v>1655</v>
      </c>
      <c r="F29" s="61" t="s">
        <v>5516</v>
      </c>
      <c r="G29" s="61" t="s">
        <v>4160</v>
      </c>
      <c r="H29" s="61" t="s">
        <v>5517</v>
      </c>
      <c r="I29" s="61" t="s">
        <v>5518</v>
      </c>
      <c r="J29" s="61"/>
      <c r="K29" s="61" t="s">
        <v>5519</v>
      </c>
      <c r="L29" s="61" t="s">
        <v>6056</v>
      </c>
      <c r="M29" s="61" t="s">
        <v>5574</v>
      </c>
    </row>
    <row r="30" spans="1:13" ht="66" customHeight="1">
      <c r="A30" s="61" t="s">
        <v>4161</v>
      </c>
      <c r="B30" s="61" t="s">
        <v>5521</v>
      </c>
      <c r="C30" s="61" t="s">
        <v>5522</v>
      </c>
      <c r="D30" s="61" t="s">
        <v>1654</v>
      </c>
      <c r="E30" s="61" t="s">
        <v>1655</v>
      </c>
      <c r="F30" s="61" t="s">
        <v>5523</v>
      </c>
      <c r="G30" s="61" t="s">
        <v>4160</v>
      </c>
      <c r="H30" s="61" t="s">
        <v>5575</v>
      </c>
      <c r="I30" s="61" t="s">
        <v>5525</v>
      </c>
      <c r="J30" s="61" t="s">
        <v>5526</v>
      </c>
      <c r="K30" s="61" t="s">
        <v>5527</v>
      </c>
      <c r="L30" s="61" t="s">
        <v>6056</v>
      </c>
      <c r="M30" s="61" t="s">
        <v>5576</v>
      </c>
    </row>
    <row r="31" spans="1:13" ht="66" customHeight="1">
      <c r="A31" s="61" t="s">
        <v>5577</v>
      </c>
      <c r="B31" s="61" t="s">
        <v>5514</v>
      </c>
      <c r="C31" s="61" t="s">
        <v>5515</v>
      </c>
      <c r="D31" s="61" t="s">
        <v>1662</v>
      </c>
      <c r="E31" s="61" t="s">
        <v>1663</v>
      </c>
      <c r="F31" s="61" t="s">
        <v>5516</v>
      </c>
      <c r="G31" s="61" t="s">
        <v>4168</v>
      </c>
      <c r="H31" s="61" t="s">
        <v>5517</v>
      </c>
      <c r="I31" s="61" t="s">
        <v>5518</v>
      </c>
      <c r="J31" s="61"/>
      <c r="K31" s="61" t="s">
        <v>5519</v>
      </c>
      <c r="L31" s="61" t="s">
        <v>6056</v>
      </c>
      <c r="M31" s="61" t="s">
        <v>5578</v>
      </c>
    </row>
    <row r="32" spans="1:13" ht="66" customHeight="1">
      <c r="A32" s="61" t="s">
        <v>4169</v>
      </c>
      <c r="B32" s="61" t="s">
        <v>5521</v>
      </c>
      <c r="C32" s="61" t="s">
        <v>5522</v>
      </c>
      <c r="D32" s="61" t="s">
        <v>1662</v>
      </c>
      <c r="E32" s="61" t="s">
        <v>1663</v>
      </c>
      <c r="F32" s="61" t="s">
        <v>5523</v>
      </c>
      <c r="G32" s="61" t="s">
        <v>4168</v>
      </c>
      <c r="H32" s="61" t="s">
        <v>5579</v>
      </c>
      <c r="I32" s="61" t="s">
        <v>5525</v>
      </c>
      <c r="J32" s="61" t="s">
        <v>5526</v>
      </c>
      <c r="K32" s="61" t="s">
        <v>5527</v>
      </c>
      <c r="L32" s="61" t="s">
        <v>6056</v>
      </c>
      <c r="M32" s="61" t="s">
        <v>5580</v>
      </c>
    </row>
    <row r="33" spans="1:13" ht="66" customHeight="1">
      <c r="A33" s="61" t="s">
        <v>5581</v>
      </c>
      <c r="B33" s="61" t="s">
        <v>5514</v>
      </c>
      <c r="C33" s="61" t="s">
        <v>5515</v>
      </c>
      <c r="D33" s="61" t="s">
        <v>1669</v>
      </c>
      <c r="E33" s="61" t="s">
        <v>1670</v>
      </c>
      <c r="F33" s="61" t="s">
        <v>5516</v>
      </c>
      <c r="G33" s="61" t="s">
        <v>4176</v>
      </c>
      <c r="H33" s="61" t="s">
        <v>5517</v>
      </c>
      <c r="I33" s="61" t="s">
        <v>5518</v>
      </c>
      <c r="J33" s="61"/>
      <c r="K33" s="61" t="s">
        <v>5519</v>
      </c>
      <c r="L33" s="61" t="s">
        <v>6056</v>
      </c>
      <c r="M33" s="61" t="s">
        <v>5582</v>
      </c>
    </row>
    <row r="34" spans="1:13" ht="66" customHeight="1">
      <c r="A34" s="61" t="s">
        <v>4177</v>
      </c>
      <c r="B34" s="61" t="s">
        <v>5521</v>
      </c>
      <c r="C34" s="61" t="s">
        <v>5522</v>
      </c>
      <c r="D34" s="61" t="s">
        <v>1669</v>
      </c>
      <c r="E34" s="61" t="s">
        <v>1670</v>
      </c>
      <c r="F34" s="61" t="s">
        <v>5523</v>
      </c>
      <c r="G34" s="61" t="s">
        <v>4176</v>
      </c>
      <c r="H34" s="61" t="s">
        <v>5583</v>
      </c>
      <c r="I34" s="61" t="s">
        <v>5525</v>
      </c>
      <c r="J34" s="61" t="s">
        <v>5526</v>
      </c>
      <c r="K34" s="61" t="s">
        <v>5527</v>
      </c>
      <c r="L34" s="61" t="s">
        <v>6056</v>
      </c>
      <c r="M34" s="61" t="s">
        <v>5584</v>
      </c>
    </row>
    <row r="35" spans="1:13" ht="66" customHeight="1">
      <c r="A35" s="61" t="s">
        <v>5585</v>
      </c>
      <c r="B35" s="61" t="s">
        <v>5514</v>
      </c>
      <c r="C35" s="61" t="s">
        <v>5515</v>
      </c>
      <c r="D35" s="61" t="s">
        <v>1677</v>
      </c>
      <c r="E35" s="61" t="s">
        <v>1678</v>
      </c>
      <c r="F35" s="61" t="s">
        <v>5516</v>
      </c>
      <c r="G35" s="61" t="s">
        <v>4184</v>
      </c>
      <c r="H35" s="61" t="s">
        <v>5517</v>
      </c>
      <c r="I35" s="61" t="s">
        <v>5518</v>
      </c>
      <c r="J35" s="61"/>
      <c r="K35" s="61" t="s">
        <v>5519</v>
      </c>
      <c r="L35" s="61" t="s">
        <v>6056</v>
      </c>
      <c r="M35" s="61" t="s">
        <v>5586</v>
      </c>
    </row>
    <row r="36" spans="1:13" ht="66" customHeight="1">
      <c r="A36" s="61" t="s">
        <v>4185</v>
      </c>
      <c r="B36" s="61" t="s">
        <v>5521</v>
      </c>
      <c r="C36" s="61" t="s">
        <v>5522</v>
      </c>
      <c r="D36" s="61" t="s">
        <v>1677</v>
      </c>
      <c r="E36" s="61" t="s">
        <v>1678</v>
      </c>
      <c r="F36" s="61" t="s">
        <v>5523</v>
      </c>
      <c r="G36" s="61" t="s">
        <v>4184</v>
      </c>
      <c r="H36" s="61" t="s">
        <v>5587</v>
      </c>
      <c r="I36" s="61" t="s">
        <v>5525</v>
      </c>
      <c r="J36" s="61" t="s">
        <v>5526</v>
      </c>
      <c r="K36" s="61" t="s">
        <v>5527</v>
      </c>
      <c r="L36" s="61" t="s">
        <v>6056</v>
      </c>
      <c r="M36" s="61" t="s">
        <v>5588</v>
      </c>
    </row>
    <row r="37" spans="1:13" ht="52.7" customHeight="1">
      <c r="A37" s="61" t="s">
        <v>5589</v>
      </c>
      <c r="B37" s="61" t="s">
        <v>5514</v>
      </c>
      <c r="C37" s="61" t="s">
        <v>5515</v>
      </c>
      <c r="D37" s="61" t="s">
        <v>1685</v>
      </c>
      <c r="E37" s="61" t="s">
        <v>1686</v>
      </c>
      <c r="F37" s="61" t="s">
        <v>5516</v>
      </c>
      <c r="G37" s="61" t="s">
        <v>4192</v>
      </c>
      <c r="H37" s="61" t="s">
        <v>5517</v>
      </c>
      <c r="I37" s="61" t="s">
        <v>5518</v>
      </c>
      <c r="J37" s="61"/>
      <c r="K37" s="61" t="s">
        <v>5519</v>
      </c>
      <c r="L37" s="61" t="s">
        <v>6056</v>
      </c>
      <c r="M37" s="61" t="s">
        <v>5590</v>
      </c>
    </row>
    <row r="38" spans="1:13" ht="52.7" customHeight="1">
      <c r="A38" s="61" t="s">
        <v>4193</v>
      </c>
      <c r="B38" s="61" t="s">
        <v>5521</v>
      </c>
      <c r="C38" s="61" t="s">
        <v>5522</v>
      </c>
      <c r="D38" s="61" t="s">
        <v>1685</v>
      </c>
      <c r="E38" s="61" t="s">
        <v>1686</v>
      </c>
      <c r="F38" s="61" t="s">
        <v>5523</v>
      </c>
      <c r="G38" s="61" t="s">
        <v>4192</v>
      </c>
      <c r="H38" s="61" t="s">
        <v>5591</v>
      </c>
      <c r="I38" s="61" t="s">
        <v>5525</v>
      </c>
      <c r="J38" s="61" t="s">
        <v>5526</v>
      </c>
      <c r="K38" s="61" t="s">
        <v>5527</v>
      </c>
      <c r="L38" s="61" t="s">
        <v>6056</v>
      </c>
      <c r="M38" s="61" t="s">
        <v>5592</v>
      </c>
    </row>
    <row r="39" spans="1:13" ht="66" customHeight="1">
      <c r="A39" s="61" t="s">
        <v>5593</v>
      </c>
      <c r="B39" s="61" t="s">
        <v>5514</v>
      </c>
      <c r="C39" s="61" t="s">
        <v>5515</v>
      </c>
      <c r="D39" s="61" t="s">
        <v>1694</v>
      </c>
      <c r="E39" s="61" t="s">
        <v>1695</v>
      </c>
      <c r="F39" s="61" t="s">
        <v>5516</v>
      </c>
      <c r="G39" s="61" t="s">
        <v>4200</v>
      </c>
      <c r="H39" s="61" t="s">
        <v>5517</v>
      </c>
      <c r="I39" s="61" t="s">
        <v>5518</v>
      </c>
      <c r="J39" s="61"/>
      <c r="K39" s="61" t="s">
        <v>5519</v>
      </c>
      <c r="L39" s="61" t="s">
        <v>6056</v>
      </c>
      <c r="M39" s="61" t="s">
        <v>5594</v>
      </c>
    </row>
    <row r="40" spans="1:13" ht="66" customHeight="1">
      <c r="A40" s="61" t="s">
        <v>4201</v>
      </c>
      <c r="B40" s="61" t="s">
        <v>5521</v>
      </c>
      <c r="C40" s="61" t="s">
        <v>5522</v>
      </c>
      <c r="D40" s="61" t="s">
        <v>1694</v>
      </c>
      <c r="E40" s="61" t="s">
        <v>1695</v>
      </c>
      <c r="F40" s="61" t="s">
        <v>5523</v>
      </c>
      <c r="G40" s="61" t="s">
        <v>4200</v>
      </c>
      <c r="H40" s="61" t="s">
        <v>5595</v>
      </c>
      <c r="I40" s="61" t="s">
        <v>5525</v>
      </c>
      <c r="J40" s="61" t="s">
        <v>5526</v>
      </c>
      <c r="K40" s="61" t="s">
        <v>5527</v>
      </c>
      <c r="L40" s="61" t="s">
        <v>6056</v>
      </c>
      <c r="M40" s="61" t="s">
        <v>5596</v>
      </c>
    </row>
    <row r="41" spans="1:13" ht="52.7" customHeight="1">
      <c r="A41" s="61" t="s">
        <v>5597</v>
      </c>
      <c r="B41" s="61" t="s">
        <v>5514</v>
      </c>
      <c r="C41" s="61" t="s">
        <v>5515</v>
      </c>
      <c r="D41" s="61" t="s">
        <v>1700</v>
      </c>
      <c r="E41" s="61" t="s">
        <v>1701</v>
      </c>
      <c r="F41" s="61" t="s">
        <v>5516</v>
      </c>
      <c r="G41" s="61" t="s">
        <v>4209</v>
      </c>
      <c r="H41" s="61" t="s">
        <v>5517</v>
      </c>
      <c r="I41" s="61" t="s">
        <v>5518</v>
      </c>
      <c r="J41" s="61"/>
      <c r="K41" s="61" t="s">
        <v>5519</v>
      </c>
      <c r="L41" s="61" t="s">
        <v>6056</v>
      </c>
      <c r="M41" s="61" t="s">
        <v>5598</v>
      </c>
    </row>
    <row r="42" spans="1:13" ht="52.7" customHeight="1">
      <c r="A42" s="61" t="s">
        <v>4210</v>
      </c>
      <c r="B42" s="61" t="s">
        <v>5521</v>
      </c>
      <c r="C42" s="61" t="s">
        <v>5522</v>
      </c>
      <c r="D42" s="61" t="s">
        <v>1700</v>
      </c>
      <c r="E42" s="61" t="s">
        <v>1701</v>
      </c>
      <c r="F42" s="61" t="s">
        <v>5523</v>
      </c>
      <c r="G42" s="61" t="s">
        <v>4209</v>
      </c>
      <c r="H42" s="61" t="s">
        <v>5599</v>
      </c>
      <c r="I42" s="61" t="s">
        <v>5525</v>
      </c>
      <c r="J42" s="61" t="s">
        <v>5526</v>
      </c>
      <c r="K42" s="61" t="s">
        <v>5527</v>
      </c>
      <c r="L42" s="61" t="s">
        <v>6056</v>
      </c>
      <c r="M42" s="61" t="s">
        <v>5600</v>
      </c>
    </row>
    <row r="43" spans="1:13" ht="66" customHeight="1">
      <c r="A43" s="61" t="s">
        <v>5601</v>
      </c>
      <c r="B43" s="61" t="s">
        <v>5514</v>
      </c>
      <c r="C43" s="61" t="s">
        <v>5515</v>
      </c>
      <c r="D43" s="61" t="s">
        <v>1708</v>
      </c>
      <c r="E43" s="61" t="s">
        <v>1709</v>
      </c>
      <c r="F43" s="61" t="s">
        <v>5516</v>
      </c>
      <c r="G43" s="61" t="s">
        <v>4217</v>
      </c>
      <c r="H43" s="61" t="s">
        <v>5517</v>
      </c>
      <c r="I43" s="61" t="s">
        <v>5518</v>
      </c>
      <c r="J43" s="61"/>
      <c r="K43" s="61" t="s">
        <v>5519</v>
      </c>
      <c r="L43" s="61" t="s">
        <v>6056</v>
      </c>
      <c r="M43" s="61" t="s">
        <v>5602</v>
      </c>
    </row>
    <row r="44" spans="1:13" ht="66" customHeight="1">
      <c r="A44" s="61" t="s">
        <v>4218</v>
      </c>
      <c r="B44" s="61" t="s">
        <v>5521</v>
      </c>
      <c r="C44" s="61" t="s">
        <v>5522</v>
      </c>
      <c r="D44" s="61" t="s">
        <v>1708</v>
      </c>
      <c r="E44" s="61" t="s">
        <v>1709</v>
      </c>
      <c r="F44" s="61" t="s">
        <v>5523</v>
      </c>
      <c r="G44" s="61" t="s">
        <v>4217</v>
      </c>
      <c r="H44" s="61" t="s">
        <v>5603</v>
      </c>
      <c r="I44" s="61" t="s">
        <v>5525</v>
      </c>
      <c r="J44" s="61" t="s">
        <v>5526</v>
      </c>
      <c r="K44" s="61" t="s">
        <v>5527</v>
      </c>
      <c r="L44" s="61" t="s">
        <v>6056</v>
      </c>
      <c r="M44" s="61" t="s">
        <v>5604</v>
      </c>
    </row>
    <row r="45" spans="1:13" ht="52.7" customHeight="1">
      <c r="A45" s="61" t="s">
        <v>5605</v>
      </c>
      <c r="B45" s="61" t="s">
        <v>5514</v>
      </c>
      <c r="C45" s="61" t="s">
        <v>5515</v>
      </c>
      <c r="D45" s="61" t="s">
        <v>1716</v>
      </c>
      <c r="E45" s="61" t="s">
        <v>1717</v>
      </c>
      <c r="F45" s="61" t="s">
        <v>5516</v>
      </c>
      <c r="G45" s="61" t="s">
        <v>4225</v>
      </c>
      <c r="H45" s="61" t="s">
        <v>5517</v>
      </c>
      <c r="I45" s="61" t="s">
        <v>5518</v>
      </c>
      <c r="J45" s="61"/>
      <c r="K45" s="61" t="s">
        <v>5519</v>
      </c>
      <c r="L45" s="61" t="s">
        <v>6056</v>
      </c>
      <c r="M45" s="61" t="s">
        <v>5606</v>
      </c>
    </row>
    <row r="46" spans="1:13" ht="52.7" customHeight="1">
      <c r="A46" s="61" t="s">
        <v>4226</v>
      </c>
      <c r="B46" s="61" t="s">
        <v>5521</v>
      </c>
      <c r="C46" s="61" t="s">
        <v>5522</v>
      </c>
      <c r="D46" s="61" t="s">
        <v>1716</v>
      </c>
      <c r="E46" s="61" t="s">
        <v>1717</v>
      </c>
      <c r="F46" s="61" t="s">
        <v>5523</v>
      </c>
      <c r="G46" s="61" t="s">
        <v>4225</v>
      </c>
      <c r="H46" s="61" t="s">
        <v>5607</v>
      </c>
      <c r="I46" s="61" t="s">
        <v>5525</v>
      </c>
      <c r="J46" s="61" t="s">
        <v>5526</v>
      </c>
      <c r="K46" s="61" t="s">
        <v>5527</v>
      </c>
      <c r="L46" s="61" t="s">
        <v>6056</v>
      </c>
      <c r="M46" s="61" t="s">
        <v>5608</v>
      </c>
    </row>
    <row r="47" spans="1:13" ht="52.7" customHeight="1">
      <c r="A47" s="61" t="s">
        <v>5609</v>
      </c>
      <c r="B47" s="61" t="s">
        <v>5514</v>
      </c>
      <c r="C47" s="61" t="s">
        <v>5515</v>
      </c>
      <c r="D47" s="61" t="s">
        <v>1724</v>
      </c>
      <c r="E47" s="61" t="s">
        <v>1725</v>
      </c>
      <c r="F47" s="61" t="s">
        <v>5516</v>
      </c>
      <c r="G47" s="61" t="s">
        <v>4233</v>
      </c>
      <c r="H47" s="61" t="s">
        <v>5517</v>
      </c>
      <c r="I47" s="61" t="s">
        <v>5518</v>
      </c>
      <c r="J47" s="61"/>
      <c r="K47" s="61" t="s">
        <v>5519</v>
      </c>
      <c r="L47" s="61" t="s">
        <v>6056</v>
      </c>
      <c r="M47" s="61" t="s">
        <v>5610</v>
      </c>
    </row>
    <row r="48" spans="1:13" ht="52.7" customHeight="1">
      <c r="A48" s="61" t="s">
        <v>4234</v>
      </c>
      <c r="B48" s="61" t="s">
        <v>5521</v>
      </c>
      <c r="C48" s="61" t="s">
        <v>5522</v>
      </c>
      <c r="D48" s="61" t="s">
        <v>1724</v>
      </c>
      <c r="E48" s="61" t="s">
        <v>1725</v>
      </c>
      <c r="F48" s="61" t="s">
        <v>5523</v>
      </c>
      <c r="G48" s="61" t="s">
        <v>4233</v>
      </c>
      <c r="H48" s="61" t="s">
        <v>5611</v>
      </c>
      <c r="I48" s="61" t="s">
        <v>5525</v>
      </c>
      <c r="J48" s="61" t="s">
        <v>5526</v>
      </c>
      <c r="K48" s="61" t="s">
        <v>5527</v>
      </c>
      <c r="L48" s="61" t="s">
        <v>6056</v>
      </c>
      <c r="M48" s="61" t="s">
        <v>5612</v>
      </c>
    </row>
    <row r="49" spans="1:13" ht="52.7" customHeight="1">
      <c r="A49" s="61" t="s">
        <v>5613</v>
      </c>
      <c r="B49" s="61" t="s">
        <v>5514</v>
      </c>
      <c r="C49" s="61" t="s">
        <v>5515</v>
      </c>
      <c r="D49" s="61" t="s">
        <v>1730</v>
      </c>
      <c r="E49" s="61" t="s">
        <v>1731</v>
      </c>
      <c r="F49" s="61" t="s">
        <v>5516</v>
      </c>
      <c r="G49" s="61" t="s">
        <v>4241</v>
      </c>
      <c r="H49" s="61" t="s">
        <v>5517</v>
      </c>
      <c r="I49" s="61" t="s">
        <v>5518</v>
      </c>
      <c r="J49" s="61"/>
      <c r="K49" s="61" t="s">
        <v>5519</v>
      </c>
      <c r="L49" s="61" t="s">
        <v>6056</v>
      </c>
      <c r="M49" s="61" t="s">
        <v>5614</v>
      </c>
    </row>
    <row r="50" spans="1:13" ht="52.7" customHeight="1">
      <c r="A50" s="61" t="s">
        <v>4242</v>
      </c>
      <c r="B50" s="61" t="s">
        <v>5521</v>
      </c>
      <c r="C50" s="61" t="s">
        <v>5522</v>
      </c>
      <c r="D50" s="61" t="s">
        <v>1730</v>
      </c>
      <c r="E50" s="61" t="s">
        <v>1731</v>
      </c>
      <c r="F50" s="61" t="s">
        <v>5523</v>
      </c>
      <c r="G50" s="61" t="s">
        <v>4241</v>
      </c>
      <c r="H50" s="61" t="s">
        <v>5615</v>
      </c>
      <c r="I50" s="61" t="s">
        <v>5525</v>
      </c>
      <c r="J50" s="61" t="s">
        <v>5526</v>
      </c>
      <c r="K50" s="61" t="s">
        <v>5527</v>
      </c>
      <c r="L50" s="61" t="s">
        <v>6056</v>
      </c>
      <c r="M50" s="61" t="s">
        <v>5616</v>
      </c>
    </row>
    <row r="51" spans="1:13" ht="52.7" customHeight="1">
      <c r="A51" s="61" t="s">
        <v>5617</v>
      </c>
      <c r="B51" s="61" t="s">
        <v>5514</v>
      </c>
      <c r="C51" s="61" t="s">
        <v>5515</v>
      </c>
      <c r="D51" s="61" t="s">
        <v>1738</v>
      </c>
      <c r="E51" s="61" t="s">
        <v>1739</v>
      </c>
      <c r="F51" s="61" t="s">
        <v>5516</v>
      </c>
      <c r="G51" s="61" t="s">
        <v>4249</v>
      </c>
      <c r="H51" s="61" t="s">
        <v>5517</v>
      </c>
      <c r="I51" s="61" t="s">
        <v>5518</v>
      </c>
      <c r="J51" s="61"/>
      <c r="K51" s="61" t="s">
        <v>5519</v>
      </c>
      <c r="L51" s="61" t="s">
        <v>6056</v>
      </c>
      <c r="M51" s="61" t="s">
        <v>5618</v>
      </c>
    </row>
    <row r="52" spans="1:13" ht="52.7" customHeight="1">
      <c r="A52" s="61" t="s">
        <v>4250</v>
      </c>
      <c r="B52" s="61" t="s">
        <v>5521</v>
      </c>
      <c r="C52" s="61" t="s">
        <v>5522</v>
      </c>
      <c r="D52" s="61" t="s">
        <v>1738</v>
      </c>
      <c r="E52" s="61" t="s">
        <v>1739</v>
      </c>
      <c r="F52" s="61" t="s">
        <v>5523</v>
      </c>
      <c r="G52" s="61" t="s">
        <v>4249</v>
      </c>
      <c r="H52" s="61" t="s">
        <v>5619</v>
      </c>
      <c r="I52" s="61" t="s">
        <v>5525</v>
      </c>
      <c r="J52" s="61" t="s">
        <v>5526</v>
      </c>
      <c r="K52" s="61" t="s">
        <v>5527</v>
      </c>
      <c r="L52" s="61" t="s">
        <v>6056</v>
      </c>
      <c r="M52" s="61" t="s">
        <v>5620</v>
      </c>
    </row>
    <row r="53" spans="1:13" ht="66" customHeight="1">
      <c r="A53" s="61" t="s">
        <v>5621</v>
      </c>
      <c r="B53" s="61" t="s">
        <v>5514</v>
      </c>
      <c r="C53" s="61" t="s">
        <v>5515</v>
      </c>
      <c r="D53" s="61" t="s">
        <v>1746</v>
      </c>
      <c r="E53" s="61" t="s">
        <v>1747</v>
      </c>
      <c r="F53" s="61" t="s">
        <v>5516</v>
      </c>
      <c r="G53" s="61" t="s">
        <v>4257</v>
      </c>
      <c r="H53" s="61" t="s">
        <v>5517</v>
      </c>
      <c r="I53" s="61" t="s">
        <v>5518</v>
      </c>
      <c r="J53" s="61"/>
      <c r="K53" s="61" t="s">
        <v>5519</v>
      </c>
      <c r="L53" s="61" t="s">
        <v>6056</v>
      </c>
      <c r="M53" s="61" t="s">
        <v>5622</v>
      </c>
    </row>
    <row r="54" spans="1:13" ht="66" customHeight="1">
      <c r="A54" s="61" t="s">
        <v>4258</v>
      </c>
      <c r="B54" s="61" t="s">
        <v>5521</v>
      </c>
      <c r="C54" s="61" t="s">
        <v>5522</v>
      </c>
      <c r="D54" s="61" t="s">
        <v>1746</v>
      </c>
      <c r="E54" s="61" t="s">
        <v>1747</v>
      </c>
      <c r="F54" s="61" t="s">
        <v>5523</v>
      </c>
      <c r="G54" s="61" t="s">
        <v>4257</v>
      </c>
      <c r="H54" s="61" t="s">
        <v>5623</v>
      </c>
      <c r="I54" s="61" t="s">
        <v>5525</v>
      </c>
      <c r="J54" s="61" t="s">
        <v>5526</v>
      </c>
      <c r="K54" s="61" t="s">
        <v>5527</v>
      </c>
      <c r="L54" s="61" t="s">
        <v>6056</v>
      </c>
      <c r="M54" s="61" t="s">
        <v>5624</v>
      </c>
    </row>
    <row r="55" spans="1:13" ht="52.7" customHeight="1">
      <c r="A55" s="61" t="s">
        <v>5625</v>
      </c>
      <c r="B55" s="61" t="s">
        <v>5514</v>
      </c>
      <c r="C55" s="61" t="s">
        <v>5515</v>
      </c>
      <c r="D55" s="61" t="s">
        <v>1754</v>
      </c>
      <c r="E55" s="61" t="s">
        <v>1755</v>
      </c>
      <c r="F55" s="61" t="s">
        <v>5516</v>
      </c>
      <c r="G55" s="61" t="s">
        <v>4265</v>
      </c>
      <c r="H55" s="61" t="s">
        <v>5517</v>
      </c>
      <c r="I55" s="61" t="s">
        <v>5518</v>
      </c>
      <c r="J55" s="61"/>
      <c r="K55" s="61" t="s">
        <v>5519</v>
      </c>
      <c r="L55" s="61" t="s">
        <v>6056</v>
      </c>
      <c r="M55" s="61" t="s">
        <v>5626</v>
      </c>
    </row>
    <row r="56" spans="1:13" ht="52.7" customHeight="1">
      <c r="A56" s="61" t="s">
        <v>4266</v>
      </c>
      <c r="B56" s="61" t="s">
        <v>5521</v>
      </c>
      <c r="C56" s="61" t="s">
        <v>5522</v>
      </c>
      <c r="D56" s="61" t="s">
        <v>1754</v>
      </c>
      <c r="E56" s="61" t="s">
        <v>1755</v>
      </c>
      <c r="F56" s="61" t="s">
        <v>5523</v>
      </c>
      <c r="G56" s="61" t="s">
        <v>4265</v>
      </c>
      <c r="H56" s="61" t="s">
        <v>5627</v>
      </c>
      <c r="I56" s="61" t="s">
        <v>5525</v>
      </c>
      <c r="J56" s="61" t="s">
        <v>5526</v>
      </c>
      <c r="K56" s="61" t="s">
        <v>5527</v>
      </c>
      <c r="L56" s="61" t="s">
        <v>6056</v>
      </c>
      <c r="M56" s="61" t="s">
        <v>5628</v>
      </c>
    </row>
    <row r="57" spans="1:13" ht="66" customHeight="1">
      <c r="A57" s="61" t="s">
        <v>5629</v>
      </c>
      <c r="B57" s="61" t="s">
        <v>5514</v>
      </c>
      <c r="C57" s="61" t="s">
        <v>5515</v>
      </c>
      <c r="D57" s="61" t="s">
        <v>1761</v>
      </c>
      <c r="E57" s="61" t="s">
        <v>1762</v>
      </c>
      <c r="F57" s="61" t="s">
        <v>5516</v>
      </c>
      <c r="G57" s="61" t="s">
        <v>4274</v>
      </c>
      <c r="H57" s="61" t="s">
        <v>5517</v>
      </c>
      <c r="I57" s="61" t="s">
        <v>5518</v>
      </c>
      <c r="J57" s="61"/>
      <c r="K57" s="61" t="s">
        <v>5519</v>
      </c>
      <c r="L57" s="61" t="s">
        <v>6056</v>
      </c>
      <c r="M57" s="61" t="s">
        <v>5630</v>
      </c>
    </row>
    <row r="58" spans="1:13" ht="66" customHeight="1">
      <c r="A58" s="61" t="s">
        <v>4276</v>
      </c>
      <c r="B58" s="61" t="s">
        <v>5521</v>
      </c>
      <c r="C58" s="61" t="s">
        <v>5522</v>
      </c>
      <c r="D58" s="61" t="s">
        <v>1761</v>
      </c>
      <c r="E58" s="61" t="s">
        <v>1762</v>
      </c>
      <c r="F58" s="61" t="s">
        <v>5523</v>
      </c>
      <c r="G58" s="61" t="s">
        <v>4274</v>
      </c>
      <c r="H58" s="61" t="s">
        <v>5631</v>
      </c>
      <c r="I58" s="61" t="s">
        <v>5525</v>
      </c>
      <c r="J58" s="61" t="s">
        <v>5526</v>
      </c>
      <c r="K58" s="61" t="s">
        <v>5527</v>
      </c>
      <c r="L58" s="61" t="s">
        <v>6056</v>
      </c>
      <c r="M58" s="61" t="s">
        <v>5632</v>
      </c>
    </row>
    <row r="59" spans="1:13" ht="52.7" customHeight="1">
      <c r="A59" s="61" t="s">
        <v>5633</v>
      </c>
      <c r="B59" s="61" t="s">
        <v>5514</v>
      </c>
      <c r="C59" s="61" t="s">
        <v>5515</v>
      </c>
      <c r="D59" s="61" t="s">
        <v>1786</v>
      </c>
      <c r="E59" s="61" t="s">
        <v>1787</v>
      </c>
      <c r="F59" s="61" t="s">
        <v>5516</v>
      </c>
      <c r="G59" s="61" t="s">
        <v>4283</v>
      </c>
      <c r="H59" s="61" t="s">
        <v>5517</v>
      </c>
      <c r="I59" s="61" t="s">
        <v>5518</v>
      </c>
      <c r="J59" s="61"/>
      <c r="K59" s="61" t="s">
        <v>5519</v>
      </c>
      <c r="L59" s="61" t="s">
        <v>6056</v>
      </c>
      <c r="M59" s="61" t="s">
        <v>5634</v>
      </c>
    </row>
    <row r="60" spans="1:13" ht="52.7" customHeight="1">
      <c r="A60" s="61" t="s">
        <v>4284</v>
      </c>
      <c r="B60" s="61" t="s">
        <v>5521</v>
      </c>
      <c r="C60" s="61" t="s">
        <v>5522</v>
      </c>
      <c r="D60" s="61" t="s">
        <v>1786</v>
      </c>
      <c r="E60" s="61" t="s">
        <v>1787</v>
      </c>
      <c r="F60" s="61" t="s">
        <v>5523</v>
      </c>
      <c r="G60" s="61" t="s">
        <v>4283</v>
      </c>
      <c r="H60" s="61" t="s">
        <v>5635</v>
      </c>
      <c r="I60" s="61" t="s">
        <v>5525</v>
      </c>
      <c r="J60" s="61" t="s">
        <v>5526</v>
      </c>
      <c r="K60" s="61" t="s">
        <v>5527</v>
      </c>
      <c r="L60" s="61" t="s">
        <v>6056</v>
      </c>
      <c r="M60" s="61" t="s">
        <v>5636</v>
      </c>
    </row>
    <row r="61" spans="1:13" ht="52.7" customHeight="1">
      <c r="A61" s="61" t="s">
        <v>5637</v>
      </c>
      <c r="B61" s="61" t="s">
        <v>5514</v>
      </c>
      <c r="C61" s="61" t="s">
        <v>5515</v>
      </c>
      <c r="D61" s="61" t="s">
        <v>1796</v>
      </c>
      <c r="E61" s="61" t="s">
        <v>1797</v>
      </c>
      <c r="F61" s="61" t="s">
        <v>5516</v>
      </c>
      <c r="G61" s="61" t="s">
        <v>4291</v>
      </c>
      <c r="H61" s="61" t="s">
        <v>5517</v>
      </c>
      <c r="I61" s="61" t="s">
        <v>5518</v>
      </c>
      <c r="J61" s="61"/>
      <c r="K61" s="61" t="s">
        <v>5519</v>
      </c>
      <c r="L61" s="61" t="s">
        <v>6056</v>
      </c>
      <c r="M61" s="61" t="s">
        <v>5638</v>
      </c>
    </row>
    <row r="62" spans="1:13" ht="52.7" customHeight="1">
      <c r="A62" s="61" t="s">
        <v>4292</v>
      </c>
      <c r="B62" s="61" t="s">
        <v>5521</v>
      </c>
      <c r="C62" s="61" t="s">
        <v>5522</v>
      </c>
      <c r="D62" s="61" t="s">
        <v>1796</v>
      </c>
      <c r="E62" s="61" t="s">
        <v>1797</v>
      </c>
      <c r="F62" s="61" t="s">
        <v>5523</v>
      </c>
      <c r="G62" s="61" t="s">
        <v>4291</v>
      </c>
      <c r="H62" s="61" t="s">
        <v>5639</v>
      </c>
      <c r="I62" s="61" t="s">
        <v>5525</v>
      </c>
      <c r="J62" s="61" t="s">
        <v>5526</v>
      </c>
      <c r="K62" s="61" t="s">
        <v>5527</v>
      </c>
      <c r="L62" s="61" t="s">
        <v>6056</v>
      </c>
      <c r="M62" s="61" t="s">
        <v>5640</v>
      </c>
    </row>
    <row r="63" spans="1:13" ht="52.7" customHeight="1">
      <c r="A63" s="61" t="s">
        <v>5641</v>
      </c>
      <c r="B63" s="61" t="s">
        <v>5514</v>
      </c>
      <c r="C63" s="61" t="s">
        <v>5515</v>
      </c>
      <c r="D63" s="61" t="s">
        <v>1802</v>
      </c>
      <c r="E63" s="61" t="s">
        <v>1803</v>
      </c>
      <c r="F63" s="61" t="s">
        <v>5516</v>
      </c>
      <c r="G63" s="61" t="s">
        <v>4299</v>
      </c>
      <c r="H63" s="61" t="s">
        <v>5517</v>
      </c>
      <c r="I63" s="61" t="s">
        <v>5518</v>
      </c>
      <c r="J63" s="61"/>
      <c r="K63" s="61" t="s">
        <v>5519</v>
      </c>
      <c r="L63" s="61" t="s">
        <v>6056</v>
      </c>
      <c r="M63" s="61" t="s">
        <v>5642</v>
      </c>
    </row>
    <row r="64" spans="1:13" ht="52.7" customHeight="1">
      <c r="A64" s="61" t="s">
        <v>4300</v>
      </c>
      <c r="B64" s="61" t="s">
        <v>5521</v>
      </c>
      <c r="C64" s="61" t="s">
        <v>5522</v>
      </c>
      <c r="D64" s="61" t="s">
        <v>1802</v>
      </c>
      <c r="E64" s="61" t="s">
        <v>1803</v>
      </c>
      <c r="F64" s="61" t="s">
        <v>5523</v>
      </c>
      <c r="G64" s="61" t="s">
        <v>4299</v>
      </c>
      <c r="H64" s="61" t="s">
        <v>5643</v>
      </c>
      <c r="I64" s="61" t="s">
        <v>5525</v>
      </c>
      <c r="J64" s="61" t="s">
        <v>5526</v>
      </c>
      <c r="K64" s="61" t="s">
        <v>5527</v>
      </c>
      <c r="L64" s="61" t="s">
        <v>6056</v>
      </c>
      <c r="M64" s="61" t="s">
        <v>5644</v>
      </c>
    </row>
    <row r="65" spans="1:13" ht="52.7" customHeight="1">
      <c r="A65" s="61" t="s">
        <v>5645</v>
      </c>
      <c r="B65" s="61" t="s">
        <v>5514</v>
      </c>
      <c r="C65" s="61" t="s">
        <v>5515</v>
      </c>
      <c r="D65" s="61" t="s">
        <v>1811</v>
      </c>
      <c r="E65" s="61" t="s">
        <v>1812</v>
      </c>
      <c r="F65" s="61" t="s">
        <v>5516</v>
      </c>
      <c r="G65" s="61" t="s">
        <v>4307</v>
      </c>
      <c r="H65" s="61" t="s">
        <v>5517</v>
      </c>
      <c r="I65" s="61" t="s">
        <v>5518</v>
      </c>
      <c r="J65" s="61"/>
      <c r="K65" s="61" t="s">
        <v>5519</v>
      </c>
      <c r="L65" s="61" t="s">
        <v>6056</v>
      </c>
      <c r="M65" s="61" t="s">
        <v>5646</v>
      </c>
    </row>
    <row r="66" spans="1:13" ht="52.7" customHeight="1">
      <c r="A66" s="61" t="s">
        <v>4308</v>
      </c>
      <c r="B66" s="61" t="s">
        <v>5521</v>
      </c>
      <c r="C66" s="61" t="s">
        <v>5522</v>
      </c>
      <c r="D66" s="61" t="s">
        <v>1811</v>
      </c>
      <c r="E66" s="61" t="s">
        <v>1812</v>
      </c>
      <c r="F66" s="61" t="s">
        <v>5523</v>
      </c>
      <c r="G66" s="61" t="s">
        <v>4307</v>
      </c>
      <c r="H66" s="61" t="s">
        <v>5647</v>
      </c>
      <c r="I66" s="61" t="s">
        <v>5525</v>
      </c>
      <c r="J66" s="61" t="s">
        <v>5526</v>
      </c>
      <c r="K66" s="61" t="s">
        <v>5527</v>
      </c>
      <c r="L66" s="61" t="s">
        <v>6056</v>
      </c>
      <c r="M66" s="61" t="s">
        <v>5648</v>
      </c>
    </row>
    <row r="67" spans="1:13" ht="52.7" customHeight="1">
      <c r="A67" s="61" t="s">
        <v>5649</v>
      </c>
      <c r="B67" s="61" t="s">
        <v>5514</v>
      </c>
      <c r="C67" s="61" t="s">
        <v>5515</v>
      </c>
      <c r="D67" s="61" t="s">
        <v>1817</v>
      </c>
      <c r="E67" s="61" t="s">
        <v>1100</v>
      </c>
      <c r="F67" s="61" t="s">
        <v>5516</v>
      </c>
      <c r="G67" s="61" t="s">
        <v>4315</v>
      </c>
      <c r="H67" s="61" t="s">
        <v>5517</v>
      </c>
      <c r="I67" s="61" t="s">
        <v>5518</v>
      </c>
      <c r="J67" s="61"/>
      <c r="K67" s="61" t="s">
        <v>5519</v>
      </c>
      <c r="L67" s="61" t="s">
        <v>6056</v>
      </c>
      <c r="M67" s="61" t="s">
        <v>5650</v>
      </c>
    </row>
    <row r="68" spans="1:13" ht="52.7" customHeight="1">
      <c r="A68" s="61" t="s">
        <v>4316</v>
      </c>
      <c r="B68" s="61" t="s">
        <v>5521</v>
      </c>
      <c r="C68" s="61" t="s">
        <v>5522</v>
      </c>
      <c r="D68" s="61" t="s">
        <v>1817</v>
      </c>
      <c r="E68" s="61" t="s">
        <v>1100</v>
      </c>
      <c r="F68" s="61" t="s">
        <v>5523</v>
      </c>
      <c r="G68" s="61" t="s">
        <v>4315</v>
      </c>
      <c r="H68" s="61" t="s">
        <v>5651</v>
      </c>
      <c r="I68" s="61" t="s">
        <v>5525</v>
      </c>
      <c r="J68" s="61" t="s">
        <v>5526</v>
      </c>
      <c r="K68" s="61" t="s">
        <v>5527</v>
      </c>
      <c r="L68" s="61" t="s">
        <v>6056</v>
      </c>
      <c r="M68" s="61" t="s">
        <v>5652</v>
      </c>
    </row>
    <row r="69" spans="1:13" ht="52.7" customHeight="1">
      <c r="A69" s="61" t="s">
        <v>5653</v>
      </c>
      <c r="B69" s="61" t="s">
        <v>5514</v>
      </c>
      <c r="C69" s="61" t="s">
        <v>5515</v>
      </c>
      <c r="D69" s="61" t="s">
        <v>1822</v>
      </c>
      <c r="E69" s="61" t="s">
        <v>1823</v>
      </c>
      <c r="F69" s="61" t="s">
        <v>5516</v>
      </c>
      <c r="G69" s="61" t="s">
        <v>4323</v>
      </c>
      <c r="H69" s="61" t="s">
        <v>5517</v>
      </c>
      <c r="I69" s="61" t="s">
        <v>5518</v>
      </c>
      <c r="J69" s="61"/>
      <c r="K69" s="61" t="s">
        <v>5519</v>
      </c>
      <c r="L69" s="61" t="s">
        <v>6056</v>
      </c>
      <c r="M69" s="61" t="s">
        <v>5654</v>
      </c>
    </row>
    <row r="70" spans="1:13" ht="52.7" customHeight="1">
      <c r="A70" s="61" t="s">
        <v>4324</v>
      </c>
      <c r="B70" s="61" t="s">
        <v>5521</v>
      </c>
      <c r="C70" s="61" t="s">
        <v>5522</v>
      </c>
      <c r="D70" s="61" t="s">
        <v>1822</v>
      </c>
      <c r="E70" s="61" t="s">
        <v>1823</v>
      </c>
      <c r="F70" s="61" t="s">
        <v>5523</v>
      </c>
      <c r="G70" s="61" t="s">
        <v>4323</v>
      </c>
      <c r="H70" s="61" t="s">
        <v>5655</v>
      </c>
      <c r="I70" s="61" t="s">
        <v>5525</v>
      </c>
      <c r="J70" s="61" t="s">
        <v>5526</v>
      </c>
      <c r="K70" s="61" t="s">
        <v>5527</v>
      </c>
      <c r="L70" s="61" t="s">
        <v>6056</v>
      </c>
      <c r="M70" s="61" t="s">
        <v>5656</v>
      </c>
    </row>
    <row r="71" spans="1:13" ht="52.7" customHeight="1">
      <c r="A71" s="61" t="s">
        <v>5657</v>
      </c>
      <c r="B71" s="61" t="s">
        <v>5514</v>
      </c>
      <c r="C71" s="61" t="s">
        <v>5515</v>
      </c>
      <c r="D71" s="61" t="s">
        <v>1828</v>
      </c>
      <c r="E71" s="61" t="s">
        <v>1829</v>
      </c>
      <c r="F71" s="61" t="s">
        <v>5516</v>
      </c>
      <c r="G71" s="61" t="s">
        <v>4332</v>
      </c>
      <c r="H71" s="61" t="s">
        <v>5517</v>
      </c>
      <c r="I71" s="61" t="s">
        <v>5518</v>
      </c>
      <c r="J71" s="61"/>
      <c r="K71" s="61" t="s">
        <v>5519</v>
      </c>
      <c r="L71" s="61" t="s">
        <v>6056</v>
      </c>
      <c r="M71" s="61" t="s">
        <v>5658</v>
      </c>
    </row>
    <row r="72" spans="1:13" ht="52.7" customHeight="1">
      <c r="A72" s="61" t="s">
        <v>4333</v>
      </c>
      <c r="B72" s="61" t="s">
        <v>5521</v>
      </c>
      <c r="C72" s="61" t="s">
        <v>5522</v>
      </c>
      <c r="D72" s="61" t="s">
        <v>1828</v>
      </c>
      <c r="E72" s="61" t="s">
        <v>1829</v>
      </c>
      <c r="F72" s="61" t="s">
        <v>5523</v>
      </c>
      <c r="G72" s="61" t="s">
        <v>4332</v>
      </c>
      <c r="H72" s="61" t="s">
        <v>5659</v>
      </c>
      <c r="I72" s="61" t="s">
        <v>5525</v>
      </c>
      <c r="J72" s="61" t="s">
        <v>5526</v>
      </c>
      <c r="K72" s="61" t="s">
        <v>5527</v>
      </c>
      <c r="L72" s="61" t="s">
        <v>6056</v>
      </c>
      <c r="M72" s="61" t="s">
        <v>5660</v>
      </c>
    </row>
    <row r="73" spans="1:13" ht="52.7" customHeight="1">
      <c r="A73" s="61" t="s">
        <v>5661</v>
      </c>
      <c r="B73" s="61" t="s">
        <v>5514</v>
      </c>
      <c r="C73" s="61" t="s">
        <v>5515</v>
      </c>
      <c r="D73" s="61" t="s">
        <v>1834</v>
      </c>
      <c r="E73" s="61" t="s">
        <v>539</v>
      </c>
      <c r="F73" s="61" t="s">
        <v>5516</v>
      </c>
      <c r="G73" s="61" t="s">
        <v>4341</v>
      </c>
      <c r="H73" s="61" t="s">
        <v>5517</v>
      </c>
      <c r="I73" s="61" t="s">
        <v>5518</v>
      </c>
      <c r="J73" s="61"/>
      <c r="K73" s="61" t="s">
        <v>5519</v>
      </c>
      <c r="L73" s="61" t="s">
        <v>6056</v>
      </c>
      <c r="M73" s="61" t="s">
        <v>5662</v>
      </c>
    </row>
    <row r="74" spans="1:13" ht="52.7" customHeight="1">
      <c r="A74" s="61" t="s">
        <v>5663</v>
      </c>
      <c r="B74" s="61" t="s">
        <v>5664</v>
      </c>
      <c r="C74" s="61" t="s">
        <v>5522</v>
      </c>
      <c r="D74" s="61" t="s">
        <v>1834</v>
      </c>
      <c r="E74" s="61" t="s">
        <v>539</v>
      </c>
      <c r="F74" s="61" t="s">
        <v>5665</v>
      </c>
      <c r="G74" s="61" t="s">
        <v>4341</v>
      </c>
      <c r="H74" s="61" t="s">
        <v>5666</v>
      </c>
      <c r="I74" s="61" t="s">
        <v>5525</v>
      </c>
      <c r="J74" s="61" t="s">
        <v>5526</v>
      </c>
      <c r="K74" s="61" t="s">
        <v>5527</v>
      </c>
      <c r="L74" s="61" t="s">
        <v>6056</v>
      </c>
      <c r="M74" s="61" t="s">
        <v>5667</v>
      </c>
    </row>
    <row r="75" spans="1:13" ht="52.7" customHeight="1">
      <c r="A75" s="61" t="s">
        <v>5668</v>
      </c>
      <c r="B75" s="61" t="s">
        <v>5664</v>
      </c>
      <c r="C75" s="61" t="s">
        <v>5522</v>
      </c>
      <c r="D75" s="61" t="s">
        <v>1834</v>
      </c>
      <c r="E75" s="61" t="s">
        <v>539</v>
      </c>
      <c r="F75" s="61" t="s">
        <v>5669</v>
      </c>
      <c r="G75" s="61" t="s">
        <v>4341</v>
      </c>
      <c r="H75" s="61" t="s">
        <v>5670</v>
      </c>
      <c r="I75" s="61" t="s">
        <v>5525</v>
      </c>
      <c r="J75" s="61" t="s">
        <v>5526</v>
      </c>
      <c r="K75" s="61" t="s">
        <v>5527</v>
      </c>
      <c r="L75" s="61" t="s">
        <v>6056</v>
      </c>
      <c r="M75" s="61" t="s">
        <v>5671</v>
      </c>
    </row>
    <row r="76" spans="1:13" ht="52.7" customHeight="1">
      <c r="A76" s="61" t="s">
        <v>5672</v>
      </c>
      <c r="B76" s="61" t="s">
        <v>5664</v>
      </c>
      <c r="C76" s="61" t="s">
        <v>5522</v>
      </c>
      <c r="D76" s="61" t="s">
        <v>1834</v>
      </c>
      <c r="E76" s="61" t="s">
        <v>539</v>
      </c>
      <c r="F76" s="61" t="s">
        <v>5673</v>
      </c>
      <c r="G76" s="61" t="s">
        <v>4341</v>
      </c>
      <c r="H76" s="61" t="s">
        <v>5674</v>
      </c>
      <c r="I76" s="61" t="s">
        <v>5525</v>
      </c>
      <c r="J76" s="61" t="s">
        <v>5526</v>
      </c>
      <c r="K76" s="61" t="s">
        <v>5527</v>
      </c>
      <c r="L76" s="61" t="s">
        <v>6056</v>
      </c>
      <c r="M76" s="61" t="s">
        <v>5675</v>
      </c>
    </row>
    <row r="77" spans="1:13" ht="66" customHeight="1">
      <c r="A77" s="61" t="s">
        <v>5676</v>
      </c>
      <c r="B77" s="61" t="s">
        <v>5514</v>
      </c>
      <c r="C77" s="61" t="s">
        <v>5515</v>
      </c>
      <c r="D77" s="61" t="s">
        <v>1842</v>
      </c>
      <c r="E77" s="61" t="s">
        <v>544</v>
      </c>
      <c r="F77" s="61" t="s">
        <v>5516</v>
      </c>
      <c r="G77" s="61" t="s">
        <v>4350</v>
      </c>
      <c r="H77" s="61" t="s">
        <v>5517</v>
      </c>
      <c r="I77" s="61" t="s">
        <v>5518</v>
      </c>
      <c r="J77" s="61"/>
      <c r="K77" s="61" t="s">
        <v>5519</v>
      </c>
      <c r="L77" s="61" t="s">
        <v>6056</v>
      </c>
      <c r="M77" s="61" t="s">
        <v>5677</v>
      </c>
    </row>
    <row r="78" spans="1:13" ht="66" customHeight="1">
      <c r="A78" s="61" t="s">
        <v>5678</v>
      </c>
      <c r="B78" s="61" t="s">
        <v>5664</v>
      </c>
      <c r="C78" s="61" t="s">
        <v>5522</v>
      </c>
      <c r="D78" s="61" t="s">
        <v>1842</v>
      </c>
      <c r="E78" s="61" t="s">
        <v>544</v>
      </c>
      <c r="F78" s="61" t="s">
        <v>5679</v>
      </c>
      <c r="G78" s="61" t="s">
        <v>4350</v>
      </c>
      <c r="H78" s="61" t="s">
        <v>5680</v>
      </c>
      <c r="I78" s="61" t="s">
        <v>5525</v>
      </c>
      <c r="J78" s="61" t="s">
        <v>5526</v>
      </c>
      <c r="K78" s="61" t="s">
        <v>5527</v>
      </c>
      <c r="L78" s="61" t="s">
        <v>6056</v>
      </c>
      <c r="M78" s="61" t="s">
        <v>5681</v>
      </c>
    </row>
    <row r="79" spans="1:13" ht="66" customHeight="1">
      <c r="A79" s="61" t="s">
        <v>5682</v>
      </c>
      <c r="B79" s="61" t="s">
        <v>5664</v>
      </c>
      <c r="C79" s="61" t="s">
        <v>5522</v>
      </c>
      <c r="D79" s="61" t="s">
        <v>1842</v>
      </c>
      <c r="E79" s="61" t="s">
        <v>544</v>
      </c>
      <c r="F79" s="61" t="s">
        <v>5683</v>
      </c>
      <c r="G79" s="61" t="s">
        <v>4350</v>
      </c>
      <c r="H79" s="61" t="s">
        <v>5684</v>
      </c>
      <c r="I79" s="61" t="s">
        <v>5525</v>
      </c>
      <c r="J79" s="61" t="s">
        <v>5526</v>
      </c>
      <c r="K79" s="61" t="s">
        <v>5527</v>
      </c>
      <c r="L79" s="61" t="s">
        <v>6056</v>
      </c>
      <c r="M79" s="61" t="s">
        <v>5685</v>
      </c>
    </row>
    <row r="80" spans="1:13" ht="66" customHeight="1">
      <c r="A80" s="61" t="s">
        <v>5686</v>
      </c>
      <c r="B80" s="61" t="s">
        <v>5664</v>
      </c>
      <c r="C80" s="61" t="s">
        <v>5522</v>
      </c>
      <c r="D80" s="61" t="s">
        <v>1842</v>
      </c>
      <c r="E80" s="61" t="s">
        <v>544</v>
      </c>
      <c r="F80" s="61" t="s">
        <v>5687</v>
      </c>
      <c r="G80" s="61" t="s">
        <v>4350</v>
      </c>
      <c r="H80" s="61" t="s">
        <v>5688</v>
      </c>
      <c r="I80" s="61" t="s">
        <v>5525</v>
      </c>
      <c r="J80" s="61" t="s">
        <v>5526</v>
      </c>
      <c r="K80" s="61" t="s">
        <v>5527</v>
      </c>
      <c r="L80" s="61" t="s">
        <v>6056</v>
      </c>
      <c r="M80" s="61" t="s">
        <v>5689</v>
      </c>
    </row>
    <row r="81" spans="1:13" ht="52.7" customHeight="1">
      <c r="A81" s="61" t="s">
        <v>5690</v>
      </c>
      <c r="B81" s="61" t="s">
        <v>5691</v>
      </c>
      <c r="C81" s="61" t="s">
        <v>5692</v>
      </c>
      <c r="D81" s="61" t="s">
        <v>126</v>
      </c>
      <c r="E81" s="61" t="s">
        <v>133</v>
      </c>
      <c r="F81" s="61" t="s">
        <v>1394</v>
      </c>
      <c r="G81" s="61" t="s">
        <v>4746</v>
      </c>
      <c r="H81" s="61" t="s">
        <v>5693</v>
      </c>
      <c r="I81" s="61" t="s">
        <v>5694</v>
      </c>
      <c r="J81" s="61" t="s">
        <v>5526</v>
      </c>
      <c r="K81" s="61" t="s">
        <v>5527</v>
      </c>
      <c r="L81" s="61" t="s">
        <v>6056</v>
      </c>
      <c r="M81" s="61" t="s">
        <v>5695</v>
      </c>
    </row>
    <row r="82" spans="1:13" ht="52.7" customHeight="1">
      <c r="A82" s="61" t="s">
        <v>5696</v>
      </c>
      <c r="B82" s="61" t="s">
        <v>5691</v>
      </c>
      <c r="C82" s="61" t="s">
        <v>5692</v>
      </c>
      <c r="D82" s="61" t="s">
        <v>136</v>
      </c>
      <c r="E82" s="61" t="s">
        <v>141</v>
      </c>
      <c r="F82" s="61" t="s">
        <v>1407</v>
      </c>
      <c r="G82" s="61" t="s">
        <v>4757</v>
      </c>
      <c r="H82" s="61" t="s">
        <v>5697</v>
      </c>
      <c r="I82" s="61" t="s">
        <v>5694</v>
      </c>
      <c r="J82" s="61" t="s">
        <v>5526</v>
      </c>
      <c r="K82" s="61" t="s">
        <v>5527</v>
      </c>
      <c r="L82" s="61" t="s">
        <v>6056</v>
      </c>
      <c r="M82" s="61" t="s">
        <v>5698</v>
      </c>
    </row>
    <row r="83" spans="1:13" ht="52.7" customHeight="1">
      <c r="A83" s="61" t="s">
        <v>5699</v>
      </c>
      <c r="B83" s="61" t="s">
        <v>5691</v>
      </c>
      <c r="C83" s="61" t="s">
        <v>5692</v>
      </c>
      <c r="D83" s="61" t="s">
        <v>151</v>
      </c>
      <c r="E83" s="61" t="s">
        <v>156</v>
      </c>
      <c r="F83" s="61" t="s">
        <v>1394</v>
      </c>
      <c r="G83" s="61" t="s">
        <v>4767</v>
      </c>
      <c r="H83" s="61" t="s">
        <v>5700</v>
      </c>
      <c r="I83" s="61" t="s">
        <v>5694</v>
      </c>
      <c r="J83" s="61" t="s">
        <v>5526</v>
      </c>
      <c r="K83" s="61" t="s">
        <v>5527</v>
      </c>
      <c r="L83" s="61" t="s">
        <v>6056</v>
      </c>
      <c r="M83" s="61" t="s">
        <v>5701</v>
      </c>
    </row>
    <row r="84" spans="1:13" ht="52.7" customHeight="1">
      <c r="A84" s="61" t="s">
        <v>5702</v>
      </c>
      <c r="B84" s="61" t="s">
        <v>5691</v>
      </c>
      <c r="C84" s="61" t="s">
        <v>5692</v>
      </c>
      <c r="D84" s="61" t="s">
        <v>173</v>
      </c>
      <c r="E84" s="61" t="s">
        <v>178</v>
      </c>
      <c r="F84" s="61" t="s">
        <v>1407</v>
      </c>
      <c r="G84" s="61" t="s">
        <v>4777</v>
      </c>
      <c r="H84" s="61" t="s">
        <v>5703</v>
      </c>
      <c r="I84" s="61" t="s">
        <v>5694</v>
      </c>
      <c r="J84" s="61" t="s">
        <v>5526</v>
      </c>
      <c r="K84" s="61" t="s">
        <v>5527</v>
      </c>
      <c r="L84" s="61" t="s">
        <v>6056</v>
      </c>
      <c r="M84" s="61" t="s">
        <v>5704</v>
      </c>
    </row>
    <row r="85" spans="1:13" ht="52.7" customHeight="1">
      <c r="A85" s="61" t="s">
        <v>5705</v>
      </c>
      <c r="B85" s="61" t="s">
        <v>5691</v>
      </c>
      <c r="C85" s="61" t="s">
        <v>5692</v>
      </c>
      <c r="D85" s="61" t="s">
        <v>4778</v>
      </c>
      <c r="E85" s="61" t="s">
        <v>193</v>
      </c>
      <c r="F85" s="61" t="s">
        <v>1407</v>
      </c>
      <c r="G85" s="61" t="s">
        <v>4788</v>
      </c>
      <c r="H85" s="61" t="s">
        <v>5706</v>
      </c>
      <c r="I85" s="61" t="s">
        <v>5694</v>
      </c>
      <c r="J85" s="61" t="s">
        <v>5526</v>
      </c>
      <c r="K85" s="61" t="s">
        <v>5527</v>
      </c>
      <c r="L85" s="61" t="s">
        <v>6056</v>
      </c>
      <c r="M85" s="61" t="s">
        <v>5707</v>
      </c>
    </row>
    <row r="86" spans="1:13" ht="52.7" customHeight="1">
      <c r="A86" s="61" t="s">
        <v>5708</v>
      </c>
      <c r="B86" s="61" t="s">
        <v>5691</v>
      </c>
      <c r="C86" s="61" t="s">
        <v>5692</v>
      </c>
      <c r="D86" s="61" t="s">
        <v>196</v>
      </c>
      <c r="E86" s="61" t="s">
        <v>201</v>
      </c>
      <c r="F86" s="61" t="s">
        <v>1394</v>
      </c>
      <c r="G86" s="61" t="s">
        <v>4798</v>
      </c>
      <c r="H86" s="61" t="s">
        <v>5709</v>
      </c>
      <c r="I86" s="61" t="s">
        <v>5694</v>
      </c>
      <c r="J86" s="61" t="s">
        <v>5526</v>
      </c>
      <c r="K86" s="61" t="s">
        <v>5527</v>
      </c>
      <c r="L86" s="61" t="s">
        <v>6056</v>
      </c>
      <c r="M86" s="61" t="s">
        <v>5710</v>
      </c>
    </row>
    <row r="87" spans="1:13" ht="52.7" customHeight="1">
      <c r="A87" s="61" t="s">
        <v>5711</v>
      </c>
      <c r="B87" s="61" t="s">
        <v>5691</v>
      </c>
      <c r="C87" s="61" t="s">
        <v>5692</v>
      </c>
      <c r="D87" s="61" t="s">
        <v>4799</v>
      </c>
      <c r="E87" s="61" t="s">
        <v>221</v>
      </c>
      <c r="F87" s="61" t="s">
        <v>1407</v>
      </c>
      <c r="G87" s="61" t="s">
        <v>4809</v>
      </c>
      <c r="H87" s="61" t="s">
        <v>5712</v>
      </c>
      <c r="I87" s="61" t="s">
        <v>5694</v>
      </c>
      <c r="J87" s="61" t="s">
        <v>5526</v>
      </c>
      <c r="K87" s="61" t="s">
        <v>5527</v>
      </c>
      <c r="L87" s="61" t="s">
        <v>6056</v>
      </c>
      <c r="M87" s="61" t="s">
        <v>5713</v>
      </c>
    </row>
    <row r="88" spans="1:13" ht="52.7" customHeight="1">
      <c r="A88" s="61" t="s">
        <v>5714</v>
      </c>
      <c r="B88" s="61" t="s">
        <v>5691</v>
      </c>
      <c r="C88" s="61" t="s">
        <v>5692</v>
      </c>
      <c r="D88" s="61" t="s">
        <v>239</v>
      </c>
      <c r="E88" s="61" t="s">
        <v>244</v>
      </c>
      <c r="F88" s="61" t="s">
        <v>1419</v>
      </c>
      <c r="G88" s="61" t="s">
        <v>4819</v>
      </c>
      <c r="H88" s="61" t="s">
        <v>5715</v>
      </c>
      <c r="I88" s="61" t="s">
        <v>5694</v>
      </c>
      <c r="J88" s="61" t="s">
        <v>5526</v>
      </c>
      <c r="K88" s="61" t="s">
        <v>5527</v>
      </c>
      <c r="L88" s="61" t="s">
        <v>6056</v>
      </c>
      <c r="M88" s="61" t="s">
        <v>5716</v>
      </c>
    </row>
    <row r="89" spans="1:13" ht="52.7" customHeight="1">
      <c r="A89" s="61" t="s">
        <v>5717</v>
      </c>
      <c r="B89" s="61" t="s">
        <v>5691</v>
      </c>
      <c r="C89" s="61" t="s">
        <v>5692</v>
      </c>
      <c r="D89" s="61" t="s">
        <v>262</v>
      </c>
      <c r="E89" s="61" t="s">
        <v>267</v>
      </c>
      <c r="F89" s="61" t="s">
        <v>1394</v>
      </c>
      <c r="G89" s="61" t="s">
        <v>4829</v>
      </c>
      <c r="H89" s="61" t="s">
        <v>5718</v>
      </c>
      <c r="I89" s="61" t="s">
        <v>5694</v>
      </c>
      <c r="J89" s="61" t="s">
        <v>5526</v>
      </c>
      <c r="K89" s="61" t="s">
        <v>5527</v>
      </c>
      <c r="L89" s="61" t="s">
        <v>6056</v>
      </c>
      <c r="M89" s="61" t="s">
        <v>5719</v>
      </c>
    </row>
    <row r="90" spans="1:13" ht="52.7" customHeight="1">
      <c r="A90" s="61" t="s">
        <v>5720</v>
      </c>
      <c r="B90" s="61" t="s">
        <v>5691</v>
      </c>
      <c r="C90" s="61" t="s">
        <v>5692</v>
      </c>
      <c r="D90" s="61" t="s">
        <v>270</v>
      </c>
      <c r="E90" s="61" t="s">
        <v>275</v>
      </c>
      <c r="F90" s="61" t="s">
        <v>1419</v>
      </c>
      <c r="G90" s="61" t="s">
        <v>4839</v>
      </c>
      <c r="H90" s="61" t="s">
        <v>5721</v>
      </c>
      <c r="I90" s="61" t="s">
        <v>5694</v>
      </c>
      <c r="J90" s="61" t="s">
        <v>5526</v>
      </c>
      <c r="K90" s="61" t="s">
        <v>5527</v>
      </c>
      <c r="L90" s="61" t="s">
        <v>6056</v>
      </c>
      <c r="M90" s="61" t="s">
        <v>5722</v>
      </c>
    </row>
    <row r="91" spans="1:13" ht="52.7" customHeight="1">
      <c r="A91" s="61" t="s">
        <v>5723</v>
      </c>
      <c r="B91" s="61" t="s">
        <v>5691</v>
      </c>
      <c r="C91" s="61" t="s">
        <v>5692</v>
      </c>
      <c r="D91" s="61" t="s">
        <v>278</v>
      </c>
      <c r="E91" s="61" t="s">
        <v>283</v>
      </c>
      <c r="F91" s="61" t="s">
        <v>1394</v>
      </c>
      <c r="G91" s="61" t="s">
        <v>4849</v>
      </c>
      <c r="H91" s="61" t="s">
        <v>5724</v>
      </c>
      <c r="I91" s="61" t="s">
        <v>5694</v>
      </c>
      <c r="J91" s="61" t="s">
        <v>5526</v>
      </c>
      <c r="K91" s="61" t="s">
        <v>5527</v>
      </c>
      <c r="L91" s="61" t="s">
        <v>6056</v>
      </c>
      <c r="M91" s="61" t="s">
        <v>5725</v>
      </c>
    </row>
    <row r="92" spans="1:13" ht="52.7" customHeight="1">
      <c r="A92" s="61" t="s">
        <v>5726</v>
      </c>
      <c r="B92" s="61" t="s">
        <v>5691</v>
      </c>
      <c r="C92" s="61" t="s">
        <v>5692</v>
      </c>
      <c r="D92" s="61" t="s">
        <v>298</v>
      </c>
      <c r="E92" s="61" t="s">
        <v>302</v>
      </c>
      <c r="F92" s="61" t="s">
        <v>1394</v>
      </c>
      <c r="G92" s="61" t="s">
        <v>4859</v>
      </c>
      <c r="H92" s="61" t="s">
        <v>5727</v>
      </c>
      <c r="I92" s="61" t="s">
        <v>5694</v>
      </c>
      <c r="J92" s="61" t="s">
        <v>5526</v>
      </c>
      <c r="K92" s="61" t="s">
        <v>5527</v>
      </c>
      <c r="L92" s="61" t="s">
        <v>6056</v>
      </c>
      <c r="M92" s="61" t="s">
        <v>5728</v>
      </c>
    </row>
    <row r="93" spans="1:13" ht="52.7" customHeight="1">
      <c r="A93" s="61" t="s">
        <v>5729</v>
      </c>
      <c r="B93" s="61" t="s">
        <v>5691</v>
      </c>
      <c r="C93" s="61" t="s">
        <v>5692</v>
      </c>
      <c r="D93" s="61" t="s">
        <v>305</v>
      </c>
      <c r="E93" s="61" t="s">
        <v>309</v>
      </c>
      <c r="F93" s="61" t="s">
        <v>1407</v>
      </c>
      <c r="G93" s="61" t="s">
        <v>4869</v>
      </c>
      <c r="H93" s="61" t="s">
        <v>5730</v>
      </c>
      <c r="I93" s="61" t="s">
        <v>5694</v>
      </c>
      <c r="J93" s="61" t="s">
        <v>5526</v>
      </c>
      <c r="K93" s="61" t="s">
        <v>5527</v>
      </c>
      <c r="L93" s="61" t="s">
        <v>6056</v>
      </c>
      <c r="M93" s="61" t="s">
        <v>5731</v>
      </c>
    </row>
    <row r="94" spans="1:13" ht="52.7" customHeight="1">
      <c r="A94" s="61" t="s">
        <v>5732</v>
      </c>
      <c r="B94" s="61" t="s">
        <v>5691</v>
      </c>
      <c r="C94" s="61" t="s">
        <v>5692</v>
      </c>
      <c r="D94" s="61" t="s">
        <v>312</v>
      </c>
      <c r="E94" s="61" t="s">
        <v>316</v>
      </c>
      <c r="F94" s="61" t="s">
        <v>1419</v>
      </c>
      <c r="G94" s="61" t="s">
        <v>4879</v>
      </c>
      <c r="H94" s="61" t="s">
        <v>5733</v>
      </c>
      <c r="I94" s="61" t="s">
        <v>5694</v>
      </c>
      <c r="J94" s="61" t="s">
        <v>5526</v>
      </c>
      <c r="K94" s="61" t="s">
        <v>5527</v>
      </c>
      <c r="L94" s="61" t="s">
        <v>6056</v>
      </c>
      <c r="M94" s="61" t="s">
        <v>5734</v>
      </c>
    </row>
    <row r="95" spans="1:13" ht="52.7" customHeight="1">
      <c r="A95" s="61" t="s">
        <v>5735</v>
      </c>
      <c r="B95" s="61" t="s">
        <v>5691</v>
      </c>
      <c r="C95" s="61" t="s">
        <v>5692</v>
      </c>
      <c r="D95" s="61" t="s">
        <v>490</v>
      </c>
      <c r="E95" s="61" t="s">
        <v>1073</v>
      </c>
      <c r="F95" s="61" t="s">
        <v>4881</v>
      </c>
      <c r="G95" s="61" t="s">
        <v>4892</v>
      </c>
      <c r="H95" s="61" t="s">
        <v>5736</v>
      </c>
      <c r="I95" s="61" t="s">
        <v>5694</v>
      </c>
      <c r="J95" s="61" t="s">
        <v>5526</v>
      </c>
      <c r="K95" s="61" t="s">
        <v>5527</v>
      </c>
      <c r="L95" s="61" t="s">
        <v>6056</v>
      </c>
      <c r="M95" s="61" t="s">
        <v>5737</v>
      </c>
    </row>
    <row r="96" spans="1:13" ht="52.7" customHeight="1">
      <c r="A96" s="61" t="s">
        <v>5738</v>
      </c>
      <c r="B96" s="61" t="s">
        <v>5691</v>
      </c>
      <c r="C96" s="61" t="s">
        <v>5692</v>
      </c>
      <c r="D96" s="61" t="s">
        <v>497</v>
      </c>
      <c r="E96" s="61" t="s">
        <v>1082</v>
      </c>
      <c r="F96" s="61" t="s">
        <v>1394</v>
      </c>
      <c r="G96" s="61" t="s">
        <v>4904</v>
      </c>
      <c r="H96" s="61" t="s">
        <v>5739</v>
      </c>
      <c r="I96" s="61" t="s">
        <v>5694</v>
      </c>
      <c r="J96" s="61" t="s">
        <v>5526</v>
      </c>
      <c r="K96" s="61" t="s">
        <v>5527</v>
      </c>
      <c r="L96" s="61" t="s">
        <v>6056</v>
      </c>
      <c r="M96" s="61" t="s">
        <v>5740</v>
      </c>
    </row>
    <row r="97" spans="1:13" ht="39.6" customHeight="1">
      <c r="A97" s="61" t="s">
        <v>5741</v>
      </c>
      <c r="B97" s="61" t="s">
        <v>5691</v>
      </c>
      <c r="C97" s="61" t="s">
        <v>5692</v>
      </c>
      <c r="D97" s="61" t="s">
        <v>502</v>
      </c>
      <c r="E97" s="61" t="s">
        <v>1083</v>
      </c>
      <c r="F97" s="61" t="s">
        <v>1407</v>
      </c>
      <c r="G97" s="61" t="s">
        <v>4915</v>
      </c>
      <c r="H97" s="61" t="s">
        <v>5742</v>
      </c>
      <c r="I97" s="61" t="s">
        <v>5694</v>
      </c>
      <c r="J97" s="61" t="s">
        <v>5526</v>
      </c>
      <c r="K97" s="61" t="s">
        <v>5527</v>
      </c>
      <c r="L97" s="61" t="s">
        <v>6056</v>
      </c>
      <c r="M97" s="61" t="s">
        <v>5743</v>
      </c>
    </row>
    <row r="98" spans="1:13" ht="52.7" customHeight="1">
      <c r="A98" s="61" t="s">
        <v>5744</v>
      </c>
      <c r="B98" s="61" t="s">
        <v>5691</v>
      </c>
      <c r="C98" s="61" t="s">
        <v>5692</v>
      </c>
      <c r="D98" s="61" t="s">
        <v>507</v>
      </c>
      <c r="E98" s="61" t="s">
        <v>1091</v>
      </c>
      <c r="F98" s="61" t="s">
        <v>1407</v>
      </c>
      <c r="G98" s="61" t="s">
        <v>4926</v>
      </c>
      <c r="H98" s="61" t="s">
        <v>5745</v>
      </c>
      <c r="I98" s="61" t="s">
        <v>5694</v>
      </c>
      <c r="J98" s="61" t="s">
        <v>5526</v>
      </c>
      <c r="K98" s="61" t="s">
        <v>5527</v>
      </c>
      <c r="L98" s="61" t="s">
        <v>6056</v>
      </c>
      <c r="M98" s="61" t="s">
        <v>5746</v>
      </c>
    </row>
    <row r="99" spans="1:13" ht="39.6" customHeight="1">
      <c r="A99" s="61" t="s">
        <v>5747</v>
      </c>
      <c r="B99" s="61" t="s">
        <v>5691</v>
      </c>
      <c r="C99" s="61" t="s">
        <v>5692</v>
      </c>
      <c r="D99" s="61" t="s">
        <v>523</v>
      </c>
      <c r="E99" s="61" t="s">
        <v>1100</v>
      </c>
      <c r="F99" s="61" t="s">
        <v>1407</v>
      </c>
      <c r="G99" s="61" t="s">
        <v>4936</v>
      </c>
      <c r="H99" s="61" t="s">
        <v>5748</v>
      </c>
      <c r="I99" s="61" t="s">
        <v>5694</v>
      </c>
      <c r="J99" s="61" t="s">
        <v>5526</v>
      </c>
      <c r="K99" s="61" t="s">
        <v>5527</v>
      </c>
      <c r="L99" s="61" t="s">
        <v>6056</v>
      </c>
      <c r="M99" s="61" t="s">
        <v>5749</v>
      </c>
    </row>
    <row r="100" spans="1:13" ht="52.7" customHeight="1">
      <c r="A100" s="61" t="s">
        <v>5750</v>
      </c>
      <c r="B100" s="61" t="s">
        <v>5691</v>
      </c>
      <c r="C100" s="61" t="s">
        <v>5692</v>
      </c>
      <c r="D100" s="61" t="s">
        <v>528</v>
      </c>
      <c r="E100" s="61" t="s">
        <v>1107</v>
      </c>
      <c r="F100" s="61" t="s">
        <v>1394</v>
      </c>
      <c r="G100" s="61" t="s">
        <v>4947</v>
      </c>
      <c r="H100" s="61" t="s">
        <v>5751</v>
      </c>
      <c r="I100" s="61" t="s">
        <v>5694</v>
      </c>
      <c r="J100" s="61" t="s">
        <v>5526</v>
      </c>
      <c r="K100" s="61" t="s">
        <v>5527</v>
      </c>
      <c r="L100" s="61" t="s">
        <v>6056</v>
      </c>
      <c r="M100" s="61" t="s">
        <v>5752</v>
      </c>
    </row>
    <row r="101" spans="1:13" ht="52.7" customHeight="1">
      <c r="A101" s="61" t="s">
        <v>5753</v>
      </c>
      <c r="B101" s="61" t="s">
        <v>5691</v>
      </c>
      <c r="C101" s="61" t="s">
        <v>5692</v>
      </c>
      <c r="D101" s="61" t="s">
        <v>533</v>
      </c>
      <c r="E101" s="61" t="s">
        <v>1115</v>
      </c>
      <c r="F101" s="61" t="s">
        <v>1394</v>
      </c>
      <c r="G101" s="61" t="s">
        <v>4957</v>
      </c>
      <c r="H101" s="61" t="s">
        <v>5754</v>
      </c>
      <c r="I101" s="61" t="s">
        <v>5694</v>
      </c>
      <c r="J101" s="61" t="s">
        <v>5526</v>
      </c>
      <c r="K101" s="61" t="s">
        <v>5527</v>
      </c>
      <c r="L101" s="61" t="s">
        <v>6056</v>
      </c>
      <c r="M101" s="61" t="s">
        <v>5755</v>
      </c>
    </row>
    <row r="102" spans="1:13" ht="52.7" customHeight="1">
      <c r="A102" s="61" t="s">
        <v>5756</v>
      </c>
      <c r="B102" s="61" t="s">
        <v>5691</v>
      </c>
      <c r="C102" s="61" t="s">
        <v>5692</v>
      </c>
      <c r="D102" s="61" t="s">
        <v>537</v>
      </c>
      <c r="E102" s="61" t="s">
        <v>539</v>
      </c>
      <c r="F102" s="61" t="s">
        <v>1488</v>
      </c>
      <c r="G102" s="61" t="s">
        <v>4969</v>
      </c>
      <c r="H102" s="61" t="s">
        <v>5757</v>
      </c>
      <c r="I102" s="61" t="s">
        <v>5694</v>
      </c>
      <c r="J102" s="61" t="s">
        <v>5526</v>
      </c>
      <c r="K102" s="61" t="s">
        <v>5527</v>
      </c>
      <c r="L102" s="61" t="s">
        <v>6056</v>
      </c>
      <c r="M102" s="61" t="s">
        <v>5758</v>
      </c>
    </row>
    <row r="103" spans="1:13" ht="52.7" customHeight="1">
      <c r="A103" s="61" t="s">
        <v>5759</v>
      </c>
      <c r="B103" s="61" t="s">
        <v>5691</v>
      </c>
      <c r="C103" s="61" t="s">
        <v>5692</v>
      </c>
      <c r="D103" s="61" t="s">
        <v>543</v>
      </c>
      <c r="E103" s="61" t="s">
        <v>544</v>
      </c>
      <c r="F103" s="61" t="s">
        <v>4881</v>
      </c>
      <c r="G103" s="61" t="s">
        <v>4980</v>
      </c>
      <c r="H103" s="61" t="s">
        <v>5760</v>
      </c>
      <c r="I103" s="61" t="s">
        <v>5694</v>
      </c>
      <c r="J103" s="61" t="s">
        <v>5526</v>
      </c>
      <c r="K103" s="61" t="s">
        <v>5527</v>
      </c>
      <c r="L103" s="61" t="s">
        <v>6056</v>
      </c>
      <c r="M103" s="61" t="s">
        <v>5761</v>
      </c>
    </row>
    <row r="104" spans="1:13" ht="52.7" customHeight="1">
      <c r="A104" s="61" t="s">
        <v>5762</v>
      </c>
      <c r="B104" s="61" t="s">
        <v>5691</v>
      </c>
      <c r="C104" s="61" t="s">
        <v>5692</v>
      </c>
      <c r="D104" s="61" t="s">
        <v>1386</v>
      </c>
      <c r="E104" s="61" t="s">
        <v>1249</v>
      </c>
      <c r="F104" s="61" t="s">
        <v>1394</v>
      </c>
      <c r="G104" s="61" t="s">
        <v>1400</v>
      </c>
      <c r="H104" s="61" t="s">
        <v>5763</v>
      </c>
      <c r="I104" s="61" t="s">
        <v>5694</v>
      </c>
      <c r="J104" s="61" t="s">
        <v>5526</v>
      </c>
      <c r="K104" s="61" t="s">
        <v>5527</v>
      </c>
      <c r="L104" s="61" t="s">
        <v>6056</v>
      </c>
      <c r="M104" s="61" t="s">
        <v>5764</v>
      </c>
    </row>
    <row r="105" spans="1:13" ht="52.7" customHeight="1">
      <c r="A105" s="61" t="s">
        <v>5765</v>
      </c>
      <c r="B105" s="61" t="s">
        <v>5691</v>
      </c>
      <c r="C105" s="61" t="s">
        <v>5692</v>
      </c>
      <c r="D105" s="61" t="s">
        <v>1402</v>
      </c>
      <c r="E105" s="61" t="s">
        <v>1250</v>
      </c>
      <c r="F105" s="61" t="s">
        <v>1407</v>
      </c>
      <c r="G105" s="61" t="s">
        <v>1413</v>
      </c>
      <c r="H105" s="61" t="s">
        <v>5766</v>
      </c>
      <c r="I105" s="61" t="s">
        <v>5694</v>
      </c>
      <c r="J105" s="61" t="s">
        <v>5526</v>
      </c>
      <c r="K105" s="61" t="s">
        <v>5527</v>
      </c>
      <c r="L105" s="61" t="s">
        <v>6056</v>
      </c>
      <c r="M105" s="61" t="s">
        <v>5767</v>
      </c>
    </row>
    <row r="106" spans="1:13" ht="52.7" customHeight="1">
      <c r="A106" s="61" t="s">
        <v>5768</v>
      </c>
      <c r="B106" s="61" t="s">
        <v>5691</v>
      </c>
      <c r="C106" s="61" t="s">
        <v>5692</v>
      </c>
      <c r="D106" s="61" t="s">
        <v>1414</v>
      </c>
      <c r="E106" s="61" t="s">
        <v>1271</v>
      </c>
      <c r="F106" s="61" t="s">
        <v>1419</v>
      </c>
      <c r="G106" s="61" t="s">
        <v>1425</v>
      </c>
      <c r="H106" s="61" t="s">
        <v>5769</v>
      </c>
      <c r="I106" s="61" t="s">
        <v>5694</v>
      </c>
      <c r="J106" s="61" t="s">
        <v>5526</v>
      </c>
      <c r="K106" s="61" t="s">
        <v>5527</v>
      </c>
      <c r="L106" s="61" t="s">
        <v>6056</v>
      </c>
      <c r="M106" s="61" t="s">
        <v>5770</v>
      </c>
    </row>
    <row r="107" spans="1:13" ht="52.7" customHeight="1">
      <c r="A107" s="61" t="s">
        <v>5771</v>
      </c>
      <c r="B107" s="61" t="s">
        <v>5691</v>
      </c>
      <c r="C107" s="61" t="s">
        <v>5692</v>
      </c>
      <c r="D107" s="61" t="s">
        <v>1426</v>
      </c>
      <c r="E107" s="61" t="s">
        <v>1254</v>
      </c>
      <c r="F107" s="61" t="s">
        <v>1394</v>
      </c>
      <c r="G107" s="61" t="s">
        <v>1437</v>
      </c>
      <c r="H107" s="61" t="s">
        <v>5772</v>
      </c>
      <c r="I107" s="61" t="s">
        <v>5694</v>
      </c>
      <c r="J107" s="61" t="s">
        <v>5526</v>
      </c>
      <c r="K107" s="61" t="s">
        <v>5527</v>
      </c>
      <c r="L107" s="61" t="s">
        <v>6056</v>
      </c>
      <c r="M107" s="61" t="s">
        <v>5773</v>
      </c>
    </row>
    <row r="108" spans="1:13" ht="52.7" customHeight="1">
      <c r="A108" s="61" t="s">
        <v>5774</v>
      </c>
      <c r="B108" s="61" t="s">
        <v>5691</v>
      </c>
      <c r="C108" s="61" t="s">
        <v>5692</v>
      </c>
      <c r="D108" s="61" t="s">
        <v>1438</v>
      </c>
      <c r="E108" s="61" t="s">
        <v>1253</v>
      </c>
      <c r="F108" s="61" t="s">
        <v>1419</v>
      </c>
      <c r="G108" s="61" t="s">
        <v>1449</v>
      </c>
      <c r="H108" s="61" t="s">
        <v>5775</v>
      </c>
      <c r="I108" s="61" t="s">
        <v>5694</v>
      </c>
      <c r="J108" s="61" t="s">
        <v>5526</v>
      </c>
      <c r="K108" s="61" t="s">
        <v>5527</v>
      </c>
      <c r="L108" s="61" t="s">
        <v>6056</v>
      </c>
      <c r="M108" s="61" t="s">
        <v>5776</v>
      </c>
    </row>
    <row r="109" spans="1:13" ht="52.7" customHeight="1">
      <c r="A109" s="61" t="s">
        <v>5777</v>
      </c>
      <c r="B109" s="61" t="s">
        <v>5691</v>
      </c>
      <c r="C109" s="61" t="s">
        <v>5692</v>
      </c>
      <c r="D109" s="61" t="s">
        <v>1450</v>
      </c>
      <c r="E109" s="61" t="s">
        <v>1270</v>
      </c>
      <c r="F109" s="61" t="s">
        <v>1407</v>
      </c>
      <c r="G109" s="61" t="s">
        <v>1461</v>
      </c>
      <c r="H109" s="61" t="s">
        <v>5778</v>
      </c>
      <c r="I109" s="61" t="s">
        <v>5694</v>
      </c>
      <c r="J109" s="61" t="s">
        <v>5526</v>
      </c>
      <c r="K109" s="61" t="s">
        <v>5527</v>
      </c>
      <c r="L109" s="61" t="s">
        <v>6056</v>
      </c>
      <c r="M109" s="61" t="s">
        <v>5779</v>
      </c>
    </row>
    <row r="110" spans="1:13" ht="52.7" customHeight="1">
      <c r="A110" s="61" t="s">
        <v>5780</v>
      </c>
      <c r="B110" s="61" t="s">
        <v>5691</v>
      </c>
      <c r="C110" s="61" t="s">
        <v>5692</v>
      </c>
      <c r="D110" s="61" t="s">
        <v>1462</v>
      </c>
      <c r="E110" s="61" t="s">
        <v>1255</v>
      </c>
      <c r="F110" s="61" t="s">
        <v>1419</v>
      </c>
      <c r="G110" s="61" t="s">
        <v>1472</v>
      </c>
      <c r="H110" s="61" t="s">
        <v>5781</v>
      </c>
      <c r="I110" s="61" t="s">
        <v>5694</v>
      </c>
      <c r="J110" s="61" t="s">
        <v>5526</v>
      </c>
      <c r="K110" s="61" t="s">
        <v>5527</v>
      </c>
      <c r="L110" s="61" t="s">
        <v>6056</v>
      </c>
      <c r="M110" s="61" t="s">
        <v>5782</v>
      </c>
    </row>
    <row r="111" spans="1:13" ht="52.7" customHeight="1">
      <c r="A111" s="61" t="s">
        <v>5783</v>
      </c>
      <c r="B111" s="61" t="s">
        <v>5691</v>
      </c>
      <c r="C111" s="61" t="s">
        <v>5692</v>
      </c>
      <c r="D111" s="61" t="s">
        <v>1473</v>
      </c>
      <c r="E111" s="61" t="s">
        <v>1256</v>
      </c>
      <c r="F111" s="61" t="s">
        <v>1407</v>
      </c>
      <c r="G111" s="61" t="s">
        <v>1482</v>
      </c>
      <c r="H111" s="61" t="s">
        <v>5784</v>
      </c>
      <c r="I111" s="61" t="s">
        <v>5694</v>
      </c>
      <c r="J111" s="61" t="s">
        <v>5526</v>
      </c>
      <c r="K111" s="61" t="s">
        <v>5527</v>
      </c>
      <c r="L111" s="61" t="s">
        <v>6056</v>
      </c>
      <c r="M111" s="61" t="s">
        <v>5785</v>
      </c>
    </row>
    <row r="112" spans="1:13" ht="52.7" customHeight="1">
      <c r="A112" s="61" t="s">
        <v>5786</v>
      </c>
      <c r="B112" s="61" t="s">
        <v>5691</v>
      </c>
      <c r="C112" s="61" t="s">
        <v>5692</v>
      </c>
      <c r="D112" s="61" t="s">
        <v>1483</v>
      </c>
      <c r="E112" s="61" t="s">
        <v>1287</v>
      </c>
      <c r="F112" s="61" t="s">
        <v>1488</v>
      </c>
      <c r="G112" s="61" t="s">
        <v>1494</v>
      </c>
      <c r="H112" s="61" t="s">
        <v>5787</v>
      </c>
      <c r="I112" s="61" t="s">
        <v>5694</v>
      </c>
      <c r="J112" s="61" t="s">
        <v>5526</v>
      </c>
      <c r="K112" s="61" t="s">
        <v>5527</v>
      </c>
      <c r="L112" s="61" t="s">
        <v>6056</v>
      </c>
      <c r="M112" s="61" t="s">
        <v>5788</v>
      </c>
    </row>
    <row r="113" spans="1:13" ht="52.7" customHeight="1">
      <c r="A113" s="61" t="s">
        <v>5789</v>
      </c>
      <c r="B113" s="61" t="s">
        <v>5691</v>
      </c>
      <c r="C113" s="61" t="s">
        <v>5692</v>
      </c>
      <c r="D113" s="61" t="s">
        <v>1495</v>
      </c>
      <c r="E113" s="61" t="s">
        <v>1302</v>
      </c>
      <c r="F113" s="61" t="s">
        <v>1419</v>
      </c>
      <c r="G113" s="61" t="s">
        <v>1505</v>
      </c>
      <c r="H113" s="61" t="s">
        <v>5790</v>
      </c>
      <c r="I113" s="61" t="s">
        <v>5694</v>
      </c>
      <c r="J113" s="61" t="s">
        <v>5526</v>
      </c>
      <c r="K113" s="61" t="s">
        <v>5527</v>
      </c>
      <c r="L113" s="61" t="s">
        <v>6056</v>
      </c>
      <c r="M113" s="61" t="s">
        <v>5791</v>
      </c>
    </row>
    <row r="114" spans="1:13" ht="52.7" customHeight="1">
      <c r="A114" s="61" t="s">
        <v>5792</v>
      </c>
      <c r="B114" s="61" t="s">
        <v>5691</v>
      </c>
      <c r="C114" s="61" t="s">
        <v>5692</v>
      </c>
      <c r="D114" s="61" t="s">
        <v>1506</v>
      </c>
      <c r="E114" s="61" t="s">
        <v>1291</v>
      </c>
      <c r="F114" s="61" t="s">
        <v>1394</v>
      </c>
      <c r="G114" s="61" t="s">
        <v>1515</v>
      </c>
      <c r="H114" s="61" t="s">
        <v>5793</v>
      </c>
      <c r="I114" s="61" t="s">
        <v>5694</v>
      </c>
      <c r="J114" s="61" t="s">
        <v>5526</v>
      </c>
      <c r="K114" s="61" t="s">
        <v>5527</v>
      </c>
      <c r="L114" s="61" t="s">
        <v>6056</v>
      </c>
      <c r="M114" s="61" t="s">
        <v>5794</v>
      </c>
    </row>
    <row r="115" spans="1:13" ht="52.7" customHeight="1">
      <c r="A115" s="61" t="s">
        <v>5795</v>
      </c>
      <c r="B115" s="61" t="s">
        <v>5691</v>
      </c>
      <c r="C115" s="61" t="s">
        <v>5692</v>
      </c>
      <c r="D115" s="61" t="s">
        <v>1516</v>
      </c>
      <c r="E115" s="61" t="s">
        <v>1286</v>
      </c>
      <c r="F115" s="61" t="s">
        <v>1419</v>
      </c>
      <c r="G115" s="61" t="s">
        <v>1527</v>
      </c>
      <c r="H115" s="61" t="s">
        <v>5796</v>
      </c>
      <c r="I115" s="61" t="s">
        <v>5694</v>
      </c>
      <c r="J115" s="61" t="s">
        <v>5526</v>
      </c>
      <c r="K115" s="61" t="s">
        <v>5527</v>
      </c>
      <c r="L115" s="61" t="s">
        <v>6056</v>
      </c>
      <c r="M115" s="61" t="s">
        <v>5797</v>
      </c>
    </row>
    <row r="116" spans="1:13" ht="52.7" customHeight="1">
      <c r="A116" s="61" t="s">
        <v>5798</v>
      </c>
      <c r="B116" s="61" t="s">
        <v>5799</v>
      </c>
      <c r="C116" s="61" t="s">
        <v>5800</v>
      </c>
      <c r="D116" s="61" t="s">
        <v>1386</v>
      </c>
      <c r="E116" s="61" t="s">
        <v>1249</v>
      </c>
      <c r="F116" s="61" t="s">
        <v>1394</v>
      </c>
      <c r="G116" s="61" t="s">
        <v>1400</v>
      </c>
      <c r="H116" s="61" t="s">
        <v>5801</v>
      </c>
      <c r="I116" s="61" t="s">
        <v>5802</v>
      </c>
      <c r="J116" s="61" t="s">
        <v>5526</v>
      </c>
      <c r="K116" s="61" t="s">
        <v>5527</v>
      </c>
      <c r="L116" s="61" t="s">
        <v>6056</v>
      </c>
      <c r="M116" s="61" t="s">
        <v>5803</v>
      </c>
    </row>
    <row r="117" spans="1:13" ht="52.7" customHeight="1">
      <c r="A117" s="61" t="s">
        <v>5804</v>
      </c>
      <c r="B117" s="61" t="s">
        <v>5799</v>
      </c>
      <c r="C117" s="61" t="s">
        <v>5800</v>
      </c>
      <c r="D117" s="61" t="s">
        <v>1402</v>
      </c>
      <c r="E117" s="61" t="s">
        <v>1250</v>
      </c>
      <c r="F117" s="61" t="s">
        <v>1407</v>
      </c>
      <c r="G117" s="61" t="s">
        <v>1413</v>
      </c>
      <c r="H117" s="61" t="s">
        <v>5805</v>
      </c>
      <c r="I117" s="61" t="s">
        <v>5802</v>
      </c>
      <c r="J117" s="61" t="s">
        <v>5526</v>
      </c>
      <c r="K117" s="61" t="s">
        <v>5527</v>
      </c>
      <c r="L117" s="61" t="s">
        <v>6056</v>
      </c>
      <c r="M117" s="61" t="s">
        <v>5806</v>
      </c>
    </row>
    <row r="118" spans="1:13" ht="52.7" customHeight="1">
      <c r="A118" s="61" t="s">
        <v>5807</v>
      </c>
      <c r="B118" s="61" t="s">
        <v>5799</v>
      </c>
      <c r="C118" s="61" t="s">
        <v>5800</v>
      </c>
      <c r="D118" s="61" t="s">
        <v>1414</v>
      </c>
      <c r="E118" s="61" t="s">
        <v>1271</v>
      </c>
      <c r="F118" s="61" t="s">
        <v>1419</v>
      </c>
      <c r="G118" s="61" t="s">
        <v>1425</v>
      </c>
      <c r="H118" s="61" t="s">
        <v>5808</v>
      </c>
      <c r="I118" s="61" t="s">
        <v>5802</v>
      </c>
      <c r="J118" s="61" t="s">
        <v>5526</v>
      </c>
      <c r="K118" s="61" t="s">
        <v>5527</v>
      </c>
      <c r="L118" s="61" t="s">
        <v>6056</v>
      </c>
      <c r="M118" s="61" t="s">
        <v>5809</v>
      </c>
    </row>
    <row r="119" spans="1:13" ht="52.7" customHeight="1">
      <c r="A119" s="61" t="s">
        <v>5810</v>
      </c>
      <c r="B119" s="61" t="s">
        <v>5799</v>
      </c>
      <c r="C119" s="61" t="s">
        <v>5800</v>
      </c>
      <c r="D119" s="61" t="s">
        <v>1426</v>
      </c>
      <c r="E119" s="61" t="s">
        <v>1254</v>
      </c>
      <c r="F119" s="61" t="s">
        <v>1394</v>
      </c>
      <c r="G119" s="61" t="s">
        <v>1437</v>
      </c>
      <c r="H119" s="61" t="s">
        <v>5811</v>
      </c>
      <c r="I119" s="61" t="s">
        <v>5802</v>
      </c>
      <c r="J119" s="61" t="s">
        <v>5526</v>
      </c>
      <c r="K119" s="61" t="s">
        <v>5527</v>
      </c>
      <c r="L119" s="61" t="s">
        <v>6056</v>
      </c>
      <c r="M119" s="61" t="s">
        <v>5812</v>
      </c>
    </row>
    <row r="120" spans="1:13" ht="52.7" customHeight="1">
      <c r="A120" s="61" t="s">
        <v>5813</v>
      </c>
      <c r="B120" s="61" t="s">
        <v>5799</v>
      </c>
      <c r="C120" s="61" t="s">
        <v>5800</v>
      </c>
      <c r="D120" s="61" t="s">
        <v>1438</v>
      </c>
      <c r="E120" s="61" t="s">
        <v>1253</v>
      </c>
      <c r="F120" s="61" t="s">
        <v>1419</v>
      </c>
      <c r="G120" s="61" t="s">
        <v>1449</v>
      </c>
      <c r="H120" s="61" t="s">
        <v>5814</v>
      </c>
      <c r="I120" s="61" t="s">
        <v>5802</v>
      </c>
      <c r="J120" s="61" t="s">
        <v>5526</v>
      </c>
      <c r="K120" s="61" t="s">
        <v>5527</v>
      </c>
      <c r="L120" s="61" t="s">
        <v>6056</v>
      </c>
      <c r="M120" s="61" t="s">
        <v>5815</v>
      </c>
    </row>
    <row r="121" spans="1:13" ht="52.7" customHeight="1">
      <c r="A121" s="61" t="s">
        <v>5816</v>
      </c>
      <c r="B121" s="61" t="s">
        <v>5799</v>
      </c>
      <c r="C121" s="61" t="s">
        <v>5800</v>
      </c>
      <c r="D121" s="61" t="s">
        <v>1450</v>
      </c>
      <c r="E121" s="61" t="s">
        <v>1270</v>
      </c>
      <c r="F121" s="61" t="s">
        <v>1407</v>
      </c>
      <c r="G121" s="61" t="s">
        <v>1461</v>
      </c>
      <c r="H121" s="61" t="s">
        <v>5817</v>
      </c>
      <c r="I121" s="61" t="s">
        <v>5802</v>
      </c>
      <c r="J121" s="61" t="s">
        <v>5526</v>
      </c>
      <c r="K121" s="61" t="s">
        <v>5527</v>
      </c>
      <c r="L121" s="61" t="s">
        <v>6056</v>
      </c>
      <c r="M121" s="61" t="s">
        <v>5818</v>
      </c>
    </row>
    <row r="122" spans="1:13" ht="52.7" customHeight="1">
      <c r="A122" s="61" t="s">
        <v>5819</v>
      </c>
      <c r="B122" s="61" t="s">
        <v>5799</v>
      </c>
      <c r="C122" s="61" t="s">
        <v>5800</v>
      </c>
      <c r="D122" s="61" t="s">
        <v>1462</v>
      </c>
      <c r="E122" s="61" t="s">
        <v>1255</v>
      </c>
      <c r="F122" s="61" t="s">
        <v>1419</v>
      </c>
      <c r="G122" s="61" t="s">
        <v>1472</v>
      </c>
      <c r="H122" s="61" t="s">
        <v>5820</v>
      </c>
      <c r="I122" s="61" t="s">
        <v>5802</v>
      </c>
      <c r="J122" s="61" t="s">
        <v>5526</v>
      </c>
      <c r="K122" s="61" t="s">
        <v>5527</v>
      </c>
      <c r="L122" s="61" t="s">
        <v>6056</v>
      </c>
      <c r="M122" s="61" t="s">
        <v>5821</v>
      </c>
    </row>
    <row r="123" spans="1:13" ht="52.7" customHeight="1">
      <c r="A123" s="61" t="s">
        <v>5822</v>
      </c>
      <c r="B123" s="61" t="s">
        <v>5799</v>
      </c>
      <c r="C123" s="61" t="s">
        <v>5800</v>
      </c>
      <c r="D123" s="61" t="s">
        <v>1473</v>
      </c>
      <c r="E123" s="61" t="s">
        <v>1256</v>
      </c>
      <c r="F123" s="61" t="s">
        <v>1407</v>
      </c>
      <c r="G123" s="61" t="s">
        <v>1482</v>
      </c>
      <c r="H123" s="61" t="s">
        <v>5823</v>
      </c>
      <c r="I123" s="61" t="s">
        <v>5802</v>
      </c>
      <c r="J123" s="61" t="s">
        <v>5526</v>
      </c>
      <c r="K123" s="61" t="s">
        <v>5527</v>
      </c>
      <c r="L123" s="61" t="s">
        <v>6056</v>
      </c>
      <c r="M123" s="61" t="s">
        <v>5824</v>
      </c>
    </row>
    <row r="124" spans="1:13" ht="52.7" customHeight="1">
      <c r="A124" s="61" t="s">
        <v>5825</v>
      </c>
      <c r="B124" s="61" t="s">
        <v>5799</v>
      </c>
      <c r="C124" s="61" t="s">
        <v>5800</v>
      </c>
      <c r="D124" s="61" t="s">
        <v>1483</v>
      </c>
      <c r="E124" s="61" t="s">
        <v>1287</v>
      </c>
      <c r="F124" s="61" t="s">
        <v>1488</v>
      </c>
      <c r="G124" s="61" t="s">
        <v>1494</v>
      </c>
      <c r="H124" s="61" t="s">
        <v>5826</v>
      </c>
      <c r="I124" s="61" t="s">
        <v>5802</v>
      </c>
      <c r="J124" s="61" t="s">
        <v>5526</v>
      </c>
      <c r="K124" s="61" t="s">
        <v>5527</v>
      </c>
      <c r="L124" s="61" t="s">
        <v>6056</v>
      </c>
      <c r="M124" s="61" t="s">
        <v>5827</v>
      </c>
    </row>
    <row r="125" spans="1:13" ht="52.7" customHeight="1">
      <c r="A125" s="61" t="s">
        <v>5828</v>
      </c>
      <c r="B125" s="61" t="s">
        <v>5799</v>
      </c>
      <c r="C125" s="61" t="s">
        <v>5800</v>
      </c>
      <c r="D125" s="61" t="s">
        <v>1495</v>
      </c>
      <c r="E125" s="61" t="s">
        <v>1302</v>
      </c>
      <c r="F125" s="61" t="s">
        <v>1419</v>
      </c>
      <c r="G125" s="61" t="s">
        <v>1505</v>
      </c>
      <c r="H125" s="61" t="s">
        <v>5829</v>
      </c>
      <c r="I125" s="61" t="s">
        <v>5802</v>
      </c>
      <c r="J125" s="61" t="s">
        <v>5526</v>
      </c>
      <c r="K125" s="61" t="s">
        <v>5527</v>
      </c>
      <c r="L125" s="61" t="s">
        <v>6056</v>
      </c>
      <c r="M125" s="61" t="s">
        <v>5830</v>
      </c>
    </row>
    <row r="126" spans="1:13" ht="52.7" customHeight="1">
      <c r="A126" s="61" t="s">
        <v>5831</v>
      </c>
      <c r="B126" s="61" t="s">
        <v>5799</v>
      </c>
      <c r="C126" s="61" t="s">
        <v>5800</v>
      </c>
      <c r="D126" s="61" t="s">
        <v>1506</v>
      </c>
      <c r="E126" s="61" t="s">
        <v>1291</v>
      </c>
      <c r="F126" s="61" t="s">
        <v>1394</v>
      </c>
      <c r="G126" s="61" t="s">
        <v>1515</v>
      </c>
      <c r="H126" s="61" t="s">
        <v>5832</v>
      </c>
      <c r="I126" s="61" t="s">
        <v>5802</v>
      </c>
      <c r="J126" s="61" t="s">
        <v>5526</v>
      </c>
      <c r="K126" s="61" t="s">
        <v>5527</v>
      </c>
      <c r="L126" s="61" t="s">
        <v>6056</v>
      </c>
      <c r="M126" s="61" t="s">
        <v>5833</v>
      </c>
    </row>
    <row r="127" spans="1:13" ht="52.7" customHeight="1">
      <c r="A127" s="61" t="s">
        <v>5834</v>
      </c>
      <c r="B127" s="61" t="s">
        <v>5799</v>
      </c>
      <c r="C127" s="61" t="s">
        <v>5800</v>
      </c>
      <c r="D127" s="61" t="s">
        <v>1516</v>
      </c>
      <c r="E127" s="61" t="s">
        <v>1286</v>
      </c>
      <c r="F127" s="61" t="s">
        <v>1419</v>
      </c>
      <c r="G127" s="61" t="s">
        <v>1527</v>
      </c>
      <c r="H127" s="61" t="s">
        <v>5835</v>
      </c>
      <c r="I127" s="61" t="s">
        <v>5802</v>
      </c>
      <c r="J127" s="61" t="s">
        <v>5526</v>
      </c>
      <c r="K127" s="61" t="s">
        <v>5527</v>
      </c>
      <c r="L127" s="61" t="s">
        <v>6056</v>
      </c>
      <c r="M127" s="61" t="s">
        <v>5836</v>
      </c>
    </row>
    <row r="128" spans="1:13" ht="66" customHeight="1">
      <c r="A128" s="61" t="s">
        <v>5837</v>
      </c>
      <c r="B128" s="61" t="s">
        <v>5838</v>
      </c>
      <c r="C128" s="61" t="s">
        <v>5839</v>
      </c>
      <c r="D128" s="61" t="s">
        <v>126</v>
      </c>
      <c r="E128" s="61" t="s">
        <v>128</v>
      </c>
      <c r="F128" s="61" t="s">
        <v>473</v>
      </c>
      <c r="G128" s="61" t="s">
        <v>1564</v>
      </c>
      <c r="H128" s="61" t="s">
        <v>5840</v>
      </c>
      <c r="I128" s="61" t="s">
        <v>5518</v>
      </c>
      <c r="J128" s="61"/>
      <c r="K128" s="61" t="s">
        <v>5519</v>
      </c>
      <c r="L128" s="61" t="s">
        <v>6056</v>
      </c>
      <c r="M128" s="61" t="s">
        <v>5841</v>
      </c>
    </row>
    <row r="129" spans="1:13" ht="66" customHeight="1">
      <c r="A129" s="61" t="s">
        <v>5842</v>
      </c>
      <c r="B129" s="61" t="s">
        <v>5838</v>
      </c>
      <c r="C129" s="61" t="s">
        <v>5839</v>
      </c>
      <c r="D129" s="61" t="s">
        <v>136</v>
      </c>
      <c r="E129" s="61" t="s">
        <v>137</v>
      </c>
      <c r="F129" s="61" t="s">
        <v>473</v>
      </c>
      <c r="G129" s="61" t="s">
        <v>1574</v>
      </c>
      <c r="H129" s="61" t="s">
        <v>5840</v>
      </c>
      <c r="I129" s="61" t="s">
        <v>5518</v>
      </c>
      <c r="J129" s="61"/>
      <c r="K129" s="61" t="s">
        <v>5519</v>
      </c>
      <c r="L129" s="61" t="s">
        <v>6056</v>
      </c>
      <c r="M129" s="61" t="s">
        <v>5843</v>
      </c>
    </row>
    <row r="130" spans="1:13" ht="66" customHeight="1">
      <c r="A130" s="61" t="s">
        <v>5844</v>
      </c>
      <c r="B130" s="61" t="s">
        <v>5838</v>
      </c>
      <c r="C130" s="61" t="s">
        <v>5839</v>
      </c>
      <c r="D130" s="61" t="s">
        <v>144</v>
      </c>
      <c r="E130" s="61" t="s">
        <v>145</v>
      </c>
      <c r="F130" s="61" t="s">
        <v>473</v>
      </c>
      <c r="G130" s="61" t="s">
        <v>1582</v>
      </c>
      <c r="H130" s="61" t="s">
        <v>5840</v>
      </c>
      <c r="I130" s="61" t="s">
        <v>5518</v>
      </c>
      <c r="J130" s="61"/>
      <c r="K130" s="61" t="s">
        <v>5519</v>
      </c>
      <c r="L130" s="61" t="s">
        <v>6056</v>
      </c>
      <c r="M130" s="61" t="s">
        <v>5845</v>
      </c>
    </row>
    <row r="131" spans="1:13" ht="66" customHeight="1">
      <c r="A131" s="61" t="s">
        <v>5846</v>
      </c>
      <c r="B131" s="61" t="s">
        <v>5838</v>
      </c>
      <c r="C131" s="61" t="s">
        <v>5839</v>
      </c>
      <c r="D131" s="61" t="s">
        <v>151</v>
      </c>
      <c r="E131" s="61" t="s">
        <v>152</v>
      </c>
      <c r="F131" s="61" t="s">
        <v>473</v>
      </c>
      <c r="G131" s="61" t="s">
        <v>1591</v>
      </c>
      <c r="H131" s="61" t="s">
        <v>5840</v>
      </c>
      <c r="I131" s="61" t="s">
        <v>5518</v>
      </c>
      <c r="J131" s="61"/>
      <c r="K131" s="61" t="s">
        <v>5519</v>
      </c>
      <c r="L131" s="61" t="s">
        <v>6056</v>
      </c>
      <c r="M131" s="61" t="s">
        <v>5847</v>
      </c>
    </row>
    <row r="132" spans="1:13" ht="66" customHeight="1">
      <c r="A132" s="61" t="s">
        <v>5848</v>
      </c>
      <c r="B132" s="61" t="s">
        <v>5838</v>
      </c>
      <c r="C132" s="61" t="s">
        <v>5839</v>
      </c>
      <c r="D132" s="61" t="s">
        <v>159</v>
      </c>
      <c r="E132" s="61" t="s">
        <v>160</v>
      </c>
      <c r="F132" s="61" t="s">
        <v>473</v>
      </c>
      <c r="G132" s="61" t="s">
        <v>1597</v>
      </c>
      <c r="H132" s="61" t="s">
        <v>5840</v>
      </c>
      <c r="I132" s="61" t="s">
        <v>5518</v>
      </c>
      <c r="J132" s="61"/>
      <c r="K132" s="61" t="s">
        <v>5519</v>
      </c>
      <c r="L132" s="61" t="s">
        <v>6056</v>
      </c>
      <c r="M132" s="61" t="s">
        <v>5849</v>
      </c>
    </row>
    <row r="133" spans="1:13" ht="66" customHeight="1">
      <c r="A133" s="61" t="s">
        <v>5850</v>
      </c>
      <c r="B133" s="61" t="s">
        <v>5838</v>
      </c>
      <c r="C133" s="61" t="s">
        <v>5839</v>
      </c>
      <c r="D133" s="61" t="s">
        <v>166</v>
      </c>
      <c r="E133" s="61" t="s">
        <v>167</v>
      </c>
      <c r="F133" s="61" t="s">
        <v>473</v>
      </c>
      <c r="G133" s="61" t="s">
        <v>1605</v>
      </c>
      <c r="H133" s="61" t="s">
        <v>5840</v>
      </c>
      <c r="I133" s="61" t="s">
        <v>5518</v>
      </c>
      <c r="J133" s="61"/>
      <c r="K133" s="61" t="s">
        <v>5519</v>
      </c>
      <c r="L133" s="61" t="s">
        <v>6056</v>
      </c>
      <c r="M133" s="61" t="s">
        <v>5851</v>
      </c>
    </row>
    <row r="134" spans="1:13" ht="66" customHeight="1">
      <c r="A134" s="61" t="s">
        <v>5852</v>
      </c>
      <c r="B134" s="61" t="s">
        <v>5838</v>
      </c>
      <c r="C134" s="61" t="s">
        <v>5839</v>
      </c>
      <c r="D134" s="61" t="s">
        <v>173</v>
      </c>
      <c r="E134" s="61" t="s">
        <v>174</v>
      </c>
      <c r="F134" s="61" t="s">
        <v>473</v>
      </c>
      <c r="G134" s="61" t="s">
        <v>1614</v>
      </c>
      <c r="H134" s="61" t="s">
        <v>5840</v>
      </c>
      <c r="I134" s="61" t="s">
        <v>5518</v>
      </c>
      <c r="J134" s="61"/>
      <c r="K134" s="61" t="s">
        <v>5519</v>
      </c>
      <c r="L134" s="61" t="s">
        <v>6056</v>
      </c>
      <c r="M134" s="61" t="s">
        <v>5853</v>
      </c>
    </row>
    <row r="135" spans="1:13" ht="66" customHeight="1">
      <c r="A135" s="61" t="s">
        <v>5854</v>
      </c>
      <c r="B135" s="61" t="s">
        <v>5838</v>
      </c>
      <c r="C135" s="61" t="s">
        <v>5839</v>
      </c>
      <c r="D135" s="61" t="s">
        <v>181</v>
      </c>
      <c r="E135" s="61" t="s">
        <v>182</v>
      </c>
      <c r="F135" s="61" t="s">
        <v>473</v>
      </c>
      <c r="G135" s="61" t="s">
        <v>1622</v>
      </c>
      <c r="H135" s="61" t="s">
        <v>5840</v>
      </c>
      <c r="I135" s="61" t="s">
        <v>5518</v>
      </c>
      <c r="J135" s="61"/>
      <c r="K135" s="61" t="s">
        <v>5519</v>
      </c>
      <c r="L135" s="61" t="s">
        <v>6056</v>
      </c>
      <c r="M135" s="61" t="s">
        <v>5855</v>
      </c>
    </row>
    <row r="136" spans="1:13" ht="66" customHeight="1">
      <c r="A136" s="61" t="s">
        <v>5856</v>
      </c>
      <c r="B136" s="61" t="s">
        <v>5838</v>
      </c>
      <c r="C136" s="61" t="s">
        <v>5839</v>
      </c>
      <c r="D136" s="61" t="s">
        <v>188</v>
      </c>
      <c r="E136" s="61" t="s">
        <v>189</v>
      </c>
      <c r="F136" s="61" t="s">
        <v>473</v>
      </c>
      <c r="G136" s="61" t="s">
        <v>1631</v>
      </c>
      <c r="H136" s="61" t="s">
        <v>5840</v>
      </c>
      <c r="I136" s="61" t="s">
        <v>5518</v>
      </c>
      <c r="J136" s="61"/>
      <c r="K136" s="61" t="s">
        <v>5519</v>
      </c>
      <c r="L136" s="61" t="s">
        <v>6056</v>
      </c>
      <c r="M136" s="61" t="s">
        <v>5857</v>
      </c>
    </row>
    <row r="137" spans="1:13" ht="66" customHeight="1">
      <c r="A137" s="61" t="s">
        <v>5858</v>
      </c>
      <c r="B137" s="61" t="s">
        <v>5838</v>
      </c>
      <c r="C137" s="61" t="s">
        <v>5839</v>
      </c>
      <c r="D137" s="61" t="s">
        <v>196</v>
      </c>
      <c r="E137" s="61" t="s">
        <v>197</v>
      </c>
      <c r="F137" s="61" t="s">
        <v>473</v>
      </c>
      <c r="G137" s="61" t="s">
        <v>1639</v>
      </c>
      <c r="H137" s="61" t="s">
        <v>5840</v>
      </c>
      <c r="I137" s="61" t="s">
        <v>5518</v>
      </c>
      <c r="J137" s="61"/>
      <c r="K137" s="61" t="s">
        <v>5519</v>
      </c>
      <c r="L137" s="61" t="s">
        <v>6056</v>
      </c>
      <c r="M137" s="61" t="s">
        <v>5859</v>
      </c>
    </row>
    <row r="138" spans="1:13" ht="66" customHeight="1">
      <c r="A138" s="61" t="s">
        <v>5860</v>
      </c>
      <c r="B138" s="61" t="s">
        <v>5838</v>
      </c>
      <c r="C138" s="61" t="s">
        <v>5839</v>
      </c>
      <c r="D138" s="61" t="s">
        <v>204</v>
      </c>
      <c r="E138" s="61" t="s">
        <v>205</v>
      </c>
      <c r="F138" s="61" t="s">
        <v>473</v>
      </c>
      <c r="G138" s="61" t="s">
        <v>1645</v>
      </c>
      <c r="H138" s="61" t="s">
        <v>5840</v>
      </c>
      <c r="I138" s="61" t="s">
        <v>5518</v>
      </c>
      <c r="J138" s="61"/>
      <c r="K138" s="61" t="s">
        <v>5519</v>
      </c>
      <c r="L138" s="61" t="s">
        <v>6056</v>
      </c>
      <c r="M138" s="61" t="s">
        <v>5861</v>
      </c>
    </row>
    <row r="139" spans="1:13" ht="66" customHeight="1">
      <c r="A139" s="61" t="s">
        <v>5862</v>
      </c>
      <c r="B139" s="61" t="s">
        <v>5838</v>
      </c>
      <c r="C139" s="61" t="s">
        <v>5839</v>
      </c>
      <c r="D139" s="61" t="s">
        <v>211</v>
      </c>
      <c r="E139" s="61" t="s">
        <v>212</v>
      </c>
      <c r="F139" s="61" t="s">
        <v>473</v>
      </c>
      <c r="G139" s="61" t="s">
        <v>1653</v>
      </c>
      <c r="H139" s="61" t="s">
        <v>5840</v>
      </c>
      <c r="I139" s="61" t="s">
        <v>5518</v>
      </c>
      <c r="J139" s="61"/>
      <c r="K139" s="61" t="s">
        <v>5519</v>
      </c>
      <c r="L139" s="61" t="s">
        <v>6056</v>
      </c>
      <c r="M139" s="61" t="s">
        <v>5863</v>
      </c>
    </row>
    <row r="140" spans="1:13" ht="79.150000000000006" customHeight="1">
      <c r="A140" s="61" t="s">
        <v>5864</v>
      </c>
      <c r="B140" s="61" t="s">
        <v>5838</v>
      </c>
      <c r="C140" s="61" t="s">
        <v>5839</v>
      </c>
      <c r="D140" s="61" t="s">
        <v>217</v>
      </c>
      <c r="E140" s="61" t="s">
        <v>218</v>
      </c>
      <c r="F140" s="61" t="s">
        <v>473</v>
      </c>
      <c r="G140" s="61" t="s">
        <v>1661</v>
      </c>
      <c r="H140" s="61" t="s">
        <v>5840</v>
      </c>
      <c r="I140" s="61" t="s">
        <v>5518</v>
      </c>
      <c r="J140" s="61"/>
      <c r="K140" s="61" t="s">
        <v>5519</v>
      </c>
      <c r="L140" s="61" t="s">
        <v>6056</v>
      </c>
      <c r="M140" s="61" t="s">
        <v>5865</v>
      </c>
    </row>
    <row r="141" spans="1:13" ht="66" customHeight="1">
      <c r="A141" s="61" t="s">
        <v>5866</v>
      </c>
      <c r="B141" s="61" t="s">
        <v>5838</v>
      </c>
      <c r="C141" s="61" t="s">
        <v>5839</v>
      </c>
      <c r="D141" s="61" t="s">
        <v>224</v>
      </c>
      <c r="E141" s="61" t="s">
        <v>225</v>
      </c>
      <c r="F141" s="61" t="s">
        <v>473</v>
      </c>
      <c r="G141" s="61" t="s">
        <v>1668</v>
      </c>
      <c r="H141" s="61" t="s">
        <v>5840</v>
      </c>
      <c r="I141" s="61" t="s">
        <v>5518</v>
      </c>
      <c r="J141" s="61"/>
      <c r="K141" s="61" t="s">
        <v>5519</v>
      </c>
      <c r="L141" s="61" t="s">
        <v>6056</v>
      </c>
      <c r="M141" s="61" t="s">
        <v>5867</v>
      </c>
    </row>
    <row r="142" spans="1:13" ht="66" customHeight="1">
      <c r="A142" s="61" t="s">
        <v>5868</v>
      </c>
      <c r="B142" s="61" t="s">
        <v>5838</v>
      </c>
      <c r="C142" s="61" t="s">
        <v>5839</v>
      </c>
      <c r="D142" s="61" t="s">
        <v>231</v>
      </c>
      <c r="E142" s="61" t="s">
        <v>232</v>
      </c>
      <c r="F142" s="61" t="s">
        <v>473</v>
      </c>
      <c r="G142" s="61" t="s">
        <v>1676</v>
      </c>
      <c r="H142" s="61" t="s">
        <v>5840</v>
      </c>
      <c r="I142" s="61" t="s">
        <v>5518</v>
      </c>
      <c r="J142" s="61"/>
      <c r="K142" s="61" t="s">
        <v>5519</v>
      </c>
      <c r="L142" s="61" t="s">
        <v>6056</v>
      </c>
      <c r="M142" s="61" t="s">
        <v>5869</v>
      </c>
    </row>
    <row r="143" spans="1:13" ht="79.150000000000006" customHeight="1">
      <c r="A143" s="61" t="s">
        <v>5870</v>
      </c>
      <c r="B143" s="61" t="s">
        <v>5838</v>
      </c>
      <c r="C143" s="61" t="s">
        <v>5839</v>
      </c>
      <c r="D143" s="61" t="s">
        <v>239</v>
      </c>
      <c r="E143" s="61" t="s">
        <v>240</v>
      </c>
      <c r="F143" s="61" t="s">
        <v>473</v>
      </c>
      <c r="G143" s="61" t="s">
        <v>1684</v>
      </c>
      <c r="H143" s="61" t="s">
        <v>5840</v>
      </c>
      <c r="I143" s="61" t="s">
        <v>5518</v>
      </c>
      <c r="J143" s="61"/>
      <c r="K143" s="61" t="s">
        <v>5519</v>
      </c>
      <c r="L143" s="61" t="s">
        <v>6056</v>
      </c>
      <c r="M143" s="61" t="s">
        <v>5871</v>
      </c>
    </row>
    <row r="144" spans="1:13" ht="66" customHeight="1">
      <c r="A144" s="61" t="s">
        <v>5872</v>
      </c>
      <c r="B144" s="61" t="s">
        <v>5838</v>
      </c>
      <c r="C144" s="61" t="s">
        <v>5839</v>
      </c>
      <c r="D144" s="61" t="s">
        <v>247</v>
      </c>
      <c r="E144" s="61" t="s">
        <v>249</v>
      </c>
      <c r="F144" s="61" t="s">
        <v>473</v>
      </c>
      <c r="G144" s="61" t="s">
        <v>1693</v>
      </c>
      <c r="H144" s="61" t="s">
        <v>5840</v>
      </c>
      <c r="I144" s="61" t="s">
        <v>5518</v>
      </c>
      <c r="J144" s="61"/>
      <c r="K144" s="61" t="s">
        <v>5519</v>
      </c>
      <c r="L144" s="61" t="s">
        <v>6056</v>
      </c>
      <c r="M144" s="61" t="s">
        <v>5873</v>
      </c>
    </row>
    <row r="145" spans="1:13" ht="66" customHeight="1">
      <c r="A145" s="61" t="s">
        <v>5874</v>
      </c>
      <c r="B145" s="61" t="s">
        <v>5838</v>
      </c>
      <c r="C145" s="61" t="s">
        <v>5839</v>
      </c>
      <c r="D145" s="61" t="s">
        <v>255</v>
      </c>
      <c r="E145" s="61" t="s">
        <v>256</v>
      </c>
      <c r="F145" s="61" t="s">
        <v>473</v>
      </c>
      <c r="G145" s="61" t="s">
        <v>1699</v>
      </c>
      <c r="H145" s="61" t="s">
        <v>5840</v>
      </c>
      <c r="I145" s="61" t="s">
        <v>5518</v>
      </c>
      <c r="J145" s="61"/>
      <c r="K145" s="61" t="s">
        <v>5519</v>
      </c>
      <c r="L145" s="61" t="s">
        <v>6056</v>
      </c>
      <c r="M145" s="61" t="s">
        <v>5875</v>
      </c>
    </row>
    <row r="146" spans="1:13" ht="66" customHeight="1">
      <c r="A146" s="61" t="s">
        <v>5876</v>
      </c>
      <c r="B146" s="61" t="s">
        <v>5838</v>
      </c>
      <c r="C146" s="61" t="s">
        <v>5839</v>
      </c>
      <c r="D146" s="61" t="s">
        <v>262</v>
      </c>
      <c r="E146" s="61" t="s">
        <v>263</v>
      </c>
      <c r="F146" s="61" t="s">
        <v>473</v>
      </c>
      <c r="G146" s="61" t="s">
        <v>1707</v>
      </c>
      <c r="H146" s="61" t="s">
        <v>5840</v>
      </c>
      <c r="I146" s="61" t="s">
        <v>5518</v>
      </c>
      <c r="J146" s="61"/>
      <c r="K146" s="61" t="s">
        <v>5519</v>
      </c>
      <c r="L146" s="61" t="s">
        <v>6056</v>
      </c>
      <c r="M146" s="61" t="s">
        <v>5877</v>
      </c>
    </row>
    <row r="147" spans="1:13" ht="79.150000000000006" customHeight="1">
      <c r="A147" s="61" t="s">
        <v>5878</v>
      </c>
      <c r="B147" s="61" t="s">
        <v>5838</v>
      </c>
      <c r="C147" s="61" t="s">
        <v>5839</v>
      </c>
      <c r="D147" s="61" t="s">
        <v>270</v>
      </c>
      <c r="E147" s="61" t="s">
        <v>271</v>
      </c>
      <c r="F147" s="61" t="s">
        <v>473</v>
      </c>
      <c r="G147" s="61" t="s">
        <v>1715</v>
      </c>
      <c r="H147" s="61" t="s">
        <v>5840</v>
      </c>
      <c r="I147" s="61" t="s">
        <v>5518</v>
      </c>
      <c r="J147" s="61"/>
      <c r="K147" s="61" t="s">
        <v>5519</v>
      </c>
      <c r="L147" s="61" t="s">
        <v>6056</v>
      </c>
      <c r="M147" s="61" t="s">
        <v>5879</v>
      </c>
    </row>
    <row r="148" spans="1:13" ht="79.150000000000006" customHeight="1">
      <c r="A148" s="61" t="s">
        <v>5880</v>
      </c>
      <c r="B148" s="61" t="s">
        <v>5838</v>
      </c>
      <c r="C148" s="61" t="s">
        <v>5839</v>
      </c>
      <c r="D148" s="61" t="s">
        <v>278</v>
      </c>
      <c r="E148" s="61" t="s">
        <v>279</v>
      </c>
      <c r="F148" s="61" t="s">
        <v>473</v>
      </c>
      <c r="G148" s="61" t="s">
        <v>1723</v>
      </c>
      <c r="H148" s="61" t="s">
        <v>5840</v>
      </c>
      <c r="I148" s="61" t="s">
        <v>5518</v>
      </c>
      <c r="J148" s="61"/>
      <c r="K148" s="61" t="s">
        <v>5519</v>
      </c>
      <c r="L148" s="61" t="s">
        <v>6056</v>
      </c>
      <c r="M148" s="61" t="s">
        <v>5881</v>
      </c>
    </row>
    <row r="149" spans="1:13" ht="66" customHeight="1">
      <c r="A149" s="61" t="s">
        <v>5882</v>
      </c>
      <c r="B149" s="61" t="s">
        <v>5838</v>
      </c>
      <c r="C149" s="61" t="s">
        <v>5839</v>
      </c>
      <c r="D149" s="61" t="s">
        <v>286</v>
      </c>
      <c r="E149" s="61" t="s">
        <v>287</v>
      </c>
      <c r="F149" s="61" t="s">
        <v>473</v>
      </c>
      <c r="G149" s="61" t="s">
        <v>1729</v>
      </c>
      <c r="H149" s="61" t="s">
        <v>5840</v>
      </c>
      <c r="I149" s="61" t="s">
        <v>5518</v>
      </c>
      <c r="J149" s="61"/>
      <c r="K149" s="61" t="s">
        <v>5519</v>
      </c>
      <c r="L149" s="61" t="s">
        <v>6056</v>
      </c>
      <c r="M149" s="61" t="s">
        <v>5883</v>
      </c>
    </row>
    <row r="150" spans="1:13" ht="79.150000000000006" customHeight="1">
      <c r="A150" s="61" t="s">
        <v>5884</v>
      </c>
      <c r="B150" s="61" t="s">
        <v>5838</v>
      </c>
      <c r="C150" s="61" t="s">
        <v>5839</v>
      </c>
      <c r="D150" s="61" t="s">
        <v>292</v>
      </c>
      <c r="E150" s="61" t="s">
        <v>293</v>
      </c>
      <c r="F150" s="61" t="s">
        <v>473</v>
      </c>
      <c r="G150" s="61" t="s">
        <v>1737</v>
      </c>
      <c r="H150" s="61" t="s">
        <v>5840</v>
      </c>
      <c r="I150" s="61" t="s">
        <v>5518</v>
      </c>
      <c r="J150" s="61"/>
      <c r="K150" s="61" t="s">
        <v>5519</v>
      </c>
      <c r="L150" s="61" t="s">
        <v>6056</v>
      </c>
      <c r="M150" s="61" t="s">
        <v>5885</v>
      </c>
    </row>
    <row r="151" spans="1:13" ht="66" customHeight="1">
      <c r="A151" s="61" t="s">
        <v>5886</v>
      </c>
      <c r="B151" s="61" t="s">
        <v>5838</v>
      </c>
      <c r="C151" s="61" t="s">
        <v>5839</v>
      </c>
      <c r="D151" s="61" t="s">
        <v>298</v>
      </c>
      <c r="E151" s="61" t="s">
        <v>299</v>
      </c>
      <c r="F151" s="61" t="s">
        <v>473</v>
      </c>
      <c r="G151" s="61" t="s">
        <v>1745</v>
      </c>
      <c r="H151" s="61" t="s">
        <v>5840</v>
      </c>
      <c r="I151" s="61" t="s">
        <v>5518</v>
      </c>
      <c r="J151" s="61"/>
      <c r="K151" s="61" t="s">
        <v>5519</v>
      </c>
      <c r="L151" s="61" t="s">
        <v>6056</v>
      </c>
      <c r="M151" s="61" t="s">
        <v>5887</v>
      </c>
    </row>
    <row r="152" spans="1:13" ht="79.150000000000006" customHeight="1">
      <c r="A152" s="61" t="s">
        <v>5888</v>
      </c>
      <c r="B152" s="61" t="s">
        <v>5838</v>
      </c>
      <c r="C152" s="61" t="s">
        <v>5839</v>
      </c>
      <c r="D152" s="61" t="s">
        <v>305</v>
      </c>
      <c r="E152" s="61" t="s">
        <v>306</v>
      </c>
      <c r="F152" s="61" t="s">
        <v>473</v>
      </c>
      <c r="G152" s="61" t="s">
        <v>1753</v>
      </c>
      <c r="H152" s="61" t="s">
        <v>5840</v>
      </c>
      <c r="I152" s="61" t="s">
        <v>5518</v>
      </c>
      <c r="J152" s="61"/>
      <c r="K152" s="61" t="s">
        <v>5519</v>
      </c>
      <c r="L152" s="61" t="s">
        <v>6056</v>
      </c>
      <c r="M152" s="61" t="s">
        <v>5889</v>
      </c>
    </row>
    <row r="153" spans="1:13" ht="66" customHeight="1">
      <c r="A153" s="61" t="s">
        <v>5890</v>
      </c>
      <c r="B153" s="61" t="s">
        <v>5838</v>
      </c>
      <c r="C153" s="61" t="s">
        <v>5839</v>
      </c>
      <c r="D153" s="61" t="s">
        <v>312</v>
      </c>
      <c r="E153" s="61" t="s">
        <v>313</v>
      </c>
      <c r="F153" s="61" t="s">
        <v>473</v>
      </c>
      <c r="G153" s="61" t="s">
        <v>1760</v>
      </c>
      <c r="H153" s="61" t="s">
        <v>5840</v>
      </c>
      <c r="I153" s="61" t="s">
        <v>5518</v>
      </c>
      <c r="J153" s="61"/>
      <c r="K153" s="61" t="s">
        <v>5519</v>
      </c>
      <c r="L153" s="61" t="s">
        <v>6056</v>
      </c>
      <c r="M153" s="61" t="s">
        <v>5891</v>
      </c>
    </row>
    <row r="154" spans="1:13" ht="66" customHeight="1">
      <c r="A154" s="61" t="s">
        <v>5892</v>
      </c>
      <c r="B154" s="61" t="s">
        <v>5838</v>
      </c>
      <c r="C154" s="61" t="s">
        <v>5839</v>
      </c>
      <c r="D154" s="61" t="s">
        <v>474</v>
      </c>
      <c r="E154" s="61" t="s">
        <v>476</v>
      </c>
      <c r="F154" s="61" t="s">
        <v>475</v>
      </c>
      <c r="G154" s="61" t="s">
        <v>1772</v>
      </c>
      <c r="H154" s="61" t="s">
        <v>5840</v>
      </c>
      <c r="I154" s="61" t="s">
        <v>5518</v>
      </c>
      <c r="J154" s="61"/>
      <c r="K154" s="61" t="s">
        <v>5519</v>
      </c>
      <c r="L154" s="61" t="s">
        <v>6056</v>
      </c>
      <c r="M154" s="61" t="s">
        <v>5893</v>
      </c>
    </row>
    <row r="155" spans="1:13" ht="52.7" customHeight="1">
      <c r="A155" s="61" t="s">
        <v>5894</v>
      </c>
      <c r="B155" s="61" t="s">
        <v>5838</v>
      </c>
      <c r="C155" s="61" t="s">
        <v>5839</v>
      </c>
      <c r="D155" s="61" t="s">
        <v>481</v>
      </c>
      <c r="E155" s="61" t="s">
        <v>482</v>
      </c>
      <c r="F155" s="61" t="s">
        <v>475</v>
      </c>
      <c r="G155" s="61" t="s">
        <v>1776</v>
      </c>
      <c r="H155" s="61" t="s">
        <v>5840</v>
      </c>
      <c r="I155" s="61" t="s">
        <v>5518</v>
      </c>
      <c r="J155" s="61"/>
      <c r="K155" s="61" t="s">
        <v>5519</v>
      </c>
      <c r="L155" s="61" t="s">
        <v>6056</v>
      </c>
      <c r="M155" s="61" t="s">
        <v>5895</v>
      </c>
    </row>
    <row r="156" spans="1:13" ht="66" customHeight="1">
      <c r="A156" s="61" t="s">
        <v>5896</v>
      </c>
      <c r="B156" s="61" t="s">
        <v>5838</v>
      </c>
      <c r="C156" s="61" t="s">
        <v>5839</v>
      </c>
      <c r="D156" s="61" t="s">
        <v>486</v>
      </c>
      <c r="E156" s="61" t="s">
        <v>487</v>
      </c>
      <c r="F156" s="61" t="s">
        <v>475</v>
      </c>
      <c r="G156" s="61" t="s">
        <v>1779</v>
      </c>
      <c r="H156" s="61" t="s">
        <v>5840</v>
      </c>
      <c r="I156" s="61" t="s">
        <v>5518</v>
      </c>
      <c r="J156" s="61"/>
      <c r="K156" s="61" t="s">
        <v>5519</v>
      </c>
      <c r="L156" s="61" t="s">
        <v>6056</v>
      </c>
      <c r="M156" s="61" t="s">
        <v>5897</v>
      </c>
    </row>
    <row r="157" spans="1:13" ht="66" customHeight="1">
      <c r="A157" s="61" t="s">
        <v>5898</v>
      </c>
      <c r="B157" s="61" t="s">
        <v>5838</v>
      </c>
      <c r="C157" s="61" t="s">
        <v>5839</v>
      </c>
      <c r="D157" s="61" t="s">
        <v>490</v>
      </c>
      <c r="E157" s="61" t="s">
        <v>493</v>
      </c>
      <c r="F157" s="61" t="s">
        <v>491</v>
      </c>
      <c r="G157" s="61" t="s">
        <v>1785</v>
      </c>
      <c r="H157" s="61" t="s">
        <v>5840</v>
      </c>
      <c r="I157" s="61" t="s">
        <v>5518</v>
      </c>
      <c r="J157" s="61"/>
      <c r="K157" s="61" t="s">
        <v>5519</v>
      </c>
      <c r="L157" s="61" t="s">
        <v>6056</v>
      </c>
      <c r="M157" s="61" t="s">
        <v>5899</v>
      </c>
    </row>
    <row r="158" spans="1:13" ht="66" customHeight="1">
      <c r="A158" s="61" t="s">
        <v>5900</v>
      </c>
      <c r="B158" s="61" t="s">
        <v>5838</v>
      </c>
      <c r="C158" s="61" t="s">
        <v>5839</v>
      </c>
      <c r="D158" s="61" t="s">
        <v>497</v>
      </c>
      <c r="E158" s="61" t="s">
        <v>498</v>
      </c>
      <c r="F158" s="61" t="s">
        <v>475</v>
      </c>
      <c r="G158" s="61" t="s">
        <v>1791</v>
      </c>
      <c r="H158" s="61" t="s">
        <v>5840</v>
      </c>
      <c r="I158" s="61" t="s">
        <v>5518</v>
      </c>
      <c r="J158" s="61"/>
      <c r="K158" s="61" t="s">
        <v>5519</v>
      </c>
      <c r="L158" s="61" t="s">
        <v>6056</v>
      </c>
      <c r="M158" s="61" t="s">
        <v>5901</v>
      </c>
    </row>
    <row r="159" spans="1:13" ht="66" customHeight="1">
      <c r="A159" s="61" t="s">
        <v>5902</v>
      </c>
      <c r="B159" s="61" t="s">
        <v>5838</v>
      </c>
      <c r="C159" s="61" t="s">
        <v>5839</v>
      </c>
      <c r="D159" s="61" t="s">
        <v>502</v>
      </c>
      <c r="E159" s="61" t="s">
        <v>503</v>
      </c>
      <c r="F159" s="61" t="s">
        <v>475</v>
      </c>
      <c r="G159" s="61" t="s">
        <v>1795</v>
      </c>
      <c r="H159" s="61" t="s">
        <v>5840</v>
      </c>
      <c r="I159" s="61" t="s">
        <v>5518</v>
      </c>
      <c r="J159" s="61"/>
      <c r="K159" s="61" t="s">
        <v>5519</v>
      </c>
      <c r="L159" s="61" t="s">
        <v>6056</v>
      </c>
      <c r="M159" s="61" t="s">
        <v>5903</v>
      </c>
    </row>
    <row r="160" spans="1:13" ht="66" customHeight="1">
      <c r="A160" s="61" t="s">
        <v>5904</v>
      </c>
      <c r="B160" s="61" t="s">
        <v>5838</v>
      </c>
      <c r="C160" s="61" t="s">
        <v>5839</v>
      </c>
      <c r="D160" s="61" t="s">
        <v>507</v>
      </c>
      <c r="E160" s="61" t="s">
        <v>508</v>
      </c>
      <c r="F160" s="61" t="s">
        <v>475</v>
      </c>
      <c r="G160" s="61" t="s">
        <v>1801</v>
      </c>
      <c r="H160" s="61" t="s">
        <v>5840</v>
      </c>
      <c r="I160" s="61" t="s">
        <v>5518</v>
      </c>
      <c r="J160" s="61"/>
      <c r="K160" s="61" t="s">
        <v>5519</v>
      </c>
      <c r="L160" s="61" t="s">
        <v>6056</v>
      </c>
      <c r="M160" s="61" t="s">
        <v>5905</v>
      </c>
    </row>
    <row r="161" spans="1:13" ht="52.7" customHeight="1">
      <c r="A161" s="61" t="s">
        <v>5906</v>
      </c>
      <c r="B161" s="61" t="s">
        <v>5838</v>
      </c>
      <c r="C161" s="61" t="s">
        <v>5839</v>
      </c>
      <c r="D161" s="61" t="s">
        <v>512</v>
      </c>
      <c r="E161" s="61" t="s">
        <v>514</v>
      </c>
      <c r="F161" s="61" t="s">
        <v>513</v>
      </c>
      <c r="G161" s="61" t="s">
        <v>1810</v>
      </c>
      <c r="H161" s="61" t="s">
        <v>5840</v>
      </c>
      <c r="I161" s="61" t="s">
        <v>5518</v>
      </c>
      <c r="J161" s="61"/>
      <c r="K161" s="61" t="s">
        <v>5519</v>
      </c>
      <c r="L161" s="61" t="s">
        <v>6056</v>
      </c>
      <c r="M161" s="61" t="s">
        <v>5907</v>
      </c>
    </row>
    <row r="162" spans="1:13" ht="66" customHeight="1">
      <c r="A162" s="61" t="s">
        <v>5908</v>
      </c>
      <c r="B162" s="61" t="s">
        <v>5838</v>
      </c>
      <c r="C162" s="61" t="s">
        <v>5839</v>
      </c>
      <c r="D162" s="61" t="s">
        <v>518</v>
      </c>
      <c r="E162" s="61" t="s">
        <v>519</v>
      </c>
      <c r="F162" s="61" t="s">
        <v>513</v>
      </c>
      <c r="G162" s="61" t="s">
        <v>1816</v>
      </c>
      <c r="H162" s="61" t="s">
        <v>5840</v>
      </c>
      <c r="I162" s="61" t="s">
        <v>5518</v>
      </c>
      <c r="J162" s="61"/>
      <c r="K162" s="61" t="s">
        <v>5519</v>
      </c>
      <c r="L162" s="61" t="s">
        <v>6056</v>
      </c>
      <c r="M162" s="61" t="s">
        <v>5909</v>
      </c>
    </row>
    <row r="163" spans="1:13" ht="66" customHeight="1">
      <c r="A163" s="61" t="s">
        <v>5910</v>
      </c>
      <c r="B163" s="61" t="s">
        <v>5838</v>
      </c>
      <c r="C163" s="61" t="s">
        <v>5839</v>
      </c>
      <c r="D163" s="61" t="s">
        <v>523</v>
      </c>
      <c r="E163" s="61" t="s">
        <v>524</v>
      </c>
      <c r="F163" s="61" t="s">
        <v>513</v>
      </c>
      <c r="G163" s="61" t="s">
        <v>1821</v>
      </c>
      <c r="H163" s="61" t="s">
        <v>5840</v>
      </c>
      <c r="I163" s="61" t="s">
        <v>5518</v>
      </c>
      <c r="J163" s="61"/>
      <c r="K163" s="61" t="s">
        <v>5519</v>
      </c>
      <c r="L163" s="61" t="s">
        <v>6056</v>
      </c>
      <c r="M163" s="61" t="s">
        <v>5911</v>
      </c>
    </row>
    <row r="164" spans="1:13" ht="66" customHeight="1">
      <c r="A164" s="61" t="s">
        <v>5912</v>
      </c>
      <c r="B164" s="61" t="s">
        <v>5838</v>
      </c>
      <c r="C164" s="61" t="s">
        <v>5839</v>
      </c>
      <c r="D164" s="61" t="s">
        <v>528</v>
      </c>
      <c r="E164" s="61" t="s">
        <v>529</v>
      </c>
      <c r="F164" s="61" t="s">
        <v>513</v>
      </c>
      <c r="G164" s="61" t="s">
        <v>1827</v>
      </c>
      <c r="H164" s="61" t="s">
        <v>5840</v>
      </c>
      <c r="I164" s="61" t="s">
        <v>5518</v>
      </c>
      <c r="J164" s="61"/>
      <c r="K164" s="61" t="s">
        <v>5519</v>
      </c>
      <c r="L164" s="61" t="s">
        <v>6056</v>
      </c>
      <c r="M164" s="61" t="s">
        <v>5913</v>
      </c>
    </row>
    <row r="165" spans="1:13" ht="52.7" customHeight="1">
      <c r="A165" s="61" t="s">
        <v>5914</v>
      </c>
      <c r="B165" s="61" t="s">
        <v>5838</v>
      </c>
      <c r="C165" s="61" t="s">
        <v>5839</v>
      </c>
      <c r="D165" s="61" t="s">
        <v>533</v>
      </c>
      <c r="E165" s="61" t="s">
        <v>534</v>
      </c>
      <c r="F165" s="61" t="s">
        <v>513</v>
      </c>
      <c r="G165" s="61" t="s">
        <v>1833</v>
      </c>
      <c r="H165" s="61" t="s">
        <v>5840</v>
      </c>
      <c r="I165" s="61" t="s">
        <v>5518</v>
      </c>
      <c r="J165" s="61"/>
      <c r="K165" s="61" t="s">
        <v>5519</v>
      </c>
      <c r="L165" s="61" t="s">
        <v>6056</v>
      </c>
      <c r="M165" s="61" t="s">
        <v>5915</v>
      </c>
    </row>
    <row r="166" spans="1:13" ht="66" customHeight="1">
      <c r="A166" s="61" t="s">
        <v>5916</v>
      </c>
      <c r="B166" s="61" t="s">
        <v>5838</v>
      </c>
      <c r="C166" s="61" t="s">
        <v>5839</v>
      </c>
      <c r="D166" s="61" t="s">
        <v>537</v>
      </c>
      <c r="E166" s="61" t="s">
        <v>539</v>
      </c>
      <c r="F166" s="61" t="s">
        <v>538</v>
      </c>
      <c r="G166" s="61" t="s">
        <v>1841</v>
      </c>
      <c r="H166" s="61" t="s">
        <v>5840</v>
      </c>
      <c r="I166" s="61" t="s">
        <v>5518</v>
      </c>
      <c r="J166" s="61"/>
      <c r="K166" s="61" t="s">
        <v>5519</v>
      </c>
      <c r="L166" s="61" t="s">
        <v>6056</v>
      </c>
      <c r="M166" s="61" t="s">
        <v>5917</v>
      </c>
    </row>
    <row r="167" spans="1:13" ht="66" customHeight="1">
      <c r="A167" s="61" t="s">
        <v>5918</v>
      </c>
      <c r="B167" s="61" t="s">
        <v>5838</v>
      </c>
      <c r="C167" s="61" t="s">
        <v>5839</v>
      </c>
      <c r="D167" s="61" t="s">
        <v>543</v>
      </c>
      <c r="E167" s="61" t="s">
        <v>544</v>
      </c>
      <c r="F167" s="61" t="s">
        <v>538</v>
      </c>
      <c r="G167" s="61" t="s">
        <v>1846</v>
      </c>
      <c r="H167" s="61" t="s">
        <v>5840</v>
      </c>
      <c r="I167" s="61" t="s">
        <v>5518</v>
      </c>
      <c r="J167" s="61"/>
      <c r="K167" s="61" t="s">
        <v>5519</v>
      </c>
      <c r="L167" s="61" t="s">
        <v>6056</v>
      </c>
      <c r="M167" s="61" t="s">
        <v>5919</v>
      </c>
    </row>
    <row r="168" spans="1:13" ht="39.6" customHeight="1">
      <c r="A168" s="61" t="s">
        <v>5920</v>
      </c>
      <c r="B168" s="61" t="s">
        <v>5921</v>
      </c>
      <c r="C168" s="61" t="s">
        <v>5922</v>
      </c>
      <c r="D168" s="61" t="s">
        <v>5920</v>
      </c>
      <c r="E168" s="61" t="s">
        <v>5923</v>
      </c>
      <c r="F168" s="61" t="s">
        <v>5924</v>
      </c>
      <c r="G168" s="61" t="s">
        <v>5925</v>
      </c>
      <c r="H168" s="61" t="s">
        <v>5926</v>
      </c>
      <c r="I168" s="61" t="s">
        <v>5518</v>
      </c>
      <c r="J168" s="61"/>
      <c r="K168" s="61" t="s">
        <v>5519</v>
      </c>
      <c r="L168" s="61" t="s">
        <v>6056</v>
      </c>
      <c r="M168" s="61" t="s">
        <v>5922</v>
      </c>
    </row>
    <row r="169" spans="1:13" ht="39.6" customHeight="1">
      <c r="A169" s="61" t="s">
        <v>5927</v>
      </c>
      <c r="B169" s="61" t="s">
        <v>5921</v>
      </c>
      <c r="C169" s="61" t="s">
        <v>5922</v>
      </c>
      <c r="D169" s="61" t="s">
        <v>5927</v>
      </c>
      <c r="E169" s="61" t="s">
        <v>5928</v>
      </c>
      <c r="F169" s="61" t="s">
        <v>5924</v>
      </c>
      <c r="G169" s="61" t="s">
        <v>5929</v>
      </c>
      <c r="H169" s="61" t="s">
        <v>5926</v>
      </c>
      <c r="I169" s="61" t="s">
        <v>5518</v>
      </c>
      <c r="J169" s="61"/>
      <c r="K169" s="61" t="s">
        <v>5519</v>
      </c>
      <c r="L169" s="61" t="s">
        <v>6056</v>
      </c>
      <c r="M169" s="61" t="s">
        <v>5922</v>
      </c>
    </row>
    <row r="170" spans="1:13" ht="39.6" customHeight="1">
      <c r="A170" s="61" t="s">
        <v>5930</v>
      </c>
      <c r="B170" s="61" t="s">
        <v>5921</v>
      </c>
      <c r="C170" s="61" t="s">
        <v>5922</v>
      </c>
      <c r="D170" s="61" t="s">
        <v>5930</v>
      </c>
      <c r="E170" s="61" t="s">
        <v>5931</v>
      </c>
      <c r="F170" s="61" t="s">
        <v>5924</v>
      </c>
      <c r="G170" s="61" t="s">
        <v>5932</v>
      </c>
      <c r="H170" s="61" t="s">
        <v>5926</v>
      </c>
      <c r="I170" s="61" t="s">
        <v>5518</v>
      </c>
      <c r="J170" s="61"/>
      <c r="K170" s="61" t="s">
        <v>5519</v>
      </c>
      <c r="L170" s="61" t="s">
        <v>6056</v>
      </c>
      <c r="M170" s="61" t="s">
        <v>5922</v>
      </c>
    </row>
    <row r="171" spans="1:13" ht="39.6" customHeight="1">
      <c r="A171" s="61" t="s">
        <v>5933</v>
      </c>
      <c r="B171" s="61" t="s">
        <v>5921</v>
      </c>
      <c r="C171" s="61" t="s">
        <v>5922</v>
      </c>
      <c r="D171" s="61" t="s">
        <v>5933</v>
      </c>
      <c r="E171" s="61" t="s">
        <v>5934</v>
      </c>
      <c r="F171" s="61" t="s">
        <v>5924</v>
      </c>
      <c r="G171" s="61" t="s">
        <v>5935</v>
      </c>
      <c r="H171" s="61" t="s">
        <v>5926</v>
      </c>
      <c r="I171" s="61" t="s">
        <v>5518</v>
      </c>
      <c r="J171" s="61"/>
      <c r="K171" s="61" t="s">
        <v>5519</v>
      </c>
      <c r="L171" s="61" t="s">
        <v>6056</v>
      </c>
      <c r="M171" s="61" t="s">
        <v>5922</v>
      </c>
    </row>
    <row r="172" spans="1:13" ht="39.6" customHeight="1">
      <c r="A172" s="61" t="s">
        <v>5936</v>
      </c>
      <c r="B172" s="61" t="s">
        <v>5937</v>
      </c>
      <c r="C172" s="61" t="s">
        <v>5938</v>
      </c>
      <c r="D172" s="61" t="s">
        <v>5936</v>
      </c>
      <c r="E172" s="61" t="s">
        <v>5936</v>
      </c>
      <c r="F172" s="61" t="s">
        <v>5924</v>
      </c>
      <c r="G172" s="61" t="s">
        <v>5939</v>
      </c>
      <c r="H172" s="61" t="s">
        <v>5940</v>
      </c>
      <c r="I172" s="61" t="s">
        <v>5518</v>
      </c>
      <c r="J172" s="61"/>
      <c r="K172" s="61" t="s">
        <v>5519</v>
      </c>
      <c r="L172" s="61" t="s">
        <v>6056</v>
      </c>
      <c r="M172" s="61" t="s">
        <v>5941</v>
      </c>
    </row>
    <row r="173" spans="1:13" ht="26.45" customHeight="1">
      <c r="A173" s="61" t="s">
        <v>5942</v>
      </c>
      <c r="B173" s="61" t="s">
        <v>5937</v>
      </c>
      <c r="C173" s="61" t="s">
        <v>5938</v>
      </c>
      <c r="D173" s="61" t="s">
        <v>5942</v>
      </c>
      <c r="E173" s="61" t="s">
        <v>5942</v>
      </c>
      <c r="F173" s="61" t="s">
        <v>5924</v>
      </c>
      <c r="G173" s="61" t="s">
        <v>5943</v>
      </c>
      <c r="H173" s="61" t="s">
        <v>5940</v>
      </c>
      <c r="I173" s="61" t="s">
        <v>5518</v>
      </c>
      <c r="J173" s="61"/>
      <c r="K173" s="61" t="s">
        <v>5519</v>
      </c>
      <c r="L173" s="61" t="s">
        <v>6056</v>
      </c>
      <c r="M173" s="61" t="s">
        <v>5941</v>
      </c>
    </row>
    <row r="174" spans="1:13" ht="39.6" customHeight="1">
      <c r="A174" s="61" t="s">
        <v>5944</v>
      </c>
      <c r="B174" s="61" t="s">
        <v>5945</v>
      </c>
      <c r="C174" s="61" t="s">
        <v>5938</v>
      </c>
      <c r="D174" s="61" t="s">
        <v>5944</v>
      </c>
      <c r="E174" s="61" t="s">
        <v>5944</v>
      </c>
      <c r="F174" s="61" t="s">
        <v>5924</v>
      </c>
      <c r="G174" s="61" t="s">
        <v>5946</v>
      </c>
      <c r="H174" s="61" t="s">
        <v>5940</v>
      </c>
      <c r="I174" s="61" t="s">
        <v>5518</v>
      </c>
      <c r="J174" s="61"/>
      <c r="K174" s="61" t="s">
        <v>5519</v>
      </c>
      <c r="L174" s="61" t="s">
        <v>6056</v>
      </c>
      <c r="M174" s="61" t="s">
        <v>5941</v>
      </c>
    </row>
    <row r="175" spans="1:13" ht="39.6" customHeight="1">
      <c r="A175" s="61" t="s">
        <v>5947</v>
      </c>
      <c r="B175" s="61" t="s">
        <v>5945</v>
      </c>
      <c r="C175" s="61" t="s">
        <v>5938</v>
      </c>
      <c r="D175" s="61" t="s">
        <v>5947</v>
      </c>
      <c r="E175" s="61" t="s">
        <v>5947</v>
      </c>
      <c r="F175" s="61" t="s">
        <v>5924</v>
      </c>
      <c r="G175" s="61" t="s">
        <v>5948</v>
      </c>
      <c r="H175" s="61" t="s">
        <v>5940</v>
      </c>
      <c r="I175" s="61" t="s">
        <v>5518</v>
      </c>
      <c r="J175" s="61"/>
      <c r="K175" s="61" t="s">
        <v>5519</v>
      </c>
      <c r="L175" s="61" t="s">
        <v>6056</v>
      </c>
      <c r="M175" s="61" t="s">
        <v>5941</v>
      </c>
    </row>
    <row r="176" spans="1:13" ht="39.6" customHeight="1">
      <c r="A176" s="61" t="s">
        <v>5949</v>
      </c>
      <c r="B176" s="61" t="s">
        <v>5937</v>
      </c>
      <c r="C176" s="61" t="s">
        <v>5938</v>
      </c>
      <c r="D176" s="61" t="s">
        <v>5949</v>
      </c>
      <c r="E176" s="61" t="s">
        <v>5949</v>
      </c>
      <c r="F176" s="61" t="s">
        <v>5924</v>
      </c>
      <c r="G176" s="61" t="s">
        <v>5950</v>
      </c>
      <c r="H176" s="61" t="s">
        <v>5940</v>
      </c>
      <c r="I176" s="61" t="s">
        <v>5518</v>
      </c>
      <c r="J176" s="61"/>
      <c r="K176" s="61" t="s">
        <v>5519</v>
      </c>
      <c r="L176" s="61" t="s">
        <v>6056</v>
      </c>
      <c r="M176" s="61" t="s">
        <v>5941</v>
      </c>
    </row>
  </sheetData>
  <mergeCells count="2">
    <mergeCell ref="A1:M1"/>
    <mergeCell ref="A2:M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44"/>
  <sheetViews>
    <sheetView showGridLines="0" tabSelected="1" topLeftCell="A16" workbookViewId="0">
      <selection activeCell="K5" sqref="K5:K44"/>
    </sheetView>
  </sheetViews>
  <sheetFormatPr baseColWidth="10" defaultColWidth="9" defaultRowHeight="14.25"/>
  <cols>
    <col min="1" max="1" width="34" customWidth="1"/>
    <col min="2" max="2" width="30" customWidth="1"/>
    <col min="3" max="3" width="32" customWidth="1"/>
    <col min="4" max="4" width="24" customWidth="1"/>
    <col min="5" max="5" width="28" customWidth="1"/>
    <col min="6" max="6" width="90" customWidth="1"/>
    <col min="7" max="7" width="82" customWidth="1"/>
    <col min="8" max="8" width="12" customWidth="1"/>
    <col min="9" max="9" width="24" customWidth="1"/>
    <col min="10" max="10" width="18" customWidth="1"/>
    <col min="11" max="11" width="22" customWidth="1"/>
    <col min="12" max="12" width="34" customWidth="1"/>
  </cols>
  <sheetData>
    <row r="1" spans="1:12" ht="18">
      <c r="A1" s="78" t="s">
        <v>5951</v>
      </c>
      <c r="B1" s="78" t="s">
        <v>5951</v>
      </c>
      <c r="C1" s="78" t="s">
        <v>5951</v>
      </c>
      <c r="D1" s="78" t="s">
        <v>5951</v>
      </c>
      <c r="E1" s="78" t="s">
        <v>5951</v>
      </c>
      <c r="F1" s="78" t="s">
        <v>5951</v>
      </c>
      <c r="G1" s="78" t="s">
        <v>5951</v>
      </c>
      <c r="H1" s="78" t="s">
        <v>5951</v>
      </c>
      <c r="I1" s="78" t="s">
        <v>5951</v>
      </c>
      <c r="J1" s="78" t="s">
        <v>5951</v>
      </c>
      <c r="K1" s="78" t="s">
        <v>5951</v>
      </c>
      <c r="L1" s="78" t="s">
        <v>5951</v>
      </c>
    </row>
    <row r="2" spans="1:12">
      <c r="A2" s="79" t="s">
        <v>5952</v>
      </c>
      <c r="B2" s="79" t="s">
        <v>5952</v>
      </c>
      <c r="C2" s="79" t="s">
        <v>5952</v>
      </c>
      <c r="D2" s="79" t="s">
        <v>5952</v>
      </c>
      <c r="E2" s="79" t="s">
        <v>5952</v>
      </c>
      <c r="F2" s="79" t="s">
        <v>5952</v>
      </c>
      <c r="G2" s="79" t="s">
        <v>5952</v>
      </c>
      <c r="H2" s="79" t="s">
        <v>5952</v>
      </c>
      <c r="I2" s="79" t="s">
        <v>5952</v>
      </c>
      <c r="J2" s="79" t="s">
        <v>5952</v>
      </c>
      <c r="K2" s="79" t="s">
        <v>5952</v>
      </c>
      <c r="L2" s="79" t="s">
        <v>5952</v>
      </c>
    </row>
    <row r="4" spans="1:12" ht="15" customHeight="1">
      <c r="A4" s="60" t="s">
        <v>5953</v>
      </c>
      <c r="B4" s="60" t="s">
        <v>4040</v>
      </c>
      <c r="C4" s="60" t="s">
        <v>5954</v>
      </c>
      <c r="D4" s="60" t="s">
        <v>5506</v>
      </c>
      <c r="E4" s="60" t="s">
        <v>5955</v>
      </c>
      <c r="F4" s="60" t="s">
        <v>5956</v>
      </c>
      <c r="G4" s="60" t="s">
        <v>5509</v>
      </c>
      <c r="H4" s="60" t="s">
        <v>5510</v>
      </c>
      <c r="I4" s="60" t="s">
        <v>5511</v>
      </c>
      <c r="J4" s="60" t="s">
        <v>5957</v>
      </c>
      <c r="K4" s="60" t="s">
        <v>1385</v>
      </c>
      <c r="L4" s="60" t="s">
        <v>5958</v>
      </c>
    </row>
    <row r="5" spans="1:12" ht="26.45" customHeight="1">
      <c r="A5" s="61" t="s">
        <v>4062</v>
      </c>
      <c r="B5" s="61" t="s">
        <v>1549</v>
      </c>
      <c r="C5" s="61" t="s">
        <v>1550</v>
      </c>
      <c r="D5" s="61" t="s">
        <v>5523</v>
      </c>
      <c r="E5" s="61" t="s">
        <v>5959</v>
      </c>
      <c r="F5" s="61" t="s">
        <v>5960</v>
      </c>
      <c r="G5" s="61" t="s">
        <v>5525</v>
      </c>
      <c r="H5" s="61" t="s">
        <v>5526</v>
      </c>
      <c r="I5" s="61" t="s">
        <v>5527</v>
      </c>
      <c r="J5" s="61" t="s">
        <v>5961</v>
      </c>
      <c r="K5" s="61" t="s">
        <v>6056</v>
      </c>
      <c r="L5" s="61" t="s">
        <v>5962</v>
      </c>
    </row>
    <row r="6" spans="1:12" ht="26.45" customHeight="1">
      <c r="A6" s="61" t="s">
        <v>4071</v>
      </c>
      <c r="B6" s="61" t="s">
        <v>1565</v>
      </c>
      <c r="C6" s="61" t="s">
        <v>1566</v>
      </c>
      <c r="D6" s="61" t="s">
        <v>5523</v>
      </c>
      <c r="E6" s="61" t="s">
        <v>5959</v>
      </c>
      <c r="F6" s="61" t="s">
        <v>5963</v>
      </c>
      <c r="G6" s="61" t="s">
        <v>5525</v>
      </c>
      <c r="H6" s="61" t="s">
        <v>5526</v>
      </c>
      <c r="I6" s="61" t="s">
        <v>5527</v>
      </c>
      <c r="J6" s="61" t="s">
        <v>5961</v>
      </c>
      <c r="K6" s="61" t="s">
        <v>6056</v>
      </c>
      <c r="L6" s="61" t="s">
        <v>5964</v>
      </c>
    </row>
    <row r="7" spans="1:12" ht="26.45" customHeight="1">
      <c r="A7" s="61" t="s">
        <v>4079</v>
      </c>
      <c r="B7" s="61" t="s">
        <v>1575</v>
      </c>
      <c r="C7" s="61" t="s">
        <v>1576</v>
      </c>
      <c r="D7" s="61" t="s">
        <v>5523</v>
      </c>
      <c r="E7" s="61" t="s">
        <v>5959</v>
      </c>
      <c r="F7" s="61" t="s">
        <v>5965</v>
      </c>
      <c r="G7" s="61" t="s">
        <v>5525</v>
      </c>
      <c r="H7" s="61" t="s">
        <v>5526</v>
      </c>
      <c r="I7" s="61" t="s">
        <v>5527</v>
      </c>
      <c r="J7" s="61" t="s">
        <v>5961</v>
      </c>
      <c r="K7" s="61" t="s">
        <v>6056</v>
      </c>
      <c r="L7" s="61" t="s">
        <v>5966</v>
      </c>
    </row>
    <row r="8" spans="1:12" ht="39.6" customHeight="1">
      <c r="A8" s="61" t="s">
        <v>4087</v>
      </c>
      <c r="B8" s="61" t="s">
        <v>1583</v>
      </c>
      <c r="C8" s="61" t="s">
        <v>1584</v>
      </c>
      <c r="D8" s="61" t="s">
        <v>5523</v>
      </c>
      <c r="E8" s="61" t="s">
        <v>5967</v>
      </c>
      <c r="F8" s="61" t="s">
        <v>5968</v>
      </c>
      <c r="G8" s="61" t="s">
        <v>5525</v>
      </c>
      <c r="H8" s="61" t="s">
        <v>5526</v>
      </c>
      <c r="I8" s="61" t="s">
        <v>5527</v>
      </c>
      <c r="J8" s="61" t="s">
        <v>5961</v>
      </c>
      <c r="K8" s="61" t="s">
        <v>6056</v>
      </c>
      <c r="L8" s="61" t="s">
        <v>5969</v>
      </c>
    </row>
    <row r="9" spans="1:12" ht="39.6" customHeight="1">
      <c r="A9" s="61" t="s">
        <v>4095</v>
      </c>
      <c r="B9" s="61" t="s">
        <v>1592</v>
      </c>
      <c r="C9" s="61" t="s">
        <v>1593</v>
      </c>
      <c r="D9" s="61" t="s">
        <v>5523</v>
      </c>
      <c r="E9" s="61" t="s">
        <v>5970</v>
      </c>
      <c r="F9" s="61" t="s">
        <v>5971</v>
      </c>
      <c r="G9" s="61" t="s">
        <v>5525</v>
      </c>
      <c r="H9" s="61" t="s">
        <v>5526</v>
      </c>
      <c r="I9" s="61" t="s">
        <v>5527</v>
      </c>
      <c r="J9" s="61" t="s">
        <v>5961</v>
      </c>
      <c r="K9" s="61" t="s">
        <v>6056</v>
      </c>
      <c r="L9" s="61" t="s">
        <v>5972</v>
      </c>
    </row>
    <row r="10" spans="1:12" ht="26.45" customHeight="1">
      <c r="A10" s="61" t="s">
        <v>4104</v>
      </c>
      <c r="B10" s="61" t="s">
        <v>1598</v>
      </c>
      <c r="C10" s="61" t="s">
        <v>1599</v>
      </c>
      <c r="D10" s="61" t="s">
        <v>5523</v>
      </c>
      <c r="E10" s="61" t="s">
        <v>5959</v>
      </c>
      <c r="F10" s="61" t="s">
        <v>5973</v>
      </c>
      <c r="G10" s="61" t="s">
        <v>5525</v>
      </c>
      <c r="H10" s="61" t="s">
        <v>5526</v>
      </c>
      <c r="I10" s="61" t="s">
        <v>5527</v>
      </c>
      <c r="J10" s="61" t="s">
        <v>5961</v>
      </c>
      <c r="K10" s="61" t="s">
        <v>6056</v>
      </c>
      <c r="L10" s="61" t="s">
        <v>5974</v>
      </c>
    </row>
    <row r="11" spans="1:12" ht="26.45" customHeight="1">
      <c r="A11" s="61" t="s">
        <v>4112</v>
      </c>
      <c r="B11" s="61" t="s">
        <v>1606</v>
      </c>
      <c r="C11" s="61" t="s">
        <v>1607</v>
      </c>
      <c r="D11" s="61" t="s">
        <v>5523</v>
      </c>
      <c r="E11" s="61" t="s">
        <v>5959</v>
      </c>
      <c r="F11" s="61" t="s">
        <v>5975</v>
      </c>
      <c r="G11" s="61" t="s">
        <v>5525</v>
      </c>
      <c r="H11" s="61" t="s">
        <v>5526</v>
      </c>
      <c r="I11" s="61" t="s">
        <v>5527</v>
      </c>
      <c r="J11" s="61" t="s">
        <v>5961</v>
      </c>
      <c r="K11" s="61" t="s">
        <v>6056</v>
      </c>
      <c r="L11" s="61" t="s">
        <v>5976</v>
      </c>
    </row>
    <row r="12" spans="1:12" ht="39.6" customHeight="1">
      <c r="A12" s="61" t="s">
        <v>4120</v>
      </c>
      <c r="B12" s="61" t="s">
        <v>1615</v>
      </c>
      <c r="C12" s="61" t="s">
        <v>1616</v>
      </c>
      <c r="D12" s="61" t="s">
        <v>5523</v>
      </c>
      <c r="E12" s="61" t="s">
        <v>5967</v>
      </c>
      <c r="F12" s="61" t="s">
        <v>5977</v>
      </c>
      <c r="G12" s="61" t="s">
        <v>5525</v>
      </c>
      <c r="H12" s="61" t="s">
        <v>5526</v>
      </c>
      <c r="I12" s="61" t="s">
        <v>5527</v>
      </c>
      <c r="J12" s="61" t="s">
        <v>5961</v>
      </c>
      <c r="K12" s="61" t="s">
        <v>6056</v>
      </c>
      <c r="L12" s="61" t="s">
        <v>5978</v>
      </c>
    </row>
    <row r="13" spans="1:12" ht="39.6" customHeight="1">
      <c r="A13" s="61" t="s">
        <v>4129</v>
      </c>
      <c r="B13" s="61" t="s">
        <v>1623</v>
      </c>
      <c r="C13" s="61" t="s">
        <v>1624</v>
      </c>
      <c r="D13" s="61" t="s">
        <v>5523</v>
      </c>
      <c r="E13" s="61" t="s">
        <v>5970</v>
      </c>
      <c r="F13" s="61" t="s">
        <v>5979</v>
      </c>
      <c r="G13" s="61" t="s">
        <v>5525</v>
      </c>
      <c r="H13" s="61" t="s">
        <v>5526</v>
      </c>
      <c r="I13" s="61" t="s">
        <v>5527</v>
      </c>
      <c r="J13" s="61" t="s">
        <v>5961</v>
      </c>
      <c r="K13" s="61" t="s">
        <v>6056</v>
      </c>
      <c r="L13" s="61" t="s">
        <v>5980</v>
      </c>
    </row>
    <row r="14" spans="1:12" ht="39.6" customHeight="1">
      <c r="A14" s="61" t="s">
        <v>4137</v>
      </c>
      <c r="B14" s="61" t="s">
        <v>1632</v>
      </c>
      <c r="C14" s="61" t="s">
        <v>1633</v>
      </c>
      <c r="D14" s="61" t="s">
        <v>5523</v>
      </c>
      <c r="E14" s="61" t="s">
        <v>5981</v>
      </c>
      <c r="F14" s="61" t="s">
        <v>5982</v>
      </c>
      <c r="G14" s="61" t="s">
        <v>5525</v>
      </c>
      <c r="H14" s="61" t="s">
        <v>5526</v>
      </c>
      <c r="I14" s="61" t="s">
        <v>5527</v>
      </c>
      <c r="J14" s="61" t="s">
        <v>5961</v>
      </c>
      <c r="K14" s="61" t="s">
        <v>6056</v>
      </c>
      <c r="L14" s="61" t="s">
        <v>5983</v>
      </c>
    </row>
    <row r="15" spans="1:12" ht="26.45" customHeight="1">
      <c r="A15" s="61" t="s">
        <v>4145</v>
      </c>
      <c r="B15" s="61" t="s">
        <v>1640</v>
      </c>
      <c r="C15" s="61" t="s">
        <v>1641</v>
      </c>
      <c r="D15" s="61" t="s">
        <v>5523</v>
      </c>
      <c r="E15" s="61" t="s">
        <v>5959</v>
      </c>
      <c r="F15" s="61" t="s">
        <v>5984</v>
      </c>
      <c r="G15" s="61" t="s">
        <v>5525</v>
      </c>
      <c r="H15" s="61" t="s">
        <v>5526</v>
      </c>
      <c r="I15" s="61" t="s">
        <v>5527</v>
      </c>
      <c r="J15" s="61" t="s">
        <v>5961</v>
      </c>
      <c r="K15" s="61" t="s">
        <v>6056</v>
      </c>
      <c r="L15" s="61" t="s">
        <v>5985</v>
      </c>
    </row>
    <row r="16" spans="1:12" ht="39.6" customHeight="1">
      <c r="A16" s="61" t="s">
        <v>4153</v>
      </c>
      <c r="B16" s="61" t="s">
        <v>1646</v>
      </c>
      <c r="C16" s="61" t="s">
        <v>1647</v>
      </c>
      <c r="D16" s="61" t="s">
        <v>5523</v>
      </c>
      <c r="E16" s="61" t="s">
        <v>5986</v>
      </c>
      <c r="F16" s="61" t="s">
        <v>5987</v>
      </c>
      <c r="G16" s="61" t="s">
        <v>5525</v>
      </c>
      <c r="H16" s="61" t="s">
        <v>5526</v>
      </c>
      <c r="I16" s="61" t="s">
        <v>5527</v>
      </c>
      <c r="J16" s="61" t="s">
        <v>5961</v>
      </c>
      <c r="K16" s="61" t="s">
        <v>6056</v>
      </c>
      <c r="L16" s="61" t="s">
        <v>5988</v>
      </c>
    </row>
    <row r="17" spans="1:12" ht="39.6" customHeight="1">
      <c r="A17" s="61" t="s">
        <v>4161</v>
      </c>
      <c r="B17" s="61" t="s">
        <v>1654</v>
      </c>
      <c r="C17" s="61" t="s">
        <v>1655</v>
      </c>
      <c r="D17" s="61" t="s">
        <v>5523</v>
      </c>
      <c r="E17" s="61" t="s">
        <v>5989</v>
      </c>
      <c r="F17" s="61" t="s">
        <v>5990</v>
      </c>
      <c r="G17" s="61" t="s">
        <v>5525</v>
      </c>
      <c r="H17" s="61" t="s">
        <v>5526</v>
      </c>
      <c r="I17" s="61" t="s">
        <v>5527</v>
      </c>
      <c r="J17" s="61" t="s">
        <v>5961</v>
      </c>
      <c r="K17" s="61" t="s">
        <v>6056</v>
      </c>
      <c r="L17" s="61" t="s">
        <v>5991</v>
      </c>
    </row>
    <row r="18" spans="1:12" ht="26.45" customHeight="1">
      <c r="A18" s="61" t="s">
        <v>4169</v>
      </c>
      <c r="B18" s="61" t="s">
        <v>1662</v>
      </c>
      <c r="C18" s="61" t="s">
        <v>1663</v>
      </c>
      <c r="D18" s="61" t="s">
        <v>5523</v>
      </c>
      <c r="E18" s="61" t="s">
        <v>5992</v>
      </c>
      <c r="F18" s="61" t="s">
        <v>5993</v>
      </c>
      <c r="G18" s="61" t="s">
        <v>5525</v>
      </c>
      <c r="H18" s="61" t="s">
        <v>5526</v>
      </c>
      <c r="I18" s="61" t="s">
        <v>5527</v>
      </c>
      <c r="J18" s="61" t="s">
        <v>5961</v>
      </c>
      <c r="K18" s="61" t="s">
        <v>6056</v>
      </c>
      <c r="L18" s="61" t="s">
        <v>5994</v>
      </c>
    </row>
    <row r="19" spans="1:12" ht="26.45" customHeight="1">
      <c r="A19" s="61" t="s">
        <v>4177</v>
      </c>
      <c r="B19" s="61" t="s">
        <v>1669</v>
      </c>
      <c r="C19" s="61" t="s">
        <v>1670</v>
      </c>
      <c r="D19" s="61" t="s">
        <v>5523</v>
      </c>
      <c r="E19" s="61" t="s">
        <v>5959</v>
      </c>
      <c r="F19" s="61" t="s">
        <v>5995</v>
      </c>
      <c r="G19" s="61" t="s">
        <v>5525</v>
      </c>
      <c r="H19" s="61" t="s">
        <v>5526</v>
      </c>
      <c r="I19" s="61" t="s">
        <v>5527</v>
      </c>
      <c r="J19" s="61" t="s">
        <v>5961</v>
      </c>
      <c r="K19" s="61" t="s">
        <v>6056</v>
      </c>
      <c r="L19" s="61" t="s">
        <v>5996</v>
      </c>
    </row>
    <row r="20" spans="1:12" ht="26.45" customHeight="1">
      <c r="A20" s="61" t="s">
        <v>4185</v>
      </c>
      <c r="B20" s="61" t="s">
        <v>1677</v>
      </c>
      <c r="C20" s="61" t="s">
        <v>1678</v>
      </c>
      <c r="D20" s="61" t="s">
        <v>5523</v>
      </c>
      <c r="E20" s="61" t="s">
        <v>5959</v>
      </c>
      <c r="F20" s="61" t="s">
        <v>5997</v>
      </c>
      <c r="G20" s="61" t="s">
        <v>5525</v>
      </c>
      <c r="H20" s="61" t="s">
        <v>5526</v>
      </c>
      <c r="I20" s="61" t="s">
        <v>5527</v>
      </c>
      <c r="J20" s="61" t="s">
        <v>5961</v>
      </c>
      <c r="K20" s="61" t="s">
        <v>6056</v>
      </c>
      <c r="L20" s="61" t="s">
        <v>5998</v>
      </c>
    </row>
    <row r="21" spans="1:12" ht="26.45" customHeight="1">
      <c r="A21" s="61" t="s">
        <v>4193</v>
      </c>
      <c r="B21" s="61" t="s">
        <v>1685</v>
      </c>
      <c r="C21" s="61" t="s">
        <v>1686</v>
      </c>
      <c r="D21" s="61" t="s">
        <v>5523</v>
      </c>
      <c r="E21" s="61" t="s">
        <v>5999</v>
      </c>
      <c r="F21" s="61" t="s">
        <v>6000</v>
      </c>
      <c r="G21" s="61" t="s">
        <v>5525</v>
      </c>
      <c r="H21" s="61" t="s">
        <v>5526</v>
      </c>
      <c r="I21" s="61" t="s">
        <v>5527</v>
      </c>
      <c r="J21" s="61" t="s">
        <v>5961</v>
      </c>
      <c r="K21" s="61" t="s">
        <v>6056</v>
      </c>
      <c r="L21" s="61" t="s">
        <v>6001</v>
      </c>
    </row>
    <row r="22" spans="1:12" ht="26.45" customHeight="1">
      <c r="A22" s="61" t="s">
        <v>4201</v>
      </c>
      <c r="B22" s="61" t="s">
        <v>1694</v>
      </c>
      <c r="C22" s="61" t="s">
        <v>1695</v>
      </c>
      <c r="D22" s="61" t="s">
        <v>5523</v>
      </c>
      <c r="E22" s="61" t="s">
        <v>5959</v>
      </c>
      <c r="F22" s="61" t="s">
        <v>6002</v>
      </c>
      <c r="G22" s="61" t="s">
        <v>5525</v>
      </c>
      <c r="H22" s="61" t="s">
        <v>5526</v>
      </c>
      <c r="I22" s="61" t="s">
        <v>5527</v>
      </c>
      <c r="J22" s="61" t="s">
        <v>5961</v>
      </c>
      <c r="K22" s="61" t="s">
        <v>6056</v>
      </c>
      <c r="L22" s="61" t="s">
        <v>6003</v>
      </c>
    </row>
    <row r="23" spans="1:12" ht="26.45" customHeight="1">
      <c r="A23" s="61" t="s">
        <v>4210</v>
      </c>
      <c r="B23" s="61" t="s">
        <v>1700</v>
      </c>
      <c r="C23" s="61" t="s">
        <v>1701</v>
      </c>
      <c r="D23" s="61" t="s">
        <v>5523</v>
      </c>
      <c r="E23" s="61" t="s">
        <v>5959</v>
      </c>
      <c r="F23" s="61" t="s">
        <v>6004</v>
      </c>
      <c r="G23" s="61" t="s">
        <v>5525</v>
      </c>
      <c r="H23" s="61" t="s">
        <v>5526</v>
      </c>
      <c r="I23" s="61" t="s">
        <v>5527</v>
      </c>
      <c r="J23" s="61" t="s">
        <v>5961</v>
      </c>
      <c r="K23" s="61" t="s">
        <v>6056</v>
      </c>
      <c r="L23" s="61" t="s">
        <v>6005</v>
      </c>
    </row>
    <row r="24" spans="1:12" ht="26.45" customHeight="1">
      <c r="A24" s="61" t="s">
        <v>4218</v>
      </c>
      <c r="B24" s="61" t="s">
        <v>1708</v>
      </c>
      <c r="C24" s="61" t="s">
        <v>1709</v>
      </c>
      <c r="D24" s="61" t="s">
        <v>5523</v>
      </c>
      <c r="E24" s="61" t="s">
        <v>6006</v>
      </c>
      <c r="F24" s="61" t="s">
        <v>6007</v>
      </c>
      <c r="G24" s="61" t="s">
        <v>5525</v>
      </c>
      <c r="H24" s="61" t="s">
        <v>5526</v>
      </c>
      <c r="I24" s="61" t="s">
        <v>5527</v>
      </c>
      <c r="J24" s="61" t="s">
        <v>5961</v>
      </c>
      <c r="K24" s="61" t="s">
        <v>6056</v>
      </c>
      <c r="L24" s="61" t="s">
        <v>6008</v>
      </c>
    </row>
    <row r="25" spans="1:12" ht="26.45" customHeight="1">
      <c r="A25" s="61" t="s">
        <v>4226</v>
      </c>
      <c r="B25" s="61" t="s">
        <v>1716</v>
      </c>
      <c r="C25" s="61" t="s">
        <v>1717</v>
      </c>
      <c r="D25" s="61" t="s">
        <v>5523</v>
      </c>
      <c r="E25" s="61" t="s">
        <v>5970</v>
      </c>
      <c r="F25" s="61" t="s">
        <v>6009</v>
      </c>
      <c r="G25" s="61" t="s">
        <v>5525</v>
      </c>
      <c r="H25" s="61" t="s">
        <v>5526</v>
      </c>
      <c r="I25" s="61" t="s">
        <v>5527</v>
      </c>
      <c r="J25" s="61" t="s">
        <v>5961</v>
      </c>
      <c r="K25" s="61" t="s">
        <v>6056</v>
      </c>
      <c r="L25" s="61" t="s">
        <v>6010</v>
      </c>
    </row>
    <row r="26" spans="1:12" ht="26.45" customHeight="1">
      <c r="A26" s="61" t="s">
        <v>4234</v>
      </c>
      <c r="B26" s="61" t="s">
        <v>1724</v>
      </c>
      <c r="C26" s="61" t="s">
        <v>1725</v>
      </c>
      <c r="D26" s="61" t="s">
        <v>5523</v>
      </c>
      <c r="E26" s="61" t="s">
        <v>5959</v>
      </c>
      <c r="F26" s="61" t="s">
        <v>6011</v>
      </c>
      <c r="G26" s="61" t="s">
        <v>5525</v>
      </c>
      <c r="H26" s="61" t="s">
        <v>5526</v>
      </c>
      <c r="I26" s="61" t="s">
        <v>5527</v>
      </c>
      <c r="J26" s="61" t="s">
        <v>5961</v>
      </c>
      <c r="K26" s="61" t="s">
        <v>6056</v>
      </c>
      <c r="L26" s="61" t="s">
        <v>6012</v>
      </c>
    </row>
    <row r="27" spans="1:12" ht="26.45" customHeight="1">
      <c r="A27" s="61" t="s">
        <v>4242</v>
      </c>
      <c r="B27" s="61" t="s">
        <v>1730</v>
      </c>
      <c r="C27" s="61" t="s">
        <v>1731</v>
      </c>
      <c r="D27" s="61" t="s">
        <v>5523</v>
      </c>
      <c r="E27" s="61" t="s">
        <v>5959</v>
      </c>
      <c r="F27" s="61" t="s">
        <v>6013</v>
      </c>
      <c r="G27" s="61" t="s">
        <v>5525</v>
      </c>
      <c r="H27" s="61" t="s">
        <v>5526</v>
      </c>
      <c r="I27" s="61" t="s">
        <v>5527</v>
      </c>
      <c r="J27" s="61" t="s">
        <v>5961</v>
      </c>
      <c r="K27" s="61" t="s">
        <v>6056</v>
      </c>
      <c r="L27" s="61" t="s">
        <v>6014</v>
      </c>
    </row>
    <row r="28" spans="1:12" ht="26.45" customHeight="1">
      <c r="A28" s="61" t="s">
        <v>4250</v>
      </c>
      <c r="B28" s="61" t="s">
        <v>1738</v>
      </c>
      <c r="C28" s="61" t="s">
        <v>1739</v>
      </c>
      <c r="D28" s="61" t="s">
        <v>5523</v>
      </c>
      <c r="E28" s="61" t="s">
        <v>5981</v>
      </c>
      <c r="F28" s="61" t="s">
        <v>6015</v>
      </c>
      <c r="G28" s="61" t="s">
        <v>5525</v>
      </c>
      <c r="H28" s="61" t="s">
        <v>5526</v>
      </c>
      <c r="I28" s="61" t="s">
        <v>5527</v>
      </c>
      <c r="J28" s="61" t="s">
        <v>5961</v>
      </c>
      <c r="K28" s="61" t="s">
        <v>6056</v>
      </c>
      <c r="L28" s="61" t="s">
        <v>6016</v>
      </c>
    </row>
    <row r="29" spans="1:12" ht="26.45" customHeight="1">
      <c r="A29" s="61" t="s">
        <v>4258</v>
      </c>
      <c r="B29" s="61" t="s">
        <v>1746</v>
      </c>
      <c r="C29" s="61" t="s">
        <v>1747</v>
      </c>
      <c r="D29" s="61" t="s">
        <v>5523</v>
      </c>
      <c r="E29" s="61" t="s">
        <v>5959</v>
      </c>
      <c r="F29" s="61" t="s">
        <v>6017</v>
      </c>
      <c r="G29" s="61" t="s">
        <v>5525</v>
      </c>
      <c r="H29" s="61" t="s">
        <v>5526</v>
      </c>
      <c r="I29" s="61" t="s">
        <v>5527</v>
      </c>
      <c r="J29" s="61" t="s">
        <v>5961</v>
      </c>
      <c r="K29" s="61" t="s">
        <v>6056</v>
      </c>
      <c r="L29" s="61" t="s">
        <v>6018</v>
      </c>
    </row>
    <row r="30" spans="1:12" ht="26.45" customHeight="1">
      <c r="A30" s="61" t="s">
        <v>4266</v>
      </c>
      <c r="B30" s="61" t="s">
        <v>1754</v>
      </c>
      <c r="C30" s="61" t="s">
        <v>1755</v>
      </c>
      <c r="D30" s="61" t="s">
        <v>5523</v>
      </c>
      <c r="E30" s="61" t="s">
        <v>5970</v>
      </c>
      <c r="F30" s="61" t="s">
        <v>6019</v>
      </c>
      <c r="G30" s="61" t="s">
        <v>5525</v>
      </c>
      <c r="H30" s="61" t="s">
        <v>5526</v>
      </c>
      <c r="I30" s="61" t="s">
        <v>5527</v>
      </c>
      <c r="J30" s="61" t="s">
        <v>5961</v>
      </c>
      <c r="K30" s="61" t="s">
        <v>6056</v>
      </c>
      <c r="L30" s="61" t="s">
        <v>6020</v>
      </c>
    </row>
    <row r="31" spans="1:12" ht="26.45" customHeight="1">
      <c r="A31" s="61" t="s">
        <v>4276</v>
      </c>
      <c r="B31" s="61" t="s">
        <v>1761</v>
      </c>
      <c r="C31" s="61" t="s">
        <v>1762</v>
      </c>
      <c r="D31" s="61" t="s">
        <v>5523</v>
      </c>
      <c r="E31" s="61" t="s">
        <v>5959</v>
      </c>
      <c r="F31" s="61" t="s">
        <v>6021</v>
      </c>
      <c r="G31" s="61" t="s">
        <v>5525</v>
      </c>
      <c r="H31" s="61" t="s">
        <v>5526</v>
      </c>
      <c r="I31" s="61" t="s">
        <v>5527</v>
      </c>
      <c r="J31" s="61" t="s">
        <v>5961</v>
      </c>
      <c r="K31" s="61" t="s">
        <v>6056</v>
      </c>
      <c r="L31" s="61" t="s">
        <v>6022</v>
      </c>
    </row>
    <row r="32" spans="1:12" ht="26.45" customHeight="1">
      <c r="A32" s="61" t="s">
        <v>4284</v>
      </c>
      <c r="B32" s="61" t="s">
        <v>1786</v>
      </c>
      <c r="C32" s="61" t="s">
        <v>1787</v>
      </c>
      <c r="D32" s="61" t="s">
        <v>5523</v>
      </c>
      <c r="E32" s="61" t="s">
        <v>5959</v>
      </c>
      <c r="F32" s="61" t="s">
        <v>6023</v>
      </c>
      <c r="G32" s="61" t="s">
        <v>5525</v>
      </c>
      <c r="H32" s="61" t="s">
        <v>5526</v>
      </c>
      <c r="I32" s="61" t="s">
        <v>5527</v>
      </c>
      <c r="J32" s="61" t="s">
        <v>5961</v>
      </c>
      <c r="K32" s="61" t="s">
        <v>6056</v>
      </c>
      <c r="L32" s="61" t="s">
        <v>6024</v>
      </c>
    </row>
    <row r="33" spans="1:12" ht="26.45" customHeight="1">
      <c r="A33" s="61" t="s">
        <v>4292</v>
      </c>
      <c r="B33" s="61" t="s">
        <v>1796</v>
      </c>
      <c r="C33" s="61" t="s">
        <v>1797</v>
      </c>
      <c r="D33" s="61" t="s">
        <v>5523</v>
      </c>
      <c r="E33" s="61" t="s">
        <v>5959</v>
      </c>
      <c r="F33" s="61" t="s">
        <v>6025</v>
      </c>
      <c r="G33" s="61" t="s">
        <v>5525</v>
      </c>
      <c r="H33" s="61" t="s">
        <v>5526</v>
      </c>
      <c r="I33" s="61" t="s">
        <v>5527</v>
      </c>
      <c r="J33" s="61" t="s">
        <v>5961</v>
      </c>
      <c r="K33" s="61" t="s">
        <v>6056</v>
      </c>
      <c r="L33" s="61" t="s">
        <v>6026</v>
      </c>
    </row>
    <row r="34" spans="1:12" ht="26.45" customHeight="1">
      <c r="A34" s="61" t="s">
        <v>4300</v>
      </c>
      <c r="B34" s="61" t="s">
        <v>1802</v>
      </c>
      <c r="C34" s="61" t="s">
        <v>1803</v>
      </c>
      <c r="D34" s="61" t="s">
        <v>5523</v>
      </c>
      <c r="E34" s="61" t="s">
        <v>5970</v>
      </c>
      <c r="F34" s="61" t="s">
        <v>6027</v>
      </c>
      <c r="G34" s="61" t="s">
        <v>5525</v>
      </c>
      <c r="H34" s="61" t="s">
        <v>5526</v>
      </c>
      <c r="I34" s="61" t="s">
        <v>5527</v>
      </c>
      <c r="J34" s="61" t="s">
        <v>5961</v>
      </c>
      <c r="K34" s="61" t="s">
        <v>6056</v>
      </c>
      <c r="L34" s="61" t="s">
        <v>6028</v>
      </c>
    </row>
    <row r="35" spans="1:12" ht="26.45" customHeight="1">
      <c r="A35" s="61" t="s">
        <v>4308</v>
      </c>
      <c r="B35" s="61" t="s">
        <v>1811</v>
      </c>
      <c r="C35" s="61" t="s">
        <v>1812</v>
      </c>
      <c r="D35" s="61" t="s">
        <v>5523</v>
      </c>
      <c r="E35" s="61" t="s">
        <v>5959</v>
      </c>
      <c r="F35" s="61" t="s">
        <v>6029</v>
      </c>
      <c r="G35" s="61" t="s">
        <v>5525</v>
      </c>
      <c r="H35" s="61" t="s">
        <v>5526</v>
      </c>
      <c r="I35" s="61" t="s">
        <v>5527</v>
      </c>
      <c r="J35" s="61" t="s">
        <v>5961</v>
      </c>
      <c r="K35" s="61" t="s">
        <v>6056</v>
      </c>
      <c r="L35" s="61" t="s">
        <v>6030</v>
      </c>
    </row>
    <row r="36" spans="1:12" ht="26.45" customHeight="1">
      <c r="A36" s="61" t="s">
        <v>4316</v>
      </c>
      <c r="B36" s="61" t="s">
        <v>1817</v>
      </c>
      <c r="C36" s="61" t="s">
        <v>1100</v>
      </c>
      <c r="D36" s="61" t="s">
        <v>5523</v>
      </c>
      <c r="E36" s="61" t="s">
        <v>6031</v>
      </c>
      <c r="F36" s="61" t="s">
        <v>6032</v>
      </c>
      <c r="G36" s="61" t="s">
        <v>5525</v>
      </c>
      <c r="H36" s="61" t="s">
        <v>5526</v>
      </c>
      <c r="I36" s="61" t="s">
        <v>5527</v>
      </c>
      <c r="J36" s="61" t="s">
        <v>5961</v>
      </c>
      <c r="K36" s="61" t="s">
        <v>6056</v>
      </c>
      <c r="L36" s="61" t="s">
        <v>6033</v>
      </c>
    </row>
    <row r="37" spans="1:12" ht="26.45" customHeight="1">
      <c r="A37" s="61" t="s">
        <v>4324</v>
      </c>
      <c r="B37" s="61" t="s">
        <v>1822</v>
      </c>
      <c r="C37" s="61" t="s">
        <v>1823</v>
      </c>
      <c r="D37" s="61" t="s">
        <v>5523</v>
      </c>
      <c r="E37" s="61" t="s">
        <v>6031</v>
      </c>
      <c r="F37" s="61" t="s">
        <v>6034</v>
      </c>
      <c r="G37" s="61" t="s">
        <v>5525</v>
      </c>
      <c r="H37" s="61" t="s">
        <v>5526</v>
      </c>
      <c r="I37" s="61" t="s">
        <v>5527</v>
      </c>
      <c r="J37" s="61" t="s">
        <v>5961</v>
      </c>
      <c r="K37" s="61" t="s">
        <v>6056</v>
      </c>
      <c r="L37" s="61" t="s">
        <v>6035</v>
      </c>
    </row>
    <row r="38" spans="1:12" ht="26.45" customHeight="1">
      <c r="A38" s="61" t="s">
        <v>4333</v>
      </c>
      <c r="B38" s="61" t="s">
        <v>1828</v>
      </c>
      <c r="C38" s="61" t="s">
        <v>1829</v>
      </c>
      <c r="D38" s="61" t="s">
        <v>5523</v>
      </c>
      <c r="E38" s="61" t="s">
        <v>5959</v>
      </c>
      <c r="F38" s="61" t="s">
        <v>6036</v>
      </c>
      <c r="G38" s="61" t="s">
        <v>5525</v>
      </c>
      <c r="H38" s="61" t="s">
        <v>5526</v>
      </c>
      <c r="I38" s="61" t="s">
        <v>5527</v>
      </c>
      <c r="J38" s="61" t="s">
        <v>5961</v>
      </c>
      <c r="K38" s="61" t="s">
        <v>6056</v>
      </c>
      <c r="L38" s="61" t="s">
        <v>6037</v>
      </c>
    </row>
    <row r="39" spans="1:12" ht="26.45" customHeight="1">
      <c r="A39" s="61" t="s">
        <v>5663</v>
      </c>
      <c r="B39" s="61" t="s">
        <v>1834</v>
      </c>
      <c r="C39" s="61" t="s">
        <v>539</v>
      </c>
      <c r="D39" s="61" t="s">
        <v>5665</v>
      </c>
      <c r="E39" s="61" t="s">
        <v>6038</v>
      </c>
      <c r="F39" s="61" t="s">
        <v>6039</v>
      </c>
      <c r="G39" s="61" t="s">
        <v>5525</v>
      </c>
      <c r="H39" s="61" t="s">
        <v>5526</v>
      </c>
      <c r="I39" s="61" t="s">
        <v>5527</v>
      </c>
      <c r="J39" s="61" t="s">
        <v>5961</v>
      </c>
      <c r="K39" s="61" t="s">
        <v>6056</v>
      </c>
      <c r="L39" s="61" t="s">
        <v>6040</v>
      </c>
    </row>
    <row r="40" spans="1:12" ht="26.45" customHeight="1">
      <c r="A40" s="61" t="s">
        <v>5668</v>
      </c>
      <c r="B40" s="61" t="s">
        <v>1834</v>
      </c>
      <c r="C40" s="61" t="s">
        <v>539</v>
      </c>
      <c r="D40" s="61" t="s">
        <v>5669</v>
      </c>
      <c r="E40" s="61" t="s">
        <v>6041</v>
      </c>
      <c r="F40" s="61" t="s">
        <v>6042</v>
      </c>
      <c r="G40" s="61" t="s">
        <v>5525</v>
      </c>
      <c r="H40" s="61" t="s">
        <v>5526</v>
      </c>
      <c r="I40" s="61" t="s">
        <v>5527</v>
      </c>
      <c r="J40" s="61" t="s">
        <v>5961</v>
      </c>
      <c r="K40" s="61" t="s">
        <v>6056</v>
      </c>
      <c r="L40" s="61" t="s">
        <v>6043</v>
      </c>
    </row>
    <row r="41" spans="1:12" ht="26.45" customHeight="1">
      <c r="A41" s="61" t="s">
        <v>5672</v>
      </c>
      <c r="B41" s="61" t="s">
        <v>1834</v>
      </c>
      <c r="C41" s="61" t="s">
        <v>539</v>
      </c>
      <c r="D41" s="61" t="s">
        <v>5673</v>
      </c>
      <c r="E41" s="61" t="s">
        <v>6044</v>
      </c>
      <c r="F41" s="61" t="s">
        <v>6045</v>
      </c>
      <c r="G41" s="61" t="s">
        <v>5525</v>
      </c>
      <c r="H41" s="61" t="s">
        <v>5526</v>
      </c>
      <c r="I41" s="61" t="s">
        <v>5527</v>
      </c>
      <c r="J41" s="61" t="s">
        <v>5961</v>
      </c>
      <c r="K41" s="61" t="s">
        <v>6056</v>
      </c>
      <c r="L41" s="61" t="s">
        <v>6046</v>
      </c>
    </row>
    <row r="42" spans="1:12" ht="26.45" customHeight="1">
      <c r="A42" s="61" t="s">
        <v>5678</v>
      </c>
      <c r="B42" s="61" t="s">
        <v>1842</v>
      </c>
      <c r="C42" s="61" t="s">
        <v>544</v>
      </c>
      <c r="D42" s="61" t="s">
        <v>5679</v>
      </c>
      <c r="E42" s="61" t="s">
        <v>6047</v>
      </c>
      <c r="F42" s="61" t="s">
        <v>6048</v>
      </c>
      <c r="G42" s="61" t="s">
        <v>5525</v>
      </c>
      <c r="H42" s="61" t="s">
        <v>5526</v>
      </c>
      <c r="I42" s="61" t="s">
        <v>5527</v>
      </c>
      <c r="J42" s="61" t="s">
        <v>5961</v>
      </c>
      <c r="K42" s="61" t="s">
        <v>6056</v>
      </c>
      <c r="L42" s="61" t="s">
        <v>6049</v>
      </c>
    </row>
    <row r="43" spans="1:12" ht="26.45" customHeight="1">
      <c r="A43" s="61" t="s">
        <v>5682</v>
      </c>
      <c r="B43" s="61" t="s">
        <v>1842</v>
      </c>
      <c r="C43" s="61" t="s">
        <v>544</v>
      </c>
      <c r="D43" s="61" t="s">
        <v>5683</v>
      </c>
      <c r="E43" s="61" t="s">
        <v>6050</v>
      </c>
      <c r="F43" s="61" t="s">
        <v>6051</v>
      </c>
      <c r="G43" s="61" t="s">
        <v>5525</v>
      </c>
      <c r="H43" s="61" t="s">
        <v>5526</v>
      </c>
      <c r="I43" s="61" t="s">
        <v>5527</v>
      </c>
      <c r="J43" s="61" t="s">
        <v>5961</v>
      </c>
      <c r="K43" s="61" t="s">
        <v>6056</v>
      </c>
      <c r="L43" s="61" t="s">
        <v>6052</v>
      </c>
    </row>
    <row r="44" spans="1:12" ht="26.45" customHeight="1">
      <c r="A44" s="61" t="s">
        <v>5686</v>
      </c>
      <c r="B44" s="61" t="s">
        <v>1842</v>
      </c>
      <c r="C44" s="61" t="s">
        <v>544</v>
      </c>
      <c r="D44" s="61" t="s">
        <v>5687</v>
      </c>
      <c r="E44" s="61" t="s">
        <v>6053</v>
      </c>
      <c r="F44" s="61" t="s">
        <v>6054</v>
      </c>
      <c r="G44" s="61" t="s">
        <v>5525</v>
      </c>
      <c r="H44" s="61" t="s">
        <v>5526</v>
      </c>
      <c r="I44" s="61" t="s">
        <v>5527</v>
      </c>
      <c r="J44" s="61" t="s">
        <v>5961</v>
      </c>
      <c r="K44" s="61" t="s">
        <v>6056</v>
      </c>
      <c r="L44" s="61" t="s">
        <v>6055</v>
      </c>
    </row>
  </sheetData>
  <mergeCells count="2">
    <mergeCell ref="A1:L1"/>
    <mergeCell ref="A2:L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26</vt:i4>
      </vt:variant>
    </vt:vector>
  </HeadingPairs>
  <TitlesOfParts>
    <vt:vector size="26" baseType="lpstr">
      <vt:lpstr>Übersicht</vt:lpstr>
      <vt:lpstr>Matrixcheck</vt:lpstr>
      <vt:lpstr>Questgruppen</vt:lpstr>
      <vt:lpstr>Questdesign</vt:lpstr>
      <vt:lpstr>Mechanikbewertung</vt:lpstr>
      <vt:lpstr>Ortszuordnung</vt:lpstr>
      <vt:lpstr>Sonderquests</vt:lpstr>
      <vt:lpstr>Supportpunkte</vt:lpstr>
      <vt:lpstr>Kandidatenstatus</vt:lpstr>
      <vt:lpstr>Kriterien</vt:lpstr>
      <vt:lpstr>Unique Gegner</vt:lpstr>
      <vt:lpstr>Quest Master</vt:lpstr>
      <vt:lpstr>Questablauf</vt:lpstr>
      <vt:lpstr>Dialoge</vt:lpstr>
      <vt:lpstr>Charaktere</vt:lpstr>
      <vt:lpstr>Rätsel</vt:lpstr>
      <vt:lpstr>Kampfprofile</vt:lpstr>
      <vt:lpstr>Navigation</vt:lpstr>
      <vt:lpstr>Timer</vt:lpstr>
      <vt:lpstr>GDD-Abgleich</vt:lpstr>
      <vt:lpstr>Abdeckung</vt:lpstr>
      <vt:lpstr>Implementierung</vt:lpstr>
      <vt:lpstr>Gegnerbalance</vt:lpstr>
      <vt:lpstr>Stores</vt:lpstr>
      <vt:lpstr>Asset-Prompts</vt:lpstr>
      <vt:lpstr>Stances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Züst Alexander (zuestal1)</cp:lastModifiedBy>
  <dcterms:created xsi:type="dcterms:W3CDTF">2026-09-11T07:17:14Z</dcterms:created>
  <dcterms:modified xsi:type="dcterms:W3CDTF">2026-09-11T07:20:08Z</dcterms:modified>
</cp:coreProperties>
</file>