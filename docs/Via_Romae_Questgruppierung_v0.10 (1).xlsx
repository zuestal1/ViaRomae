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ad7104e3e04da4" /></Relationships>
</file>

<file path=xl/workbook.xml><?xml version="1.0" encoding="utf-8"?>
<x:workbook xmlns:x="http://schemas.openxmlformats.org/spreadsheetml/2006/main">
  <x:sheets>
    <x:sheet xmlns:r="http://schemas.openxmlformats.org/officeDocument/2006/relationships" name="Übersicht" sheetId="1" r:id="R34463bbff1ab403a"/>
    <x:sheet xmlns:r="http://schemas.openxmlformats.org/officeDocument/2006/relationships" name="Matrixcheck" sheetId="2" r:id="R2775fa70cba841b5"/>
    <x:sheet xmlns:r="http://schemas.openxmlformats.org/officeDocument/2006/relationships" name="Questgruppen" sheetId="3" r:id="R56263bd1f0a94308"/>
    <x:sheet xmlns:r="http://schemas.openxmlformats.org/officeDocument/2006/relationships" name="Questdesign" sheetId="4" r:id="R8fc12c8e94b14780"/>
    <x:sheet xmlns:r="http://schemas.openxmlformats.org/officeDocument/2006/relationships" name="Mechanikbewertung" sheetId="5" r:id="Rcbc6d91521e144c6"/>
    <x:sheet xmlns:r="http://schemas.openxmlformats.org/officeDocument/2006/relationships" name="Ortszuordnung" sheetId="6" r:id="R3cefc6488a464769"/>
    <x:sheet xmlns:r="http://schemas.openxmlformats.org/officeDocument/2006/relationships" name="Sonderquests" sheetId="7" r:id="Rc65893a809ae4446"/>
    <x:sheet xmlns:r="http://schemas.openxmlformats.org/officeDocument/2006/relationships" name="Supportpunkte" sheetId="8" r:id="Rdbacd2170b0a4d68"/>
    <x:sheet xmlns:r="http://schemas.openxmlformats.org/officeDocument/2006/relationships" name="Kandidatenstatus" sheetId="9" r:id="R5266eeb33d2645bd"/>
    <x:sheet xmlns:r="http://schemas.openxmlformats.org/officeDocument/2006/relationships" name="Kriterien" sheetId="10" r:id="Ra53c58c0851a4ed2"/>
    <x:sheet xmlns:r="http://schemas.openxmlformats.org/officeDocument/2006/relationships" name="Unique Gegner" sheetId="11" r:id="R965bff9ccb5642b8"/>
    <x:sheet xmlns:r="http://schemas.openxmlformats.org/officeDocument/2006/relationships" name="Quest Master" sheetId="12" r:id="Rffca3b3968e04023"/>
    <x:sheet xmlns:r="http://schemas.openxmlformats.org/officeDocument/2006/relationships" name="Questablauf" sheetId="13" r:id="Rdf004121ed034a55"/>
    <x:sheet xmlns:r="http://schemas.openxmlformats.org/officeDocument/2006/relationships" name="Dialoge" sheetId="14" r:id="R96540b53801c44d3"/>
    <x:sheet xmlns:r="http://schemas.openxmlformats.org/officeDocument/2006/relationships" name="Charaktere" sheetId="15" r:id="Rce6e81f1b2e644d8"/>
    <x:sheet xmlns:r="http://schemas.openxmlformats.org/officeDocument/2006/relationships" name="Rätsel" sheetId="16" r:id="R6c3631fe7a0347d4"/>
    <x:sheet xmlns:r="http://schemas.openxmlformats.org/officeDocument/2006/relationships" name="Kampfprofile" sheetId="17" r:id="Rdc0afade21c142d6"/>
    <x:sheet xmlns:r="http://schemas.openxmlformats.org/officeDocument/2006/relationships" name="Navigation" sheetId="18" r:id="Rf2e4d88fd6664e96"/>
    <x:sheet xmlns:r="http://schemas.openxmlformats.org/officeDocument/2006/relationships" name="Timer" sheetId="19" r:id="Rdcf4ce073da046de"/>
    <x:sheet xmlns:r="http://schemas.openxmlformats.org/officeDocument/2006/relationships" name="GDD-Abgleich" sheetId="20" r:id="R193617b7da49414a"/>
    <x:sheet xmlns:r="http://schemas.openxmlformats.org/officeDocument/2006/relationships" name="Abdeckung" sheetId="21" r:id="Rb60615015f3742bc"/>
    <x:sheet xmlns:r="http://schemas.openxmlformats.org/officeDocument/2006/relationships" name="Implementierung" sheetId="22" r:id="R8775a38811814764"/>
    <x:sheet xmlns:r="http://schemas.openxmlformats.org/officeDocument/2006/relationships" name="Gegnerbalance" sheetId="23" r:id="Re2cfe1d4118448c7"/>
    <x:sheet xmlns:r="http://schemas.openxmlformats.org/officeDocument/2006/relationships" name="Stores" sheetId="24" r:id="R43a45bf4f98b4d2f"/>
    <x:sheet xmlns:r="http://schemas.openxmlformats.org/officeDocument/2006/relationships" name="Asset-Prompts" sheetId="25" r:id="R1f64db4ac4414536"/>
    <x:sheet xmlns:r="http://schemas.openxmlformats.org/officeDocument/2006/relationships" name="Stances" sheetId="26" r:id="Rcfcf83525d2f4513"/>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00000"/>
    <x:numFmt numFmtId="202" formatCode="#,##0"/>
    <x:numFmt numFmtId="203" formatCode="0.0"/>
    <x:numFmt numFmtId="204" formatCode="0"/>
  </x:numFmts>
  <x:fonts count="14">
    <x:font>
      <x:sz val="11"/>
      <x:name val="Carlito"/>
    </x:font>
    <x:font>
      <x:b/>
      <x:sz val="18"/>
      <x:color rgb="FFDDB94F"/>
      <x:name val="Carlito"/>
    </x:font>
    <x:font>
      <x:i/>
      <x:sz val="10"/>
      <x:color rgb="FF655E55"/>
      <x:name val="Carlito"/>
    </x:font>
    <x:font>
      <x:b/>
      <x:sz val="10"/>
      <x:color rgb="FFFFFFFF"/>
      <x:name val="Carlito"/>
    </x:font>
    <x:font>
      <x:sz val="9"/>
      <x:color rgb="FF332F2A"/>
      <x:name val="Carlito"/>
    </x:font>
    <x:font>
      <x:b/>
      <x:sz val="16"/>
      <x:color rgb="FF332F2A"/>
      <x:name val="Carlito"/>
    </x:font>
    <x:font>
      <x:b/>
      <x:sz val="11"/>
      <x:color rgb="FF211D18"/>
      <x:name val="Carlito"/>
    </x:font>
    <x:font>
      <x:sz val="10"/>
      <x:color rgb="FF332F2A"/>
      <x:name val="Carlito"/>
    </x:font>
    <x:font>
      <x:b/>
      <x:sz val="9"/>
      <x:color rgb="FFFFFFFF"/>
      <x:name val="Carlito"/>
    </x:font>
    <x:font>
      <x:b/>
      <x:sz val="9"/>
      <x:color rgb="FF211D18"/>
      <x:name val="Carlito"/>
    </x:font>
    <x:font>
      <x:b/>
      <x:sz val="12"/>
      <x:color rgb="FF332F2A"/>
      <x:name val="Carlito"/>
    </x:font>
    <x:font>
      <x:b/>
      <x:sz val="11"/>
      <x:color rgb="FFFFFFFF"/>
      <x:name val="Carlito"/>
    </x:font>
    <x:font>
      <x:b/>
      <x:sz val="14"/>
      <x:color rgb="FFFFFFFF"/>
      <x:name val="Carlito"/>
    </x:font>
    <x:font>
      <x:i/>
      <x:sz val="11"/>
      <x:color rgb="FF1F1F1F"/>
      <x:name val="Carlito"/>
    </x:font>
  </x:fonts>
  <x:fills count="19">
    <x:fill>
      <x:patternFill patternType="none"/>
    </x:fill>
    <x:fill>
      <x:patternFill patternType="gray125"/>
    </x:fill>
    <x:fill>
      <x:patternFill patternType="solid">
        <x:fgColor rgb="FF211D18"/>
      </x:patternFill>
    </x:fill>
    <x:fill>
      <x:patternFill patternType="solid">
        <x:fgColor rgb="FFF7F0E4"/>
      </x:patternFill>
    </x:fill>
    <x:fill>
      <x:patternFill patternType="solid">
        <x:fgColor rgb="FFDDB94F"/>
      </x:patternFill>
    </x:fill>
    <x:fill>
      <x:patternFill patternType="solid">
        <x:fgColor rgb="FF211D18"/>
      </x:patternFill>
    </x:fill>
    <x:fill>
      <x:patternFill patternType="solid">
        <x:fgColor rgb="FFF7F0E4"/>
      </x:patternFill>
    </x:fill>
    <x:fill>
      <x:patternFill patternType="solid">
        <x:fgColor rgb="FFC5E9F5"/>
      </x:patternFill>
    </x:fill>
    <x:fill>
      <x:patternFill patternType="solid">
        <x:fgColor rgb="FFFFFFFF"/>
      </x:patternFill>
    </x:fill>
    <x:fill>
      <x:patternFill patternType="solid">
        <x:fgColor rgb="FF211D18"/>
      </x:patternFill>
    </x:fill>
    <x:fill>
      <x:patternFill patternType="solid">
        <x:fgColor rgb="FFF7F0E4"/>
      </x:patternFill>
    </x:fill>
    <x:fill>
      <x:patternFill patternType="solid">
        <x:fgColor rgb="FFC5E9F5"/>
      </x:patternFill>
    </x:fill>
    <x:fill>
      <x:patternFill patternType="solid">
        <x:fgColor rgb="FFFFFFFF"/>
      </x:patternFill>
    </x:fill>
    <x:fill>
      <x:patternFill patternType="solid">
        <x:fgColor rgb="FFF8E7B7"/>
      </x:patternFill>
    </x:fill>
    <x:fill>
      <x:patternFill patternType="solid">
        <x:fgColor rgb="FFDDB94F"/>
      </x:patternFill>
    </x:fill>
    <x:fill>
      <x:patternFill patternType="solid">
        <x:fgColor rgb="FFE8F6FB"/>
      </x:patternFill>
    </x:fill>
    <x:fill>
      <x:patternFill patternType="solid">
        <x:fgColor rgb="FF5B9BD5"/>
      </x:patternFill>
    </x:fill>
    <x:fill>
      <x:patternFill patternType="solid">
        <x:fgColor rgb="FF1F4E78"/>
      </x:patternFill>
    </x:fill>
    <x:fill>
      <x:patternFill patternType="solid">
        <x:fgColor rgb="FFD9EAF7"/>
      </x:patternFill>
    </x:fill>
  </x:fills>
  <x:borders count="5">
    <x:border/>
    <x:border>
      <x:bottom style="thin">
        <x:color rgb="FFD9CDBB"/>
      </x:bottom>
    </x:border>
    <x:border>
      <x:top style="thin">
        <x:color rgb="FFD9CDBB"/>
      </x:top>
      <x:bottom style="thin">
        <x:color rgb="FFD9CDBB"/>
      </x:bottom>
    </x:border>
    <x:border>
      <x:top style="thin">
        <x:color rgb="FFD9CDBB"/>
      </x:top>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8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200" fontId="0" fillId="0"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201" fontId="4" fillId="0" borderId="1" xfId="0" applyNumberFormat="1" applyFont="1" applyFill="1" applyBorder="1" applyAlignment="1">
      <x:alignment vertical="top" wrapText="1"/>
    </x:xf>
    <x:xf numFmtId="201" fontId="4" fillId="0" borderId="2" xfId="0" applyNumberFormat="1" applyFont="1" applyFill="1" applyBorder="1" applyAlignment="1">
      <x:alignment vertical="top" wrapText="1"/>
    </x:xf>
    <x:xf numFmtId="201" fontId="4" fillId="0" borderId="3" xfId="0" applyNumberFormat="1" applyFont="1" applyFill="1" applyBorder="1" applyAlignment="1">
      <x:alignment vertical="top" wrapText="1"/>
    </x:xf>
    <x:xf numFmtId="202" fontId="4" fillId="0" borderId="1" xfId="0" applyNumberFormat="1" applyFont="1" applyFill="1" applyBorder="1" applyAlignment="1">
      <x:alignment vertical="top" wrapText="1"/>
    </x:xf>
    <x:xf numFmtId="202" fontId="4" fillId="0" borderId="2" xfId="0" applyNumberFormat="1" applyFont="1" applyFill="1" applyBorder="1" applyAlignment="1">
      <x:alignment vertical="top" wrapText="1"/>
    </x:xf>
    <x:xf numFmtId="202" fontId="4" fillId="0" borderId="3" xfId="0" applyNumberFormat="1" applyFont="1" applyFill="1" applyBorder="1" applyAlignment="1">
      <x:alignment vertical="top" wrapText="1"/>
    </x:xf>
    <x:xf numFmtId="203" fontId="4" fillId="0" borderId="1" xfId="0" applyNumberFormat="1" applyFont="1" applyFill="1" applyBorder="1" applyAlignment="1">
      <x:alignment vertical="top" wrapText="1"/>
    </x:xf>
    <x:xf numFmtId="203" fontId="4" fillId="0" borderId="2" xfId="0" applyNumberFormat="1" applyFont="1" applyFill="1" applyBorder="1" applyAlignment="1">
      <x:alignment vertical="top" wrapText="1"/>
    </x:xf>
    <x:xf numFmtId="203" fontId="4" fillId="0" borderId="3" xfId="0" applyNumberFormat="1" applyFont="1" applyFill="1" applyBorder="1" applyAlignment="1">
      <x:alignment vertical="top" wrapText="1"/>
    </x:xf>
    <x:xf numFmtId="0" fontId="5" fillId="3" borderId="0" xfId="0" applyNumberFormat="1" applyFont="1" applyFill="1" applyBorder="1"/>
    <x:xf numFmtId="0" fontId="5" fillId="3" borderId="0" xfId="0" applyNumberFormat="1" applyFont="1" applyFill="1" applyBorder="1" applyAlignment="1">
      <x:alignment horizontal="center"/>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1" xfId="0" applyNumberFormat="1" applyFont="1" applyFill="1" applyBorder="1" applyAlignment="1">
      <x:alignment horizontal="center" wrapText="1"/>
    </x:xf>
    <x:xf numFmtId="0" fontId="0" fillId="0" borderId="2" xfId="0" applyNumberFormat="1" applyFont="1" applyFill="1" applyBorder="1" applyAlignment="1">
      <x:alignment horizontal="center" wrapText="1"/>
    </x:xf>
    <x:xf numFmtId="0" fontId="0" fillId="0" borderId="3" xfId="0" applyNumberFormat="1" applyFont="1" applyFill="1" applyBorder="1" applyAlignment="1">
      <x:alignment horizontal="center" wrapText="1"/>
    </x:xf>
    <x:xf numFmtId="0" fontId="0" fillId="4" borderId="0" xfId="0" applyNumberFormat="1" applyFont="1" applyFill="1" applyBorder="1"/>
    <x:xf numFmtId="0" fontId="6" fillId="4" borderId="0" xfId="0" applyNumberFormat="1" applyFont="1" applyFill="1" applyBorder="1"/>
    <x:xf numFmtId="0" fontId="7" fillId="3" borderId="0" xfId="0" applyNumberFormat="1" applyFont="1" applyFill="1" applyBorder="1"/>
    <x:xf numFmtId="0" fontId="7" fillId="3" borderId="0" xfId="0" applyNumberFormat="1" applyFont="1" applyFill="1" applyBorder="1" applyAlignment="1">
      <x:alignment wrapText="1"/>
    </x:xf>
    <x:xf numFmtId="0" fontId="1" fillId="2"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3" fillId="2" borderId="0" xfId="0" applyNumberFormat="1" applyFont="1" applyFill="1" applyBorder="1" applyAlignment="1">
      <x:alignment vertical="top" wrapText="1"/>
    </x:xf>
    <x:xf numFmtId="0" fontId="4" fillId="0" borderId="0" xfId="0" applyNumberFormat="1" applyFont="1" applyFill="1" applyBorder="1" applyAlignment="1">
      <x:alignment vertical="top"/>
    </x:xf>
    <x:xf numFmtId="0" fontId="4" fillId="5" borderId="0" xfId="0" applyNumberFormat="1" applyFont="1" applyFill="1" applyBorder="1" applyAlignment="1">
      <x:alignment vertical="top"/>
    </x:xf>
    <x:xf numFmtId="0" fontId="1" fillId="5" borderId="0" xfId="0" applyNumberFormat="1" applyFont="1" applyFill="1" applyBorder="1" applyAlignment="1">
      <x:alignment vertical="top"/>
    </x:xf>
    <x:xf numFmtId="0" fontId="1" fillId="5"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2" fillId="6" borderId="0" xfId="0" applyNumberFormat="1" applyFont="1" applyFill="1" applyBorder="1" applyAlignment="1">
      <x:alignment vertical="top"/>
    </x:xf>
    <x:xf numFmtId="0" fontId="2" fillId="6" borderId="0" xfId="0" applyNumberFormat="1" applyFont="1" applyFill="1" applyBorder="1" applyAlignment="1">
      <x:alignment vertical="top" wrapText="1"/>
    </x:xf>
    <x:xf numFmtId="0" fontId="2" fillId="6" borderId="0" xfId="0" applyNumberFormat="1" applyFont="1" applyFill="1" applyBorder="1" applyAlignment="1">
      <x:alignment vertical="center" wrapText="1"/>
    </x:xf>
    <x:xf numFmtId="0" fontId="3" fillId="5" borderId="0" xfId="0" applyNumberFormat="1" applyFont="1" applyFill="1" applyBorder="1" applyAlignment="1">
      <x:alignment vertical="top"/>
    </x:xf>
    <x:xf numFmtId="0" fontId="3" fillId="5" borderId="0" xfId="0" applyNumberFormat="1" applyFont="1" applyFill="1" applyBorder="1" applyAlignment="1">
      <x:alignment vertical="top" wrapText="1"/>
    </x:xf>
    <x:xf numFmtId="0" fontId="3" fillId="5" borderId="0" xfId="0" applyNumberFormat="1" applyFont="1" applyFill="1" applyBorder="1" applyAlignment="1">
      <x:alignment vertical="center" wrapText="1"/>
    </x:xf>
    <x:xf numFmtId="0" fontId="4" fillId="7" borderId="0" xfId="0" applyNumberFormat="1" applyFont="1" applyFill="1" applyBorder="1" applyAlignment="1">
      <x:alignment vertical="top"/>
    </x:xf>
    <x:xf numFmtId="0" fontId="4" fillId="7" borderId="1" xfId="0" applyNumberFormat="1" applyFont="1" applyFill="1" applyBorder="1" applyAlignment="1">
      <x:alignment vertical="top"/>
    </x:xf>
    <x:xf numFmtId="0" fontId="4" fillId="7" borderId="1" xfId="0" applyNumberFormat="1" applyFont="1" applyFill="1" applyBorder="1" applyAlignment="1">
      <x:alignment vertical="top" wrapText="1"/>
    </x:xf>
    <x:xf numFmtId="0" fontId="4" fillId="8" borderId="0" xfId="0" applyNumberFormat="1" applyFont="1" applyFill="1" applyBorder="1" applyAlignment="1">
      <x:alignment vertical="top"/>
    </x:xf>
    <x:xf numFmtId="0" fontId="4" fillId="8" borderId="1" xfId="0" applyNumberFormat="1" applyFont="1" applyFill="1" applyBorder="1" applyAlignment="1">
      <x:alignment vertical="top"/>
    </x:xf>
    <x:xf numFmtId="0" fontId="4" fillId="8" borderId="1" xfId="0" applyNumberFormat="1" applyFont="1" applyFill="1" applyBorder="1" applyAlignment="1">
      <x:alignment vertical="top" wrapText="1"/>
    </x:xf>
    <x:xf numFmtId="0" fontId="4" fillId="7" borderId="1" xfId="0" applyNumberFormat="1" applyFont="1" applyFill="1" applyBorder="1" applyAlignment="1">
      <x:alignment horizontal="center" vertical="top" wrapText="1"/>
    </x:xf>
    <x:xf numFmtId="0" fontId="4" fillId="8" borderId="1" xfId="0" applyNumberFormat="1" applyFont="1" applyFill="1" applyBorder="1" applyAlignment="1">
      <x:alignment horizontal="center" vertical="top" wrapText="1"/>
    </x:xf>
    <x:xf numFmtId="204" fontId="4" fillId="7" borderId="1" xfId="0" applyNumberFormat="1" applyFont="1" applyFill="1" applyBorder="1" applyAlignment="1">
      <x:alignment horizontal="center" vertical="top" wrapText="1"/>
    </x:xf>
    <x:xf numFmtId="204" fontId="4" fillId="8" borderId="1" xfId="0" applyNumberFormat="1" applyFont="1" applyFill="1" applyBorder="1" applyAlignment="1">
      <x:alignment horizontal="center" vertical="top" wrapText="1"/>
    </x:xf>
    <x:xf numFmtId="203" fontId="4" fillId="7" borderId="1" xfId="0" applyNumberFormat="1" applyFont="1" applyFill="1" applyBorder="1" applyAlignment="1">
      <x:alignment horizontal="center" vertical="top" wrapText="1"/>
    </x:xf>
    <x:xf numFmtId="203" fontId="4" fillId="8" borderId="1" xfId="0" applyNumberFormat="1" applyFont="1" applyFill="1" applyBorder="1" applyAlignment="1">
      <x:alignment horizontal="center" vertical="top" wrapText="1"/>
    </x:xf>
    <x:xf numFmtId="0" fontId="0" fillId="5" borderId="0" xfId="0" applyNumberFormat="1" applyFont="1" applyFill="1" applyBorder="1"/>
    <x:xf numFmtId="0" fontId="0" fillId="6"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5" fillId="6" borderId="0" xfId="0" applyNumberFormat="1" applyFont="1" applyFill="1" applyBorder="1"/>
    <x:xf numFmtId="0" fontId="5" fillId="6" borderId="0" xfId="0" applyNumberFormat="1" applyFont="1" applyFill="1" applyBorder="1" applyAlignment="1">
      <x:alignment horizontal="center"/>
    </x:xf>
    <x:xf numFmtId="0" fontId="0" fillId="7" borderId="0" xfId="0" applyNumberFormat="1" applyFont="1" applyFill="1" applyBorder="1"/>
    <x:xf numFmtId="0" fontId="4" fillId="7" borderId="0"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wrapText="1"/>
    </x:xf>
    <x:xf numFmtId="0" fontId="0" fillId="8" borderId="0" xfId="0" applyNumberFormat="1" applyFont="1" applyFill="1" applyBorder="1"/>
    <x:xf numFmtId="0" fontId="4" fillId="8" borderId="0" xfId="0" applyNumberFormat="1" applyFont="1" applyFill="1" applyBorder="1"/>
    <x:xf numFmtId="0" fontId="4" fillId="8" borderId="1" xfId="0" applyNumberFormat="1" applyFont="1" applyFill="1" applyBorder="1"/>
    <x:xf numFmtId="0" fontId="4" fillId="8" borderId="1" xfId="0" applyNumberFormat="1" applyFont="1" applyFill="1" applyBorder="1" applyAlignment="1">
      <x:alignment wrapText="1"/>
    </x:xf>
    <x:xf numFmtId="0" fontId="4" fillId="9" borderId="0" xfId="0" applyNumberFormat="1" applyFont="1" applyFill="1" applyBorder="1" applyAlignment="1">
      <x:alignment vertical="top"/>
    </x:xf>
    <x:xf numFmtId="0" fontId="1" fillId="9" borderId="0" xfId="0" applyNumberFormat="1" applyFont="1" applyFill="1" applyBorder="1" applyAlignment="1">
      <x:alignment vertical="top"/>
    </x:xf>
    <x:xf numFmtId="0" fontId="1" fillId="9" borderId="0" xfId="0" applyNumberFormat="1" applyFont="1" applyFill="1" applyBorder="1" applyAlignment="1">
      <x:alignment vertical="center"/>
    </x:xf>
    <x:xf numFmtId="0" fontId="4" fillId="10" borderId="0" xfId="0" applyNumberFormat="1" applyFont="1" applyFill="1" applyBorder="1" applyAlignment="1">
      <x:alignment vertical="top"/>
    </x:xf>
    <x:xf numFmtId="0" fontId="2" fillId="10" borderId="0" xfId="0" applyNumberFormat="1" applyFont="1" applyFill="1" applyBorder="1" applyAlignment="1">
      <x:alignment vertical="top"/>
    </x:xf>
    <x:xf numFmtId="0" fontId="2" fillId="10" borderId="0" xfId="0" applyNumberFormat="1" applyFont="1" applyFill="1" applyBorder="1" applyAlignment="1">
      <x:alignment vertical="top" wrapText="1"/>
    </x:xf>
    <x:xf numFmtId="0" fontId="2" fillId="10" borderId="0" xfId="0" applyNumberFormat="1" applyFont="1" applyFill="1" applyBorder="1" applyAlignment="1">
      <x:alignment vertical="center" wrapText="1"/>
    </x:xf>
    <x:xf numFmtId="0" fontId="8" fillId="9" borderId="0" xfId="0" applyNumberFormat="1" applyFont="1" applyFill="1" applyBorder="1" applyAlignment="1">
      <x:alignment vertical="top"/>
    </x:xf>
    <x:xf numFmtId="0" fontId="8" fillId="9" borderId="0" xfId="0" applyNumberFormat="1" applyFont="1" applyFill="1" applyBorder="1" applyAlignment="1">
      <x:alignment vertical="top" wrapText="1"/>
    </x:xf>
    <x:xf numFmtId="0" fontId="8" fillId="9" borderId="0" xfId="0" applyNumberFormat="1" applyFont="1" applyFill="1" applyBorder="1" applyAlignment="1">
      <x:alignment vertical="center" wrapText="1"/>
    </x:xf>
    <x:xf numFmtId="0" fontId="4" fillId="11" borderId="0" xfId="0" applyNumberFormat="1" applyFont="1" applyFill="1" applyBorder="1" applyAlignment="1">
      <x:alignment vertical="top"/>
    </x:xf>
    <x:xf numFmtId="0" fontId="4" fillId="11" borderId="1" xfId="0" applyNumberFormat="1" applyFont="1" applyFill="1" applyBorder="1" applyAlignment="1">
      <x:alignment vertical="top"/>
    </x:xf>
    <x:xf numFmtId="0" fontId="4" fillId="11" borderId="1" xfId="0" applyNumberFormat="1" applyFont="1" applyFill="1" applyBorder="1" applyAlignment="1">
      <x:alignment vertical="top" wrapText="1"/>
    </x:xf>
    <x:xf numFmtId="0" fontId="4" fillId="12" borderId="0" xfId="0" applyNumberFormat="1" applyFont="1" applyFill="1" applyBorder="1" applyAlignment="1">
      <x:alignment vertical="top"/>
    </x:xf>
    <x:xf numFmtId="0" fontId="4" fillId="12" borderId="1" xfId="0" applyNumberFormat="1" applyFont="1" applyFill="1" applyBorder="1" applyAlignment="1">
      <x:alignment vertical="top"/>
    </x:xf>
    <x:xf numFmtId="0" fontId="4" fillId="12" borderId="1" xfId="0" applyNumberFormat="1" applyFont="1" applyFill="1" applyBorder="1" applyAlignment="1">
      <x:alignment vertical="top" wrapText="1"/>
    </x:xf>
    <x:xf numFmtId="0" fontId="4" fillId="11" borderId="1" xfId="0" applyNumberFormat="1" applyFont="1" applyFill="1" applyBorder="1" applyAlignment="1">
      <x:alignment horizontal="center" vertical="top" wrapText="1"/>
    </x:xf>
    <x:xf numFmtId="0" fontId="4" fillId="12" borderId="1" xfId="0" applyNumberFormat="1" applyFont="1" applyFill="1" applyBorder="1" applyAlignment="1">
      <x:alignment horizontal="center" vertical="top" wrapText="1"/>
    </x:xf>
    <x:xf numFmtId="204" fontId="4" fillId="11" borderId="1" xfId="0" applyNumberFormat="1" applyFont="1" applyFill="1" applyBorder="1" applyAlignment="1">
      <x:alignment horizontal="center" vertical="top" wrapText="1"/>
    </x:xf>
    <x:xf numFmtId="204" fontId="4" fillId="12" borderId="1" xfId="0" applyNumberFormat="1" applyFont="1" applyFill="1" applyBorder="1" applyAlignment="1">
      <x:alignment horizontal="center" vertical="top" wrapText="1"/>
    </x:xf>
    <x:xf numFmtId="204" fontId="4" fillId="11" borderId="1" xfId="0" applyNumberFormat="1" applyFont="1" applyFill="1" applyBorder="1" applyAlignment="1">
      <x:alignment vertical="top" wrapText="1"/>
    </x:xf>
    <x:xf numFmtId="204" fontId="4" fillId="12" borderId="1" xfId="0" applyNumberFormat="1" applyFont="1" applyFill="1" applyBorder="1" applyAlignment="1">
      <x:alignment vertical="top" wrapText="1"/>
    </x:xf>
    <x:xf numFmtId="0" fontId="4" fillId="13" borderId="1" xfId="0" applyNumberFormat="1" applyFont="1" applyFill="1" applyBorder="1" applyAlignment="1">
      <x:alignment vertical="top"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4" borderId="0" xfId="0" applyNumberFormat="1" applyFont="1" applyFill="1" applyBorder="1"/>
    <x:xf numFmtId="0" fontId="9" fillId="14" borderId="0" xfId="0" applyNumberFormat="1" applyFont="1" applyFill="1" applyBorder="1"/>
    <x:xf numFmtId="0" fontId="9" fillId="14" borderId="0" xfId="0" applyNumberFormat="1" applyFont="1" applyFill="1" applyBorder="1" applyAlignment="1">
      <x:alignment wrapText="1"/>
    </x:xf>
    <x:xf numFmtId="0" fontId="0" fillId="10" borderId="0" xfId="0" applyNumberFormat="1" applyFont="1" applyFill="1" applyBorder="1"/>
    <x:xf numFmtId="0" fontId="4" fillId="10" borderId="0" xfId="0" applyNumberFormat="1" applyFont="1" applyFill="1" applyBorder="1"/>
    <x:xf numFmtId="0" fontId="4" fillId="10" xfId="0" applyNumberFormat="1" applyFont="1" applyFill="1" applyBorder="0"/>
    <x:xf numFmtId="0" fontId="4" fillId="10" borderId="1" xfId="0" applyNumberFormat="1" applyFont="1" applyFill="1" applyBorder="1"/>
    <x:xf numFmtId="0" fontId="4" fillId="10" xfId="0" applyNumberFormat="1" applyFont="1" applyFill="1" applyBorder="0" applyAlignment="1">
      <x:alignment wrapText="1"/>
    </x:xf>
    <x:xf numFmtId="0" fontId="4" fillId="10" borderId="1" xfId="0" applyNumberFormat="1" applyFont="1" applyFill="1" applyBorder="1" applyAlignment="1">
      <x:alignment wrapText="1"/>
    </x:xf>
    <x:xf numFmtId="0" fontId="0" fillId="15" borderId="0" xfId="0" applyNumberFormat="1" applyFont="1" applyFill="1" applyBorder="1"/>
    <x:xf numFmtId="0" fontId="4" fillId="15" borderId="0" xfId="0" applyNumberFormat="1" applyFont="1" applyFill="1" applyBorder="1"/>
    <x:xf numFmtId="0" fontId="4" fillId="15" xfId="0" applyNumberFormat="1" applyFont="1" applyFill="1" applyBorder="0"/>
    <x:xf numFmtId="0" fontId="4" fillId="15" borderId="1" xfId="0" applyNumberFormat="1" applyFont="1" applyFill="1" applyBorder="1"/>
    <x:xf numFmtId="0" fontId="4" fillId="15" xfId="0" applyNumberFormat="1" applyFont="1" applyFill="1" applyBorder="0" applyAlignment="1">
      <x:alignment wrapText="1"/>
    </x:xf>
    <x:xf numFmtId="0" fontId="4" fillId="15"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9"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4" fillId="10" borderId="0"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1"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11"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15" borderId="0" xfId="0" applyNumberFormat="1" applyFont="1" applyFill="1" applyBorder="1" applyAlignment="1">
      <x:alignment vertical="top" wrapText="1"/>
    </x:xf>
    <x:xf numFmtId="0" fontId="4" fillId="15" borderId="1" xfId="0" applyNumberFormat="1" applyFont="1" applyFill="1" applyBorder="1" applyAlignment="1">
      <x:alignment vertical="top" wrapText="1"/>
    </x:xf>
    <x:xf numFmtId="0" fontId="0" fillId="11" borderId="0" xfId="0" applyNumberFormat="1" applyFont="1" applyFill="1" applyBorder="1"/>
    <x:xf numFmtId="0" fontId="4" fillId="11" borderId="0" xfId="0" applyNumberFormat="1" applyFont="1" applyFill="1" applyBorder="1"/>
    <x:xf numFmtId="0" fontId="4" fillId="11" borderId="1" xfId="0" applyNumberFormat="1" applyFont="1" applyFill="1" applyBorder="1"/>
    <x:xf numFmtId="0" fontId="4" fillId="11" borderId="1" xfId="0" applyNumberFormat="1" applyFont="1" applyFill="1" applyBorder="1" applyAlignment="1">
      <x:alignment wrapText="1"/>
    </x:xf>
    <x:xf numFmtId="0" fontId="0" fillId="12" borderId="0" xfId="0" applyNumberFormat="1" applyFont="1" applyFill="1" applyBorder="1"/>
    <x:xf numFmtId="0" fontId="4" fillId="12" borderId="0" xfId="0" applyNumberFormat="1" applyFont="1" applyFill="1" applyBorder="1"/>
    <x:xf numFmtId="0" fontId="4" fillId="12" borderId="1" xfId="0" applyNumberFormat="1" applyFont="1" applyFill="1" applyBorder="1"/>
    <x:xf numFmtId="0" fontId="4" fillId="12" borderId="1" xfId="0" applyNumberFormat="1" applyFont="1" applyFill="1" applyBorder="1" applyAlignment="1">
      <x:alignment wrapText="1"/>
    </x:xf>
    <x:xf numFmtId="0" fontId="8" fillId="9" borderId="0" xfId="0" applyNumberFormat="1" applyFont="1" applyFill="1" applyBorder="1" applyAlignment="1">
      <x:alignment horizontal="center" wrapText="1"/>
    </x:xf>
    <x:xf numFmtId="0" fontId="10" fillId="10" borderId="0" xfId="0" applyNumberFormat="1" applyFont="1" applyFill="1" applyBorder="1"/>
    <x:xf numFmtId="204" fontId="10" fillId="10" borderId="0" xfId="0" applyNumberFormat="1" applyFont="1" applyFill="1" applyBorder="1"/>
    <x:xf numFmtId="204" fontId="10" fillId="10" borderId="0" xfId="0" applyNumberFormat="1" applyFont="1" applyFill="1" applyBorder="1" applyAlignment="1">
      <x:alignment horizontal="center"/>
    </x:xf>
    <x:xf numFmtId="0" fontId="1" fillId="9"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6" borderId="0" xfId="0" applyNumberFormat="1" applyFont="1" applyFill="1" applyBorder="1"/>
    <x:xf numFmtId="0" fontId="11" fillId="16" borderId="0" xfId="0" applyNumberFormat="1" applyFont="1" applyFill="1" applyBorder="1"/>
    <x:xf numFmtId="0" fontId="11" fillId="16" borderId="4" xfId="0" applyNumberFormat="1" applyFont="1" applyFill="1" applyBorder="1"/>
    <x:xf numFmtId="0" fontId="11" fillId="16" borderId="4" xfId="0" applyNumberFormat="1" applyFont="1" applyFill="1" applyBorder="1" applyAlignment="1">
      <x:alignment wrapText="1"/>
    </x:xf>
    <x:xf numFmtId="0" fontId="11" fillId="16" borderId="4" xfId="0" applyNumberFormat="1" applyFont="1" applyFill="1" applyBorder="1" applyAlignment="1">
      <x:alignment horizontal="center" wrapText="1"/>
    </x:xf>
    <x:xf numFmtId="0" fontId="11" fillId="16" borderId="4" xfId="0" applyNumberFormat="1" applyFont="1" applyFill="1" applyBorder="1" applyAlignment="1">
      <x:alignment horizontal="center" vertical="center" wrapText="1"/>
    </x:xf>
    <x:xf numFmtId="0" fontId="0" fillId="0" borderId="4" xfId="0" applyNumberFormat="1" applyFont="1" applyFill="1" applyBorder="1"/>
    <x:xf numFmtId="0" fontId="0" fillId="0" borderId="4"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17" borderId="0" xfId="0" applyNumberFormat="1" applyFont="1" applyFill="1" applyBorder="1"/>
    <x:xf numFmtId="0" fontId="12" fillId="17" borderId="0" xfId="0" applyNumberFormat="1" applyFont="1" applyFill="1" applyBorder="1"/>
    <x:xf numFmtId="0" fontId="12" fillId="17" borderId="0" xfId="0" applyNumberFormat="1" applyFont="1" applyFill="1" applyBorder="1" applyAlignment="1">
      <x:alignment horizontal="left"/>
    </x:xf>
    <x:xf numFmtId="0" fontId="12" fillId="17" borderId="0" xfId="0" applyNumberFormat="1" applyFont="1" applyFill="1" applyBorder="1" applyAlignment="1">
      <x:alignment horizontal="left" vertical="center"/>
    </x:xf>
    <x:xf numFmtId="0" fontId="0" fillId="18" borderId="0" xfId="0" applyNumberFormat="1" applyFont="1" applyFill="1" applyBorder="1"/>
    <x:xf numFmtId="0" fontId="13" fillId="18" borderId="0" xfId="0" applyNumberFormat="1" applyFont="1" applyFill="1" applyBorder="1"/>
    <x:xf numFmtId="0" fontId="13" fillId="18" borderId="0" xfId="0" applyNumberFormat="1" applyFont="1" applyFill="1" applyBorder="1" applyAlignment="1">
      <x:alignment wrapText="1"/>
    </x:xf>
    <x:xf numFmtId="0" fontId="13" fillId="18" borderId="0" xfId="0" applyNumberFormat="1" applyFont="1" applyFill="1" applyBorder="1" applyAlignment="1">
      <x:alignment vertical="center" wrapText="1"/>
    </x:xf>
    <x:xf numFmtId="204" fontId="0" fillId="0" borderId="4"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0" fontId="11" fillId="16" borderId="4" xfId="0" applyNumberFormat="1" applyFont="1" applyFill="1" applyBorder="1" applyAlignment="1">
      <x:alignment vertical="top" wrapText="1"/>
    </x:xf>
  </x:cellXfs>
  <x:cellStyles count="1">
    <x:cellStyle name="Normal" xfId="0"/>
  </x:cellStyles>
  <x:dxfs count="43">
    <x:dxf>
      <x:font>
        <x:b/>
        <x:color rgb="FF287352"/>
      </x:font>
      <x:fill>
        <x:patternFill>
          <x:bgColor rgb="FFD8F0DC"/>
        </x:patternFill>
      </x:fill>
    </x:dxf>
    <x:dxf>
      <x:font>
        <x:b/>
        <x:color rgb="FFA85B12"/>
      </x:font>
      <x:fill>
        <x:patternFill>
          <x:bgColor rgb="FFF8E5C6"/>
        </x:patternFill>
      </x:fill>
    </x:dxf>
    <x:dxf>
      <x:font>
        <x:b/>
        <x:color rgb="FFA61C1C"/>
      </x:font>
      <x:fill>
        <x:patternFill>
          <x:bgColor rgb="FFF4CCCC"/>
        </x:patternFill>
      </x:fill>
    </x:dxf>
    <x:dxf>
      <x:font>
        <x:b/>
        <x:color rgb="FF287352"/>
      </x:font>
      <x:fill>
        <x:patternFill>
          <x:bgColor rgb="FFD8F0DC"/>
        </x:patternFill>
      </x:fill>
    </x:dxf>
    <x:dxf>
      <x:font>
        <x:b/>
        <x:color rgb="FF24546B"/>
      </x:font>
      <x:fill>
        <x:patternFill>
          <x:bgColor rgb="FFDCECF4"/>
        </x:patternFill>
      </x:fill>
    </x:dxf>
    <x:dxf>
      <x:font>
        <x:b/>
        <x:color rgb="FFA85B12"/>
      </x:font>
      <x:fill>
        <x:patternFill>
          <x:bgColor rgb="FFF8E5C6"/>
        </x:patternFill>
      </x:fill>
    </x:dxf>
    <x:dxf>
      <x:font>
        <x:b/>
        <x:color rgb="FF287352"/>
      </x:font>
      <x:fill>
        <x:patternFill>
          <x:bgColor rgb="FFD8F0DC"/>
        </x:patternFill>
      </x:fill>
    </x:dxf>
    <x:dxf>
      <x:font>
        <x:b/>
        <x:color rgb="FF287352"/>
      </x:font>
      <x:fill>
        <x:patternFill>
          <x:bgColor rgb="FFD8F0DC"/>
        </x:patternFill>
      </x:fill>
    </x:dxf>
    <x:dxf>
      <x:font>
        <x:b/>
        <x:color rgb="FFA85B12"/>
      </x:font>
      <x:fill>
        <x:patternFill>
          <x:bgColor rgb="FFF8E5C6"/>
        </x:patternFill>
      </x:fill>
    </x:dxf>
    <x:dxf>
      <x:fill>
        <x:patternFill>
          <x:bgColor rgb="FFD8F0DC"/>
        </x:patternFill>
      </x:fill>
    </x:dxf>
    <x:dxf>
      <x:fill>
        <x:patternFill>
          <x:bgColor rgb="FFF8E5C6"/>
        </x:patternFill>
      </x:fill>
    </x:dxf>
    <x:dxf>
      <x:font>
        <x:b/>
        <x:color rgb="FF287352"/>
      </x:font>
      <x:fill>
        <x:patternFill>
          <x:bgColor rgb="FFD8F0DC"/>
        </x:patternFill>
      </x:fill>
    </x:dxf>
    <x:dxf>
      <x:font>
        <x:b/>
        <x:color rgb="FF24546B"/>
      </x:font>
      <x:fill>
        <x:patternFill>
          <x:bgColor rgb="FFDCECF4"/>
        </x:patternFill>
      </x:fill>
    </x:dxf>
    <x:dxf>
      <x:font>
        <x:b/>
        <x:color rgb="FFA61C1C"/>
      </x:font>
      <x:fill>
        <x:patternFill>
          <x:bgColor rgb="FFF4CCCC"/>
        </x:patternFill>
      </x:fill>
    </x:dxf>
    <x:dxf>
      <x:font>
        <x:b/>
        <x:color rgb="FF287352"/>
      </x:font>
      <x:fill>
        <x:patternFill>
          <x:bgColor rgb="FFD8F0DC"/>
        </x:patternFill>
      </x:fill>
    </x:dxf>
    <x:dxf>
      <x:font>
        <x:b/>
        <x:color rgb="FFA85B12"/>
      </x:font>
      <x:fill>
        <x:patternFill>
          <x:bgColor rgb="FFF8E5C6"/>
        </x:patternFill>
      </x:fill>
    </x:dxf>
    <x:dxf>
      <x:font>
        <x:b/>
        <x:color rgb="FF287352"/>
      </x:font>
      <x:fill>
        <x:patternFill>
          <x:bgColor rgb="FFD8F0DC"/>
        </x:patternFill>
      </x:fill>
    </x:dxf>
    <x:dxf>
      <x:font>
        <x:b/>
        <x:color rgb="FF287352"/>
      </x:font>
      <x:fill>
        <x:patternFill>
          <x:bgColor rgb="FFD8F0DC"/>
        </x:patternFill>
      </x:fill>
    </x:dxf>
    <x:dxf>
      <x:font>
        <x:color rgb="FF287352"/>
      </x:font>
      <x:fill>
        <x:patternFill>
          <x:bgColor rgb="FFEAF4D3"/>
        </x:patternFill>
      </x:fill>
    </x:dxf>
    <x:dxf>
      <x:font>
        <x:color rgb="FF8A6116"/>
      </x:font>
      <x:fill>
        <x:patternFill>
          <x:bgColor rgb="FFF8E7B7"/>
        </x:patternFill>
      </x:fill>
    </x:dxf>
    <x:dxf>
      <x:font>
        <x:color rgb="FF287352"/>
      </x:font>
      <x:fill>
        <x:patternFill>
          <x:bgColor rgb="FFD8F0DC"/>
        </x:patternFill>
      </x:fill>
    </x:dxf>
    <x:dxf>
      <x:font>
        <x:color rgb="FF8A6116"/>
      </x:font>
      <x:fill>
        <x:patternFill>
          <x:bgColor rgb="FFF8E7B7"/>
        </x:patternFill>
      </x:fill>
    </x:dxf>
    <x:dxf>
      <x:font>
        <x:color rgb="FF287352"/>
      </x:font>
      <x:fill>
        <x:patternFill>
          <x:bgColor rgb="FFD8F0DC"/>
        </x:patternFill>
      </x:fill>
    </x:dxf>
    <x:dxf>
      <x:font>
        <x:color rgb="FF8A6116"/>
      </x:font>
      <x:fill>
        <x:patternFill>
          <x:bgColor rgb="FFF8E7B7"/>
        </x:patternFill>
      </x:fill>
    </x:dxf>
    <x:dxf>
      <x:font>
        <x:b/>
        <x:color rgb="FF8A6116"/>
      </x:font>
      <x:fill>
        <x:patternFill>
          <x:bgColor rgb="FFF8E7B7"/>
        </x:patternFill>
      </x:fill>
    </x:dxf>
    <x:dxf>
      <x:font>
        <x:color rgb="FF287352"/>
      </x:font>
      <x:fill>
        <x:patternFill>
          <x:bgColor rgb="FFD8F0DC"/>
        </x:patternFill>
      </x:fill>
    </x:dxf>
    <x:dxf>
      <x:font>
        <x:b/>
        <x:color rgb="FF287352"/>
      </x:font>
      <x:fill>
        <x:patternFill>
          <x:bgColor rgb="FFD8F0DC"/>
        </x:patternFill>
      </x:fill>
    </x:dxf>
    <x:dxf>
      <x:font>
        <x:color rgb="FF8A6116"/>
      </x:font>
      <x:fill>
        <x:patternFill>
          <x:bgColor rgb="FFF8E7B7"/>
        </x:patternFill>
      </x:fill>
    </x:dxf>
    <x:dxf>
      <x:font>
        <x:b/>
        <x:color rgb="FFA61B1B"/>
      </x:font>
      <x:fill>
        <x:patternFill>
          <x:bgColor rgb="FFF4CCCC"/>
        </x:patternFill>
      </x:fill>
    </x:dxf>
    <x:dxf>
      <x:font>
        <x:color rgb="FF61458F"/>
      </x:font>
      <x:fill>
        <x:patternFill>
          <x:bgColor rgb="FFE7DCF5"/>
        </x:patternFill>
      </x:fill>
    </x:dxf>
    <x:dxf>
      <x:font>
        <x:b/>
        <x:color rgb="FF8A6116"/>
      </x:font>
      <x:fill>
        <x:patternFill>
          <x:bgColor rgb="FFF8E7B7"/>
        </x:patternFill>
      </x:fill>
    </x:dxf>
    <x:dxf>
      <x:font>
        <x:b/>
        <x:color rgb="FF8A6116"/>
      </x:font>
      <x:fill>
        <x:patternFill>
          <x:bgColor rgb="FFF8E7B7"/>
        </x:patternFill>
      </x:fill>
    </x:dxf>
    <x:dxf>
      <x:font>
        <x:b/>
        <x:color rgb="FF61458F"/>
      </x:font>
      <x:fill>
        <x:patternFill>
          <x:bgColor rgb="FFE7DCF5"/>
        </x:patternFill>
      </x:fill>
    </x:dxf>
    <x:dxf>
      <x:font>
        <x:b/>
        <x:color rgb="FF9A4B00"/>
      </x:font>
      <x:fill>
        <x:patternFill>
          <x:bgColor rgb="FFF7C89D"/>
        </x:patternFill>
      </x:fill>
    </x:dxf>
    <x:dxf>
      <x:font>
        <x:b/>
        <x:color rgb="FF8A6116"/>
      </x:font>
      <x:fill>
        <x:patternFill>
          <x:bgColor rgb="FFF8E7B7"/>
        </x:patternFill>
      </x:fill>
    </x:dxf>
    <x:dxf>
      <x:font>
        <x:b/>
        <x:color rgb="FF8A6116"/>
      </x:font>
      <x:fill>
        <x:patternFill>
          <x:bgColor rgb="FFF8E7B7"/>
        </x:patternFill>
      </x:fill>
    </x:dxf>
    <x:dxf>
      <x:font>
        <x:b/>
        <x:color rgb="FF8A6116"/>
      </x:font>
      <x:fill>
        <x:patternFill>
          <x:bgColor rgb="FFF8E7B7"/>
        </x:patternFill>
      </x:fill>
    </x:dxf>
    <x:dxf>
      <x:font>
        <x:b/>
        <x:color rgb="FF287352"/>
      </x:font>
      <x:fill>
        <x:patternFill>
          <x:bgColor rgb="FFD8F0DC"/>
        </x:patternFill>
      </x:fill>
    </x:dxf>
    <x:dxf>
      <x:font>
        <x:b/>
        <x:color rgb="FF287352"/>
      </x:font>
      <x:fill>
        <x:patternFill>
          <x:bgColor rgb="FFD8F0DC"/>
        </x:patternFill>
      </x:fill>
    </x:dxf>
    <x:dxf>
      <x:font>
        <x:b/>
        <x:color rgb="FFA61B1B"/>
      </x:font>
      <x:fill>
        <x:patternFill>
          <x:bgColor rgb="FFF4CCCC"/>
        </x:patternFill>
      </x:fill>
    </x:dxf>
    <x:dxf>
      <x:font>
        <x:b/>
        <x:color rgb="FF287352"/>
      </x:font>
      <x:fill>
        <x:patternFill>
          <x:bgColor rgb="FFD8F0DC"/>
        </x:patternFill>
      </x:fill>
    </x:dxf>
    <x:dxf>
      <x:font>
        <x:b/>
        <x:color rgb="FF8A6116"/>
      </x:font>
      <x:fill>
        <x:patternFill>
          <x:bgColor rgb="FFF8E7B7"/>
        </x:patternFill>
      </x:fill>
    </x:dxf>
    <x:dxf>
      <x:font>
        <x:b/>
        <x:color rgb="FF61458F"/>
      </x:font>
      <x:fill>
        <x:patternFill>
          <x:bgColor rgb="FFE7DC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fe402859234fbd" /><Relationship Type="http://schemas.openxmlformats.org/officeDocument/2006/relationships/theme" Target="/xl/theme/theme1.xml" Id="Rc1eb0f839f1e434c" /><Relationship Type="http://schemas.microsoft.com/office/2022/11/relationships/FeaturePropertyBag" Target="/xl/featurePropertyBag/featurePropertyBag.xml" Id="R94fab59f67a94174" /><Relationship Type="http://schemas.openxmlformats.org/officeDocument/2006/relationships/sharedStrings" Target="/xl/sharedStrings.xml" Id="Rdeae9c9059cc40da" /><Relationship Type="http://schemas.openxmlformats.org/officeDocument/2006/relationships/worksheet" Target="/xl/worksheets/sheet1.xml" Id="R34463bbff1ab403a" /><Relationship Type="http://schemas.openxmlformats.org/officeDocument/2006/relationships/worksheet" Target="/xl/worksheets/sheet2.xml" Id="R2775fa70cba841b5" /><Relationship Type="http://schemas.openxmlformats.org/officeDocument/2006/relationships/worksheet" Target="/xl/worksheets/sheet3.xml" Id="R56263bd1f0a94308" /><Relationship Type="http://schemas.openxmlformats.org/officeDocument/2006/relationships/worksheet" Target="/xl/worksheets/sheet4.xml" Id="R8fc12c8e94b14780" /><Relationship Type="http://schemas.openxmlformats.org/officeDocument/2006/relationships/worksheet" Target="/xl/worksheets/sheet5.xml" Id="Rcbc6d91521e144c6" /><Relationship Type="http://schemas.openxmlformats.org/officeDocument/2006/relationships/worksheet" Target="/xl/worksheets/sheet6.xml" Id="R3cefc6488a464769" /><Relationship Type="http://schemas.openxmlformats.org/officeDocument/2006/relationships/worksheet" Target="/xl/worksheets/sheet7.xml" Id="Rc65893a809ae4446" /><Relationship Type="http://schemas.openxmlformats.org/officeDocument/2006/relationships/worksheet" Target="/xl/worksheets/sheet8.xml" Id="Rdbacd2170b0a4d68" /><Relationship Type="http://schemas.openxmlformats.org/officeDocument/2006/relationships/worksheet" Target="/xl/worksheets/sheet9.xml" Id="R5266eeb33d2645bd" /><Relationship Type="http://schemas.openxmlformats.org/officeDocument/2006/relationships/worksheet" Target="/xl/worksheets/sheet10.xml" Id="Ra53c58c0851a4ed2" /><Relationship Type="http://schemas.openxmlformats.org/officeDocument/2006/relationships/worksheet" Target="/xl/worksheets/sheet11.xml" Id="R965bff9ccb5642b8" /><Relationship Type="http://schemas.openxmlformats.org/officeDocument/2006/relationships/worksheet" Target="/xl/worksheets/sheet12.xml" Id="Rffca3b3968e04023" /><Relationship Type="http://schemas.openxmlformats.org/officeDocument/2006/relationships/worksheet" Target="/xl/worksheets/sheet13.xml" Id="Rdf004121ed034a55" /><Relationship Type="http://schemas.openxmlformats.org/officeDocument/2006/relationships/worksheet" Target="/xl/worksheets/sheet14.xml" Id="R96540b53801c44d3" /><Relationship Type="http://schemas.openxmlformats.org/officeDocument/2006/relationships/worksheet" Target="/xl/worksheets/sheet15.xml" Id="Rce6e81f1b2e644d8" /><Relationship Type="http://schemas.openxmlformats.org/officeDocument/2006/relationships/worksheet" Target="/xl/worksheets/sheet16.xml" Id="R6c3631fe7a0347d4" /><Relationship Type="http://schemas.openxmlformats.org/officeDocument/2006/relationships/worksheet" Target="/xl/worksheets/sheet17.xml" Id="Rdc0afade21c142d6" /><Relationship Type="http://schemas.openxmlformats.org/officeDocument/2006/relationships/worksheet" Target="/xl/worksheets/sheet18.xml" Id="Rf2e4d88fd6664e96" /><Relationship Type="http://schemas.openxmlformats.org/officeDocument/2006/relationships/worksheet" Target="/xl/worksheets/sheet19.xml" Id="Rdcf4ce073da046de" /><Relationship Type="http://schemas.openxmlformats.org/officeDocument/2006/relationships/worksheet" Target="/xl/worksheets/sheet20.xml" Id="R193617b7da49414a" /><Relationship Type="http://schemas.openxmlformats.org/officeDocument/2006/relationships/worksheet" Target="/xl/worksheets/sheet21.xml" Id="Rb60615015f3742bc" /><Relationship Type="http://schemas.openxmlformats.org/officeDocument/2006/relationships/worksheet" Target="/xl/worksheets/sheet22.xml" Id="R8775a38811814764" /><Relationship Type="http://schemas.openxmlformats.org/officeDocument/2006/relationships/worksheet" Target="/xl/worksheets/sheet23.xml" Id="Re2cfe1d4118448c7" /><Relationship Type="http://schemas.openxmlformats.org/officeDocument/2006/relationships/worksheet" Target="/xl/worksheets/sheet24.xml" Id="R43a45bf4f98b4d2f" /><Relationship Type="http://schemas.openxmlformats.org/officeDocument/2006/relationships/worksheet" Target="/xl/worksheets/sheet25.xml" Id="R1f64db4ac4414536" /><Relationship Type="http://schemas.openxmlformats.org/officeDocument/2006/relationships/worksheet" Target="/xl/worksheets/sheet26.xml" Id="Rcfcf83525d2f451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8" name="MatrixcheckTable" displayName="MatrixcheckTable" ref="A4:H20" headerRowCount="1" totalsRowCount="0" totalsRowShown="0">
  <x:autoFilter ref="A4:H20"/>
  <x:tableColumns count="8">
    <x:tableColumn id="1" name="Dimension"/>
    <x:tableColumn id="2" name="Ausprägung"/>
    <x:tableColumn id="3" name="Soll"/>
    <x:tableColumn id="4" name="Ist"/>
    <x:tableColumn id="5" name="Check"/>
    <x:tableColumn id="6" name="Bedeutung"/>
    <x:tableColumn id="7" name="Abweichung"/>
    <x:tableColumn id="8" name="Kommentar"/>
  </x:tableColumns>
  <x:tableStyleInfo name="TableStyleMedium2" showFirstColumn="0" showLastColumn="0" showRowStripes="1" showColumnStripes="0"/>
</x:table>
</file>

<file path=xl/tables/table2.xml><?xml version="1.0" encoding="utf-8"?>
<x:table xmlns:x="http://schemas.openxmlformats.org/spreadsheetml/2006/main" id="2" name="QuestgruppenTable" displayName="QuestgruppenTable" ref="A4:AE30" headerRowCount="1" totalsRowCount="0" totalsRowShown="0">
  <x:autoFilter ref="A4:AE30"/>
  <x:tableColumns count="31">
    <x:tableColumn id="1" name="Nr."/>
    <x:tableColumn id="2" name="Quest-ID"/>
    <x:tableColumn id="3" name="Tag"/>
    <x:tableColumn id="4" name="Arbeitstitel"/>
    <x:tableColumn id="5" name="Orte in Reihenfolge"/>
    <x:tableColumn id="6" name="Orte"/>
    <x:tableColumn id="7" name="Dauerklasse"/>
    <x:tableColumn id="8" name="Min"/>
    <x:tableColumn id="9" name="Max"/>
    <x:tableColumn id="10" name="Hauptmechanik"/>
    <x:tableColumn id="11" name="Thema"/>
    <x:tableColumn id="12" name="Epoche"/>
    <x:tableColumn id="13" name="Klassenanker"/>
    <x:tableColumn id="14" name="Gegner / Begegnung"/>
    <x:tableColumn id="15" name="Gehstrecke (m)"/>
    <x:tableColumn id="16" name="Gehminuten"/>
    <x:tableColumn id="17" name="Interaktionsminuten"/>
    <x:tableColumn id="18" name="Gesamtminuten"/>
    <x:tableColumn id="19" name="Dauercheck"/>
    <x:tableColumn id="20" name="Grün"/>
    <x:tableColumn id="21" name="Gelb"/>
    <x:tableColumn id="22" name="Rot"/>
    <x:tableColumn id="23" name="Route"/>
    <x:tableColumn id="24" name="Narrativ"/>
    <x:tableColumn id="25" name="Hinweis"/>
    <x:tableColumn id="26" name="Zugang"/>
    <x:tableColumn id="27" name="Mechanikfit"/>
    <x:tableColumn id="28" name="Gesamtscore"/>
    <x:tableColumn id="29" name="Empfehlung"/>
    <x:tableColumn id="30" name="Hauptrisiko"/>
    <x:tableColumn id="31" name="Fallback"/>
  </x:tableColumns>
  <x:tableStyleInfo name="TableStyleMedium2" showFirstColumn="0" showLastColumn="0" showRowStripes="1" showColumnStripes="0"/>
</x:table>
</file>

<file path=xl/tables/table3.xml><?xml version="1.0" encoding="utf-8"?>
<x:table xmlns:x="http://schemas.openxmlformats.org/spreadsheetml/2006/main" id="3" name="QuestdesignTable" displayName="QuestdesignTable" ref="A4:J30" headerRowCount="1" totalsRowCount="0" totalsRowShown="0">
  <x:autoFilter ref="A4:J30"/>
  <x:tableColumns count="10">
    <x:tableColumn id="1" name="Quest-ID"/>
    <x:tableColumn id="2" name="Tag"/>
    <x:tableColumn id="3" name="Arbeitstitel"/>
    <x:tableColumn id="4" name="Narrativer Hook"/>
    <x:tableColumn id="5" name="Kernhandlung der Spieler"/>
    <x:tableColumn id="6" name="Sekundärmechaniken"/>
    <x:tableColumn id="7" name="Belohnungsvariation"/>
    <x:tableColumn id="8" name="Hidden Opportunity"/>
    <x:tableColumn id="9" name="Fallback"/>
    <x:tableColumn id="10" name="Redaktionsnotiz"/>
  </x:tableColumns>
  <x:tableStyleInfo name="TableStyleMedium2" showFirstColumn="0" showLastColumn="0" showRowStripes="1" showColumnStripes="0"/>
</x:table>
</file>

<file path=xl/tables/table4.xml><?xml version="1.0" encoding="utf-8"?>
<x:table xmlns:x="http://schemas.openxmlformats.org/spreadsheetml/2006/main" id="5" name="MechanikTable" displayName="MechanikTable" ref="A4:R44" headerRowCount="1" totalsRowCount="0" totalsRowShown="0">
  <x:autoFilter ref="A4:R44"/>
  <x:tableColumns count="18">
    <x:tableColumn id="1" name="Quest-ID"/>
    <x:tableColumn id="2" name="Typ"/>
    <x:tableColumn id="3" name="Tag"/>
    <x:tableColumn id="4" name="Titel"/>
    <x:tableColumn id="5" name="Orte"/>
    <x:tableColumn id="6" name="Hauptmechanik"/>
    <x:tableColumn id="7" name="GPS / Gehen"/>
    <x:tableColumn id="8" name="Beobachtung / Suche"/>
    <x:tableColumn id="9" name="Zählen / MC"/>
    <x:tableColumn id="10" name="Zuordnen / Reihenfolge"/>
    <x:tableColumn id="11" name="Kurze Texteingabe / Rätsel"/>
    <x:tableColumn id="12" name="Dialog / Entscheidung"/>
    <x:tableColumn id="13" name="Kampf"/>
    <x:tableColumn id="14" name="Medien"/>
    <x:tableColumn id="15" name="Max"/>
    <x:tableColumn id="16" name="Stärkste Eignung"/>
    <x:tableColumn id="17" name="Warum funktioniert es?"/>
    <x:tableColumn id="18" name="Schwäche / Bedingung"/>
  </x:tableColumns>
  <x:tableStyleInfo name="TableStyleMedium2" showFirstColumn="0" showLastColumn="0" showRowStripes="1" showColumnStripes="0"/>
</x:table>
</file>

<file path=xl/tables/table5.xml><?xml version="1.0" encoding="utf-8"?>
<x:table xmlns:x="http://schemas.openxmlformats.org/spreadsheetml/2006/main" id="1" name="OrtszuordnungTable" displayName="OrtszuordnungTable" ref="A4:U85" headerRowCount="1" totalsRowCount="0" totalsRowShown="0">
  <x:autoFilter ref="A4:U85"/>
  <x:tableColumns count="21">
    <x:tableColumn id="1" name="Quest-ID"/>
    <x:tableColumn id="2" name="Questtyp"/>
    <x:tableColumn id="3" name="Tag"/>
    <x:tableColumn id="4" name="Sequenz"/>
    <x:tableColumn id="5" name="Kandidaten-ID"/>
    <x:tableColumn id="6" name="Ort"/>
    <x:tableColumn id="7" name="Rolle in der Quest"/>
    <x:tableColumn id="8" name="Cluster"/>
    <x:tableColumn id="9" name="Breite"/>
    <x:tableColumn id="10" name="Länge"/>
    <x:tableColumn id="11" name="Ampel"/>
    <x:tableColumn id="12" name="Research-Status"/>
    <x:tableColumn id="13" name="Sichtbarer Hinweis"/>
    <x:tableColumn id="14" name="Ortsfrage"/>
    <x:tableColumn id="15" name="Sollantwort"/>
    <x:tableColumn id="16" name="Primärquelle"/>
    <x:tableColumn id="17" name="Google Maps"/>
    <x:tableColumn id="18" name="Segment Luftlinie (m)"/>
    <x:tableColumn id="19" name="Gehstrecke geschätzt (m)"/>
    <x:tableColumn id="20" name="Zugangs-/Fallbacknotiz"/>
    <x:tableColumn id="21" name="Gegnerbezug"/>
  </x:tableColumns>
  <x:tableStyleInfo name="TableStyleMedium2" showFirstColumn="0" showLastColumn="0" showRowStripes="1" showColumnStripes="0"/>
</x:table>
</file>

<file path=xl/tables/table6.xml><?xml version="1.0" encoding="utf-8"?>
<x:table xmlns:x="http://schemas.openxmlformats.org/spreadsheetml/2006/main" id="4" name="SonderquestsTable" displayName="SonderquestsTable" ref="A4:P18" headerRowCount="1" totalsRowCount="0" totalsRowShown="0">
  <x:autoFilter ref="A4:P18"/>
  <x:tableColumns count="16">
    <x:tableColumn id="1" name="Nr."/>
    <x:tableColumn id="2" name="Quest-ID"/>
    <x:tableColumn id="3" name="Typ"/>
    <x:tableColumn id="4" name="Tag"/>
    <x:tableColumn id="5" name="Titel"/>
    <x:tableColumn id="6" name="Orte"/>
    <x:tableColumn id="7" name="Zeitrahmen"/>
    <x:tableColumn id="8" name="Briefing / Hook"/>
    <x:tableColumn id="9" name="Hauptmechanik"/>
    <x:tableColumn id="10" name="Sekundärmechaniken"/>
    <x:tableColumn id="11" name="Gegner / Boss"/>
    <x:tableColumn id="12" name="Limitwirkung"/>
    <x:tableColumn id="13" name="Pickup / Abgabe"/>
    <x:tableColumn id="14" name="Status"/>
    <x:tableColumn id="15" name="Hauptrisiko"/>
    <x:tableColumn id="16" name="Empfehlung"/>
  </x:tableColumns>
  <x:tableStyleInfo name="TableStyleMedium2" showFirstColumn="0" showLastColumn="0" showRowStripes="1" showColumnStripes="0"/>
</x:table>
</file>

<file path=xl/tables/table7.xml><?xml version="1.0" encoding="utf-8"?>
<x:table xmlns:x="http://schemas.openxmlformats.org/spreadsheetml/2006/main" id="6" name="SupportTable" displayName="SupportTable" ref="A4:K16" headerRowCount="1" totalsRowCount="0" totalsRowShown="0">
  <x:autoFilter ref="A4:K16"/>
  <x:tableColumns count="11">
    <x:tableColumn id="1" name="Tag"/>
    <x:tableColumn id="2" name="Kandidaten-ID"/>
    <x:tableColumn id="3" name="Ort"/>
    <x:tableColumn id="4" name="Supportrollen"/>
    <x:tableColumn id="5" name="Reguläre Nutzungen"/>
    <x:tableColumn id="6" name="Sondernutzungen"/>
    <x:tableColumn id="7" name="Research-Ampel"/>
    <x:tableColumn id="8" name="Funktion"/>
    <x:tableColumn id="9" name="Hauptrisiko"/>
    <x:tableColumn id="10" name="Google Maps"/>
    <x:tableColumn id="11" name="Empfehlung"/>
  </x:tableColumns>
  <x:tableStyleInfo name="TableStyleMedium2" showFirstColumn="0" showLastColumn="0" showRowStripes="1" showColumnStripes="0"/>
</x:table>
</file>

<file path=xl/tables/table8.xml><?xml version="1.0" encoding="utf-8"?>
<x:table xmlns:x="http://schemas.openxmlformats.org/spreadsheetml/2006/main" id="7" name="KandidatenstatusTable" displayName="KandidatenstatusTable" ref="A4:M94" headerRowCount="1" totalsRowCount="0" totalsRowShown="0">
  <x:autoFilter ref="A4:M94"/>
  <x:tableColumns count="13">
    <x:tableColumn id="1" name="Kandidaten-ID"/>
    <x:tableColumn id="2" name="Tag"/>
    <x:tableColumn id="3" name="Cluster"/>
    <x:tableColumn id="4" name="Ort"/>
    <x:tableColumn id="5" name="Ampel"/>
    <x:tableColumn id="6" name="Research-Status"/>
    <x:tableColumn id="7" name="Supportrollen"/>
    <x:tableColumn id="8" name="Kernnutzungen"/>
    <x:tableColumn id="9" name="Sondernutzungen"/>
    <x:tableColumn id="10" name="Entscheidung"/>
    <x:tableColumn id="11" name="Score v0.3"/>
    <x:tableColumn id="12" name="Gegnerhook"/>
    <x:tableColumn id="13" name="Begründung / nächste Verwendung"/>
  </x:tableColumns>
  <x:tableStyleInfo name="TableStyleMedium2" showFirstColumn="0" showLastColumn="0" showRowStripes="1" showColumnStripes="0"/>
</x:table>
</file>

<file path=xl/tables/table9.xml><?xml version="1.0" encoding="utf-8"?>
<x:table xmlns:x="http://schemas.openxmlformats.org/spreadsheetml/2006/main" id="9" name="UniqueEnemiesTable" displayName="UniqueEnemiesTable" ref="A4:W16" headerRowCount="1" totalsRowCount="0" totalsRowShown="0">
  <x:autoFilter ref="A4:W16"/>
  <x:tableColumns count="23">
    <x:tableColumn id="1" name="Nr."/>
    <x:tableColumn id="2" name="Encounter-ID"/>
    <x:tableColumn id="3" name="Systemtyp"/>
    <x:tableColumn id="4" name="Tag"/>
    <x:tableColumn id="5" name="Kandidaten-ID"/>
    <x:tableColumn id="6" name="Ort"/>
    <x:tableColumn id="7" name="Cluster"/>
    <x:tableColumn id="8" name="Gegnername"/>
    <x:tableColumn id="9" name="Gegnerart"/>
    <x:tableColumn id="10" name="Was ist es?"/>
    <x:tableColumn id="11" name="Referenzart"/>
    <x:tableColumn id="12" name="Ortsbezug"/>
    <x:tableColumn id="13" name="Visuelle Inspiration"/>
    <x:tableColumn id="14" name="Themenfit"/>
    <x:tableColumn id="15" name="Operative Robustheit"/>
    <x:tableColumn id="16" name="Gesamtscore"/>
    <x:tableColumn id="17" name="Empfehlung"/>
    <x:tableColumn id="18" name="Sichtbarer / historischer Anker"/>
    <x:tableColumn id="19" name="Einsatz- und Konfliktregel"/>
    <x:tableColumn id="20" name="Research-Ampel"/>
    <x:tableColumn id="21" name="Quellenlink"/>
    <x:tableColumn id="22" name="Google Maps"/>
    <x:tableColumn id="23" name="Noch offen"/>
  </x:tableColumns>
  <x:tableStyleInfo name="TableStyleMedium2" showFirstColumn="0" showLastColumn="0" showRowStripes="1" showColumnStripes="0"/>
</x:table>
</file>

<file path=xl/tables/table10.xml><?xml version="1.0" encoding="utf-8"?>
<x:table xmlns:x="http://schemas.openxmlformats.org/spreadsheetml/2006/main" id="10" name="QuestMasterTable" displayName="QuestMasterTable" ref="A4:Z44" headerRowCount="1" totalsRowCount="0" totalsRowShown="0">
  <x:autoFilter ref="A4:Z44"/>
  <x:tableColumns count="26">
    <x:tableColumn id="1" name="Quest-ID"/>
    <x:tableColumn id="2" name="Typ"/>
    <x:tableColumn id="3" name="Tag"/>
    <x:tableColumn id="4" name="Titel"/>
    <x:tableColumn id="5" name="Questgeber-ID"/>
    <x:tableColumn id="6" name="Questgeber"/>
    <x:tableColumn id="7" name="Story / Konflikt"/>
    <x:tableColumn id="8" name="Dramaturgischer Bogen"/>
    <x:tableColumn id="9" name="Orte"/>
    <x:tableColumn id="10" name="Kandidaten-IDs"/>
    <x:tableColumn id="11" name="Verifizierte Beobachtungen / Fact-Basis"/>
    <x:tableColumn id="12" name="Quellen"/>
    <x:tableColumn id="13" name="Min"/>
    <x:tableColumn id="14" name="Max"/>
    <x:tableColumn id="15" name="Slot / Fortschritt"/>
    <x:tableColumn id="16" name="Voraussetzungen"/>
    <x:tableColumn id="17" name="Erfolgsdefinition"/>
    <x:tableColumn id="18" name="Fallback / Fehlerbehandlung"/>
    <x:tableColumn id="19" name="Basis-Ruhm*"/>
    <x:tableColumn id="20" name="Basis-Denare*"/>
    <x:tableColumn id="21" name="Item / Loot"/>
    <x:tableColumn id="22" name="Reward-/Encounter-Profil"/>
    <x:tableColumn id="23" name="Klassen-Spotlight"/>
    <x:tableColumn id="24" name="Content-Status"/>
    <x:tableColumn id="25" name="GeoJSON-/Geofence-Status"/>
    <x:tableColumn id="26" name="Noch offen"/>
  </x:tableColumns>
  <x:tableStyleInfo name="TableStyleMedium2" showFirstColumn="0" showLastColumn="0" showRowStripes="1" showColumnStripes="0"/>
</x:table>
</file>

<file path=xl/tables/table11.xml><?xml version="1.0" encoding="utf-8"?>
<x:table xmlns:x="http://schemas.openxmlformats.org/spreadsheetml/2006/main" id="11" name="QuestStepsTable" displayName="QuestStepsTable" ref="A4:S400" headerRowCount="1" totalsRowCount="0" totalsRowShown="0">
  <x:autoFilter ref="A4:S400"/>
  <x:tableColumns count="19">
    <x:tableColumn id="1" name="Quest-ID"/>
    <x:tableColumn id="2" name="Step-ID"/>
    <x:tableColumn id="3" name="Seq"/>
    <x:tableColumn id="4" name="Flow-Phase"/>
    <x:tableColumn id="5" name="Step-Action-Type"/>
    <x:tableColumn id="6" name="Step-Kategorie"/>
    <x:tableColumn id="7" name="GDD-Objective-Type"/>
    <x:tableColumn id="8" name="Actor-Scope"/>
    <x:tableColumn id="9" name="Location-/Kandidaten-ID"/>
    <x:tableColumn id="10" name="Target-Ref"/>
    <x:tableColumn id="11" name="Spieleranweisung"/>
    <x:tableColumn id="12" name="Server-Erfolgsbedingung"/>
    <x:tableColumn id="13" name="Bei Erfolg"/>
    <x:tableColumn id="14" name="Bei Fehler / Timeout"/>
    <x:tableColumn id="15" name="Pflicht"/>
    <x:tableColumn id="16" name="Unlock-Bedingung"/>
    <x:tableColumn id="17" name="UI-Komponente"/>
    <x:tableColumn id="18" name="Analytics-Event"/>
    <x:tableColumn id="19" name="Implementierungshinweis"/>
  </x:tableColumns>
  <x:tableStyleInfo name="TableStyleMedium2" showFirstColumn="0" showLastColumn="0" showRowStripes="1" showColumnStripes="0"/>
</x:table>
</file>

<file path=xl/tables/table12.xml><?xml version="1.0" encoding="utf-8"?>
<x:table xmlns:x="http://schemas.openxmlformats.org/spreadsheetml/2006/main" id="12" name="DialogueNodesTable" displayName="DialogueNodesTable" ref="A4:AA124" headerRowCount="1" totalsRowCount="0" totalsRowShown="0">
  <x:autoFilter ref="A4:AA124"/>
  <x:tableColumns count="27">
    <x:tableColumn id="1" name="Quest-ID"/>
    <x:tableColumn id="2" name="Sequenz-ID"/>
    <x:tableColumn id="3" name="Node-ID"/>
    <x:tableColumn id="4" name="Phase"/>
    <x:tableColumn id="5" name="Order"/>
    <x:tableColumn id="6" name="Speaker-ID"/>
    <x:tableColumn id="7" name="Speaker"/>
    <x:tableColumn id="8" name="Momentane Stimmung"/>
    <x:tableColumn id="9" name="Bedingung"/>
    <x:tableColumn id="10" name="NPC-Text"/>
    <x:tableColumn id="11" name="Option 1 ID"/>
    <x:tableColumn id="12" name="Option 1"/>
    <x:tableColumn id="13" name="Antwort 1"/>
    <x:tableColumn id="14" name="Effect JSON 1"/>
    <x:tableColumn id="15" name="Option 2 ID"/>
    <x:tableColumn id="16" name="Option 2"/>
    <x:tableColumn id="17" name="Antwort 2"/>
    <x:tableColumn id="18" name="Effect JSON 2"/>
    <x:tableColumn id="19" name="Option 3 ID"/>
    <x:tableColumn id="20" name="Option 3"/>
    <x:tableColumn id="21" name="Antwort 3"/>
    <x:tableColumn id="22" name="Effect JSON 3"/>
    <x:tableColumn id="23" name="Default Next"/>
    <x:tableColumn id="24" name="Easter-Egg"/>
    <x:tableColumn id="25" name="Node-Zeichen"/>
    <x:tableColumn id="26" name="Sequenz-Zeichen"/>
    <x:tableColumn id="27" name="Hinweis"/>
  </x:tableColumns>
  <x:tableStyleInfo name="TableStyleMedium2" showFirstColumn="0" showLastColumn="0" showRowStripes="1" showColumnStripes="0"/>
</x:table>
</file>

<file path=xl/tables/table13.xml><?xml version="1.0" encoding="utf-8"?>
<x:table xmlns:x="http://schemas.openxmlformats.org/spreadsheetml/2006/main" id="13" name="CharactersTable" displayName="CharactersTable" ref="A4:O40" headerRowCount="1" totalsRowCount="0" totalsRowShown="0">
  <x:autoFilter ref="A4:O40"/>
  <x:tableColumns count="15">
    <x:tableColumn id="1" name="Character-ID"/>
    <x:tableColumn id="2" name="Anzeigename"/>
    <x:tableColumn id="3" name="Kanonstatus"/>
    <x:tableColumn id="4" name="Rolle"/>
    <x:tableColumn id="5" name="Quest-IDs"/>
    <x:tableColumn id="6" name="Charakter / Persönlichkeit"/>
    <x:tableColumn id="7" name="Momentane Stimmung"/>
    <x:tableColumn id="8" name="Stimmungsbogen"/>
    <x:tableColumn id="9" name="Sprechweise"/>
    <x:tableColumn id="10" name="Visueller Anker"/>
    <x:tableColumn id="11" name="Bildreferenz"/>
    <x:tableColumn id="12" name="Bildgenerierungsbeschreibung"/>
    <x:tableColumn id="13" name="Do / Don't"/>
    <x:tableColumn id="14" name="Quellen"/>
    <x:tableColumn id="15" name="Status"/>
  </x:tableColumns>
  <x:tableStyleInfo name="TableStyleMedium2" showFirstColumn="0" showLastColumn="0" showRowStripes="1" showColumnStripes="0"/>
</x:table>
</file>

<file path=xl/tables/table14.xml><?xml version="1.0" encoding="utf-8"?>
<x:table xmlns:x="http://schemas.openxmlformats.org/spreadsheetml/2006/main" id="14" name="PuzzlesTable" displayName="PuzzlesTable" ref="A4:R116" headerRowCount="1" totalsRowCount="0" totalsRowShown="0">
  <x:autoFilter ref="A4:R116"/>
  <x:tableColumns count="18">
    <x:tableColumn id="1" name="Puzzle-ID"/>
    <x:tableColumn id="2" name="Quest-ID"/>
    <x:tableColumn id="3" name="Step-Ref"/>
    <x:tableColumn id="4" name="Kandidaten-ID"/>
    <x:tableColumn id="5" name="Ort"/>
    <x:tableColumn id="6" name="Antworttyp"/>
    <x:tableColumn id="7" name="Prompt"/>
    <x:tableColumn id="8" name="Optionen / Reihenfolge"/>
    <x:tableColumn id="9" name="Sollantwort"/>
    <x:tableColumn id="10" name="Akzeptierte Varianten"/>
    <x:tableColumn id="11" name="Observable Evidence"/>
    <x:tableColumn id="12" name="Evidence-Grade"/>
    <x:tableColumn id="13" name="Hinweis 1"/>
    <x:tableColumn id="14" name="Hinweis 2"/>
    <x:tableColumn id="15" name="Fallback"/>
    <x:tableColumn id="16" name="Fehlerfolge"/>
    <x:tableColumn id="17" name="Validierungsstatus"/>
    <x:tableColumn id="18" name="Quelle"/>
  </x:tableColumns>
  <x:tableStyleInfo name="TableStyleMedium2" showFirstColumn="0" showLastColumn="0" showRowStripes="1" showColumnStripes="0"/>
</x:table>
</file>

<file path=xl/tables/table15.xml><?xml version="1.0" encoding="utf-8"?>
<x:table xmlns:x="http://schemas.openxmlformats.org/spreadsheetml/2006/main" id="15" name="CombatProfilesTable" displayName="CombatProfilesTable" ref="A4:V39" headerRowCount="1" totalsRowCount="0" totalsRowShown="0">
  <x:autoFilter ref="A4:V39"/>
  <x:tableColumns count="22">
    <x:tableColumn id="1" name="Combat-Profile-ID"/>
    <x:tableColumn id="2" name="Quest-/Encounter-IDs"/>
    <x:tableColumn id="3" name="Systemtyp"/>
    <x:tableColumn id="4" name="Gegner"/>
    <x:tableColumn id="5" name="Rarität"/>
    <x:tableColumn id="6" name="Kampfrolle"/>
    <x:tableColumn id="7" name="Narrativer Auftritt"/>
    <x:tableColumn id="8" name="Kampfmuster"/>
    <x:tableColumn id="9" name="Fähigkeit 1"/>
    <x:tableColumn id="10" name="Fähigkeit 2"/>
    <x:tableColumn id="11" name="Phasenregel"/>
    <x:tableColumn id="12" name="Zielwahl"/>
    <x:tableColumn id="13" name="Counterplay / Anfälligkeit"/>
    <x:tableColumn id="14" name="Status-Effekte"/>
    <x:tableColumn id="15" name="Siegbedingung"/>
    <x:tableColumn id="16" name="Niederlage / Retry"/>
    <x:tableColumn id="17" name="Reward-Klasse"/>
    <x:tableColumn id="18" name="Respawn / Verfügbarkeit"/>
    <x:tableColumn id="19" name="Bildreferenz"/>
    <x:tableColumn id="20" name="Bildgenerierungsbeschreibung"/>
    <x:tableColumn id="21" name="Noch zu balancieren"/>
    <x:tableColumn id="22" name="Status"/>
  </x:tableColumns>
  <x:tableStyleInfo name="TableStyleMedium2" showFirstColumn="0" showLastColumn="0" showRowStripes="1" showColumnStripes="0"/>
</x:table>
</file>

<file path=xl/tables/table16.xml><?xml version="1.0" encoding="utf-8"?>
<x:table xmlns:x="http://schemas.openxmlformats.org/spreadsheetml/2006/main" id="16" name="NavigationChallengesTable" displayName="NavigationChallengesTable" ref="A4:Q8" headerRowCount="1" totalsRowCount="0" totalsRowShown="0">
  <x:autoFilter ref="A4:Q8"/>
  <x:tableColumns count="17">
    <x:tableColumn id="1" name="Navigation-ID"/>
    <x:tableColumn id="2" name="Quest-ID"/>
    <x:tableColumn id="3" name="Segment"/>
    <x:tableColumn id="4" name="Modus"/>
    <x:tableColumn id="5" name="Teilnehmer / Rollen"/>
    <x:tableColumn id="6" name="Start-ID"/>
    <x:tableColumn id="7" name="Ziel-ID"/>
    <x:tableColumn id="8" name="Kartensichtbarkeit"/>
    <x:tableColumn id="9" name="Rolleninformationen"/>
    <x:tableColumn id="10" name="Hinweiskette"/>
    <x:tableColumn id="11" name="Server-Erfolgsbedingung"/>
    <x:tableColumn id="12" name="Hinweis-/Timeoutlogik"/>
    <x:tableColumn id="13" name="Sicherheitsregel"/>
    <x:tableColumn id="14" name="Fallback"/>
    <x:tableColumn id="15" name="Vor-Ort-Status"/>
    <x:tableColumn id="16" name="Benötigte GeoJSON-Felder"/>
    <x:tableColumn id="17" name="Events / States"/>
  </x:tableColumns>
  <x:tableStyleInfo name="TableStyleMedium2" showFirstColumn="0" showLastColumn="0" showRowStripes="1" showColumnStripes="0"/>
</x:table>
</file>

<file path=xl/tables/table17.xml><?xml version="1.0" encoding="utf-8"?>
<x:table xmlns:x="http://schemas.openxmlformats.org/spreadsheetml/2006/main" id="17" name="QuestTimersTable" displayName="QuestTimersTable" ref="A4:P10" headerRowCount="1" totalsRowCount="0" totalsRowShown="0">
  <x:autoFilter ref="A4:P10"/>
  <x:tableColumns count="16">
    <x:tableColumn id="1" name="Timer-ID"/>
    <x:tableColumn id="2" name="Quest-ID"/>
    <x:tableColumn id="3" name="Step-ID"/>
    <x:tableColumn id="4" name="Etappe"/>
    <x:tableColumn id="5" name="Scope"/>
    <x:tableColumn id="6" name="Dauer s"/>
    <x:tableColumn id="7" name="StartsWhen"/>
    <x:tableColumn id="8" name="Warnungen Restzeit s"/>
    <x:tableColumn id="9" name="OnExpire"/>
    <x:tableColumn id="10" name="Retry-Policy"/>
    <x:tableColumn id="11" name="Pause / GM"/>
    <x:tableColumn id="12" name="UI-Komponente"/>
    <x:tableColumn id="13" name="Serverfelder"/>
    <x:tableColumn id="14" name="Sicherheit"/>
    <x:tableColumn id="15" name="Dialog-Refs"/>
    <x:tableColumn id="16" name="Content-Status"/>
  </x:tableColumns>
  <x:tableStyleInfo name="TableStyleMedium2" showFirstColumn="0" showLastColumn="0" showRowStripes="1" showColumnStripes="0"/>
</x:table>
</file>

<file path=xl/tables/table18.xml><?xml version="1.0" encoding="utf-8"?>
<x:table xmlns:x="http://schemas.openxmlformats.org/spreadsheetml/2006/main" id="18" name="GddQuestReconciliationTable" displayName="GddQuestReconciliationTable" ref="A4:F14" headerRowCount="1" totalsRowCount="0" totalsRowShown="0">
  <x:autoFilter ref="A4:F14"/>
  <x:tableColumns count="6">
    <x:tableColumn id="1" name="Bereich"/>
    <x:tableColumn id="2" name="GDD v0.14"/>
    <x:tableColumn id="3" name="Questdatei v0.7"/>
    <x:tableColumn id="4" name="Bewertung"/>
    <x:tableColumn id="5" name="Auflösung in v0.8 / GDD v0.15"/>
    <x:tableColumn id="6" name="Verbleibend offen"/>
  </x:tableColumns>
  <x:tableStyleInfo name="TableStyleMedium2" showFirstColumn="0" showLastColumn="0" showRowStripes="1" showColumnStripes="0"/>
</x:table>
</file>

<file path=xl/tables/table19.xml><?xml version="1.0" encoding="utf-8"?>
<x:table xmlns:x="http://schemas.openxmlformats.org/spreadsheetml/2006/main" id="19" name="InteractionCoverageTable" displayName="InteractionCoverageTable" ref="A4:P44" headerRowCount="1" totalsRowCount="0" totalsRowShown="0">
  <x:autoFilter ref="A4:P44"/>
  <x:tableColumns count="16">
    <x:tableColumn id="1" name="Quest-ID"/>
    <x:tableColumn id="2" name="Titel"/>
    <x:tableColumn id="3" name="Typ"/>
    <x:tableColumn id="4" name="GPS-Ort"/>
    <x:tableColumn id="5" name="Sichtbarer Hinweis"/>
    <x:tableColumn id="6" name="Single-/Multiple-Choice"/>
    <x:tableColumn id="7" name="Sortieren / Zuordnen"/>
    <x:tableColumn id="8" name="Text-/Codeeingabe"/>
    <x:tableColumn id="9" name="Inventargegenstand"/>
    <x:tableColumn id="10" name="Teamentscheidung"/>
    <x:tableColumn id="11" name="Klassenaktion"/>
    <x:tableColumn id="12" name="Klasse"/>
    <x:tableColumn id="13" name="Pflichtkampf"/>
    <x:tableColumn id="14" name="Medienupload"/>
    <x:tableColumn id="15" name="Navigation"/>
    <x:tableColumn id="16" name="Timer-Etapp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87e5b733f134117" /></Relationships>
</file>

<file path=xl/worksheets/_rels/sheet3.xml.rels>&#65279;<?xml version="1.0" encoding="utf-8"?><Relationships xmlns="http://schemas.openxmlformats.org/package/2006/relationships"><Relationship Type="http://schemas.openxmlformats.org/officeDocument/2006/relationships/table" Target="/xl/tables/table2.xml" Id="Rf128aea7a2154440" /></Relationships>
</file>

<file path=xl/worksheets/_rels/sheet4.xml.rels>&#65279;<?xml version="1.0" encoding="utf-8"?><Relationships xmlns="http://schemas.openxmlformats.org/package/2006/relationships"><Relationship Type="http://schemas.openxmlformats.org/officeDocument/2006/relationships/table" Target="/xl/tables/table3.xml" Id="Ra3a6814cbc4c414a" /></Relationships>
</file>

<file path=xl/worksheets/_rels/sheet5.xml.rels>&#65279;<?xml version="1.0" encoding="utf-8"?><Relationships xmlns="http://schemas.openxmlformats.org/package/2006/relationships"><Relationship Type="http://schemas.openxmlformats.org/officeDocument/2006/relationships/table" Target="/xl/tables/table4.xml" Id="R814a70650f084d6e" /></Relationships>
</file>

<file path=xl/worksheets/_rels/sheet6.xml.rels>&#65279;<?xml version="1.0" encoding="utf-8"?><Relationships xmlns="http://schemas.openxmlformats.org/package/2006/relationships"><Relationship Type="http://schemas.openxmlformats.org/officeDocument/2006/relationships/table" Target="/xl/tables/table5.xml" Id="R1698a53e6b814ae2" /></Relationships>
</file>

<file path=xl/worksheets/_rels/sheet7.xml.rels>&#65279;<?xml version="1.0" encoding="utf-8"?><Relationships xmlns="http://schemas.openxmlformats.org/package/2006/relationships"><Relationship Type="http://schemas.openxmlformats.org/officeDocument/2006/relationships/table" Target="/xl/tables/table6.xml" Id="R81f56454fe0c4083" /></Relationships>
</file>

<file path=xl/worksheets/_rels/sheet8.xml.rels>&#65279;<?xml version="1.0" encoding="utf-8"?><Relationships xmlns="http://schemas.openxmlformats.org/package/2006/relationships"><Relationship Type="http://schemas.openxmlformats.org/officeDocument/2006/relationships/table" Target="/xl/tables/table7.xml" Id="R929879f8a5bb4404" /></Relationships>
</file>

<file path=xl/worksheets/_rels/sheet9.xml.rels>&#65279;<?xml version="1.0" encoding="utf-8"?><Relationships xmlns="http://schemas.openxmlformats.org/package/2006/relationships"><Relationship Type="http://schemas.openxmlformats.org/officeDocument/2006/relationships/table" Target="/xl/tables/table8.xml" Id="R7b85dce9e93f4429" /></Relationships>
</file>

<file path=xl/worksheets/_rels/sheet11.xml.rels>&#65279;<?xml version="1.0" encoding="utf-8"?><Relationships xmlns="http://schemas.openxmlformats.org/package/2006/relationships"><Relationship Type="http://schemas.openxmlformats.org/officeDocument/2006/relationships/table" Target="/xl/tables/table9.xml" Id="R78019a47124248df" /></Relationships>
</file>

<file path=xl/worksheets/_rels/sheet12.xml.rels>&#65279;<?xml version="1.0" encoding="utf-8"?><Relationships xmlns="http://schemas.openxmlformats.org/package/2006/relationships"><Relationship Type="http://schemas.openxmlformats.org/officeDocument/2006/relationships/table" Target="/xl/tables/table10.xml" Id="Red5520ac42ed416e" /></Relationships>
</file>

<file path=xl/worksheets/_rels/sheet13.xml.rels>&#65279;<?xml version="1.0" encoding="utf-8"?><Relationships xmlns="http://schemas.openxmlformats.org/package/2006/relationships"><Relationship Type="http://schemas.openxmlformats.org/officeDocument/2006/relationships/table" Target="/xl/tables/table11.xml" Id="Rd58eb11425534e76" /></Relationships>
</file>

<file path=xl/worksheets/_rels/sheet14.xml.rels>&#65279;<?xml version="1.0" encoding="utf-8"?><Relationships xmlns="http://schemas.openxmlformats.org/package/2006/relationships"><Relationship Type="http://schemas.openxmlformats.org/officeDocument/2006/relationships/table" Target="/xl/tables/table12.xml" Id="R9561ed38557849b1" /></Relationships>
</file>

<file path=xl/worksheets/_rels/sheet15.xml.rels>&#65279;<?xml version="1.0" encoding="utf-8"?><Relationships xmlns="http://schemas.openxmlformats.org/package/2006/relationships"><Relationship Type="http://schemas.openxmlformats.org/officeDocument/2006/relationships/table" Target="/xl/tables/table13.xml" Id="R64cc4a940eec4f51" /></Relationships>
</file>

<file path=xl/worksheets/_rels/sheet16.xml.rels>&#65279;<?xml version="1.0" encoding="utf-8"?><Relationships xmlns="http://schemas.openxmlformats.org/package/2006/relationships"><Relationship Type="http://schemas.openxmlformats.org/officeDocument/2006/relationships/table" Target="/xl/tables/table14.xml" Id="R42bb2d9222104ad9" /></Relationships>
</file>

<file path=xl/worksheets/_rels/sheet17.xml.rels>&#65279;<?xml version="1.0" encoding="utf-8"?><Relationships xmlns="http://schemas.openxmlformats.org/package/2006/relationships"><Relationship Type="http://schemas.openxmlformats.org/officeDocument/2006/relationships/table" Target="/xl/tables/table15.xml" Id="Rff4f21d432754bb3" /></Relationships>
</file>

<file path=xl/worksheets/_rels/sheet18.xml.rels>&#65279;<?xml version="1.0" encoding="utf-8"?><Relationships xmlns="http://schemas.openxmlformats.org/package/2006/relationships"><Relationship Type="http://schemas.openxmlformats.org/officeDocument/2006/relationships/table" Target="/xl/tables/table16.xml" Id="R6613cb4d48ee40ab" /></Relationships>
</file>

<file path=xl/worksheets/_rels/sheet19.xml.rels>&#65279;<?xml version="1.0" encoding="utf-8"?><Relationships xmlns="http://schemas.openxmlformats.org/package/2006/relationships"><Relationship Type="http://schemas.openxmlformats.org/officeDocument/2006/relationships/table" Target="/xl/tables/table17.xml" Id="R83ca4ce10fe247b6" /></Relationships>
</file>

<file path=xl/worksheets/_rels/sheet20.xml.rels>&#65279;<?xml version="1.0" encoding="utf-8"?><Relationships xmlns="http://schemas.openxmlformats.org/package/2006/relationships"><Relationship Type="http://schemas.openxmlformats.org/officeDocument/2006/relationships/table" Target="/xl/tables/table18.xml" Id="R8db0b4ca490e49ce" /></Relationships>
</file>

<file path=xl/worksheets/_rels/sheet21.xml.rels>&#65279;<?xml version="1.0" encoding="utf-8"?><Relationships xmlns="http://schemas.openxmlformats.org/package/2006/relationships"><Relationship Type="http://schemas.openxmlformats.org/officeDocument/2006/relationships/table" Target="/xl/tables/table19.xml" Id="R88c2b6581bf3479f"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22" hidden="0" customWidth="1"/>
    <x:col min="3" max="3" width="25" hidden="0" customWidth="1"/>
    <x:col min="4" max="4" width="25" hidden="0" customWidth="1"/>
    <x:col min="5" max="5" width="25" hidden="0" customWidth="1"/>
    <x:col min="6" max="6" width="20" hidden="0" customWidth="1"/>
    <x:col min="7" max="7" width="20" hidden="0" customWidth="1"/>
    <x:col min="8" max="8" width="20" hidden="0" customWidth="1"/>
    <x:col min="9" max="9" width="20" hidden="0" customWidth="1"/>
    <x:col min="10" max="10" width="20"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s>
  <x:sheetData>
    <x:row r="1" ht="30" customHeight="1">
      <x:c r="A1" s="91" t="str">
        <x:v>Via Romae – Questgruppierung und Implementierung v0.9</x:v>
      </x:c>
      <x:c r="B1" s="91"/>
      <x:c r="C1" s="91"/>
      <x:c r="D1" s="91"/>
      <x:c r="E1" s="91"/>
      <x:c r="F1" s="91"/>
      <x:c r="G1" s="91"/>
      <x:c r="H1" s="91"/>
      <x:c r="I1" s="91"/>
      <x:c r="J1" s="91"/>
      <x:c r="K1" s="91"/>
      <x:c r="L1" s="91"/>
      <x:c r="M1" s="91"/>
      <x:c r="N1" s="91"/>
      <x:c r="O1" s="91"/>
      <x:c r="P1" s="91"/>
      <x:c r="Q1" s="91"/>
      <x:c r="R1" s="91"/>
      <x:c r="S1" s="91"/>
      <x:c r="T1" s="91"/>
      <x:c r="U1" s="91"/>
      <x:c r="V1" s="91"/>
    </x:row>
    <x:row r="2" ht="32" customHeight="1">
      <x:c r="A2" s="95" t="str">
        <x:v>40 Questdefinitionen mit 396 Ablauf-Schritten; EnemyBalance und Stores sind verbindliche Balancing-/Datenverträge für GDD v0.16 und GeoJSON v0.9.</x:v>
      </x:c>
      <x:c r="B2" s="95"/>
      <x:c r="C2" s="95"/>
      <x:c r="D2" s="95"/>
      <x:c r="E2" s="95"/>
      <x:c r="F2" s="95"/>
      <x:c r="G2" s="95"/>
      <x:c r="H2" s="95"/>
      <x:c r="I2" s="95"/>
      <x:c r="J2" s="95"/>
      <x:c r="K2" s="159"/>
      <x:c r="L2" s="159"/>
      <x:c r="M2" s="159"/>
      <x:c r="N2" s="159"/>
      <x:c r="O2" s="159"/>
      <x:c r="P2" s="159"/>
      <x:c r="Q2" s="159"/>
      <x:c r="R2" s="159"/>
      <x:c r="S2" s="159"/>
      <x:c r="T2" s="159"/>
      <x:c r="U2" s="159"/>
      <x:c r="V2" s="159"/>
    </x:row>
    <x:row r="4">
      <x:c r="A4" s="10" t="str">
        <x:v>Regulär</x:v>
      </x:c>
      <x:c r="B4" s="10" t="str">
        <x:v>Tag 1</x:v>
      </x:c>
      <x:c r="C4" s="10" t="str">
        <x:v>Tag 2</x:v>
      </x:c>
      <x:c r="D4" s="10" t="str">
        <x:v>Medien</x:v>
      </x:c>
      <x:c r="E4" s="10" t="str">
        <x:v>Hidden</x:v>
      </x:c>
      <x:c r="F4" s="10" t="str">
        <x:v>Bosse</x:v>
      </x:c>
      <x:c r="G4" s="10" t="str">
        <x:v>Ein-Ort</x:v>
      </x:c>
      <x:c r="H4" s="10" t="str">
        <x:v>Mehrort</x:v>
      </x:c>
      <x:c r="I4" s="10" t="str">
        <x:v>Ø Eignung</x:v>
      </x:c>
      <x:c r="J4" s="10" t="str">
        <x:v>Rote Pflichtorte</x:v>
      </x:c>
      <x:c r="K4" s="78" t="str">
        <x:v>Unique Gegner</x:v>
      </x:c>
      <x:c r="L4" s="78" t="str">
        <x:v>Unique Tag 1</x:v>
      </x:c>
      <x:c r="M4" s="78" t="str">
        <x:v>Unique Tag 2</x:v>
      </x:c>
      <x:c r="N4" s="153" t="str">
        <x:v>Questdefs</x:v>
      </x:c>
      <x:c r="O4" s="153" t="str">
        <x:v>Ablaufschritte</x:v>
      </x:c>
      <x:c r="P4" s="153" t="str">
        <x:v>Dialogknoten</x:v>
      </x:c>
      <x:c r="Q4" s="153" t="str">
        <x:v>Charaktere</x:v>
      </x:c>
      <x:c r="R4" s="153" t="str">
        <x:v>Rätsel</x:v>
      </x:c>
      <x:c r="S4" s="153" t="str">
        <x:v>Kampfprofile</x:v>
      </x:c>
      <x:c r="T4" s="153" t="str">
        <x:v>Navigation</x:v>
      </x:c>
      <x:c r="U4" s="153" t="str">
        <x:v>Timerquests</x:v>
      </x:c>
      <x:c r="V4" s="153" t="str">
        <x:v>Checks OK</x:v>
      </x:c>
    </x:row>
    <x:row r="5">
      <x:c r="A5" s="34" t="n">
        <x:f>COUNTA('Questgruppen'!$B$5:$B$30)</x:f>
        <x:v>26</x:v>
      </x:c>
      <x:c r="B5" s="34" t="n">
        <x:f>COUNTIF('Questgruppen'!$C$5:$C$30,"DAY_1")</x:f>
        <x:v>16</x:v>
      </x:c>
      <x:c r="C5" s="34" t="n">
        <x:f>COUNTIF('Questgruppen'!$C$5:$C$30,"DAY_2")</x:f>
        <x:v>10</x:v>
      </x:c>
      <x:c r="D5" s="34" t="n">
        <x:f>COUNTIF('Sonderquests'!$C$5:$C$18,"MEDIA_LOCAL")+COUNTIF('Sonderquests'!$C$5:$C$18,"MEDIA_LANGZEIT")</x:f>
        <x:v>7</x:v>
      </x:c>
      <x:c r="E5" s="34" t="n">
        <x:f>COUNTIF('Sonderquests'!$C$5:$C$18,"HIDDEN")</x:f>
        <x:v>5</x:v>
      </x:c>
      <x:c r="F5" s="34" t="n">
        <x:f>COUNTIF('Sonderquests'!$C$5:$C$18,"WORLD_BOSS")</x:f>
        <x:v>2</x:v>
      </x:c>
      <x:c r="G5" s="34" t="n">
        <x:f>COUNTIF('Questgruppen'!$F$5:$F$30,1)</x:f>
        <x:v>6</x:v>
      </x:c>
      <x:c r="H5" s="34" t="n">
        <x:f>COUNTIFS('Questgruppen'!$F$5:$F$30,"&gt;=2",'Questgruppen'!$F$5:$F$30,"&lt;=5")</x:f>
        <x:v>20</x:v>
      </x:c>
      <x:c r="I5" s="34" t="n">
        <x:f>ROUND(AVERAGE('Questgruppen'!$AB$5:$AB$30),1)</x:f>
        <x:v>4.3</x:v>
      </x:c>
      <x:c r="J5" s="34" t="n">
        <x:f>SUM('Questgruppen'!$V$5:$V$30)</x:f>
        <x:v>0</x:v>
      </x:c>
      <x:c r="K5" s="80" t="n">
        <x:f>COUNTA('Unique Gegner'!$B$5:$B$16)</x:f>
        <x:v>12</x:v>
      </x:c>
      <x:c r="L5" s="80" t="n">
        <x:f>COUNTIF('Unique Gegner'!$D$5:$D$16,"DAY_1")</x:f>
        <x:v>8</x:v>
      </x:c>
      <x:c r="M5" s="80" t="n">
        <x:f>COUNTIF('Unique Gegner'!$D$5:$D$16,"DAY_2")</x:f>
        <x:v>4</x:v>
      </x:c>
      <x:c r="N5" s="156" t="n">
        <x:f>COUNTA('Quest Master'!A5:A44)</x:f>
        <x:v>40</x:v>
      </x:c>
      <x:c r="O5" s="156" t="n">
        <x:f>COUNTA('Questablauf'!A5:A400)</x:f>
        <x:v>396</x:v>
      </x:c>
      <x:c r="P5" s="156" t="n">
        <x:f>COUNTA('Dialoge'!A5:A124)</x:f>
        <x:v>120</x:v>
      </x:c>
      <x:c r="Q5" s="156" t="n">
        <x:f>COUNTA('Charaktere'!A5:A40)</x:f>
        <x:v>36</x:v>
      </x:c>
      <x:c r="R5" s="156" t="n">
        <x:f>COUNTA('Rätsel'!A5:A116)</x:f>
        <x:v>112</x:v>
      </x:c>
      <x:c r="S5" s="156" t="n">
        <x:f>COUNTA('Kampfprofile'!A5:A39)</x:f>
        <x:v>35</x:v>
      </x:c>
      <x:c r="T5" s="156" t="n">
        <x:f>COUNTA('Navigation'!A5:A8)</x:f>
        <x:v>4</x:v>
      </x:c>
      <x:c r="U5" s="156" t="n">
        <x:f>COUNTA('Timer'!A5:A10)</x:f>
        <x:v>6</x:v>
      </x:c>
      <x:c r="V5" s="156" t="n">
        <x:f>COUNTIF('Abdeckung'!U5:U16,"OK")+COUNTIF('Abdeckung'!T19:T22,"OK")</x:f>
        <x:v>16</x:v>
      </x:c>
    </x:row>
    <x:row r="8">
      <x:c r="A8" s="10" t="str">
        <x:v>Hauptmechanik</x:v>
      </x:c>
      <x:c r="B8" s="10" t="str">
        <x:v>Reguläre Quests</x:v>
      </x:c>
      <x:c r="C8" s="10" t="str">
        <x:v>Empfohlener Korridor</x:v>
      </x:c>
      <x:c r="D8" s="10" t="str">
        <x:v>Bewertung</x:v>
      </x:c>
      <x:c r="E8" s="10" t="str">
        <x:v>Kommentar</x:v>
      </x:c>
    </x:row>
    <x:row r="9" ht="48" customHeight="1">
      <x:c r="A9" s="38" t="str">
        <x:v>BEOBACHTUNG_SUCHE</x:v>
      </x:c>
      <x:c r="B9" s="41" t="n">
        <x:f>COUNTIF('Questgruppen'!$J$5:$J$30,A9)</x:f>
        <x:v>4</x:v>
      </x:c>
      <x:c r="C9" s="41" t="str">
        <x:v>4–6</x:v>
      </x:c>
      <x:c r="D9" s="41" t="str">
        <x:f>IF(AND(B9&gt;=4,B9&lt;=6),"AUSGEWOGEN","PRUEFEN")</x:f>
        <x:v>AUSGEWOGEN</x:v>
      </x:c>
      <x:c r="E9" s="38" t="str">
        <x:v>GPS-Ort und lokale Beobachtung bleiben in jeder Quest Basiselemente.</x:v>
      </x:c>
    </x:row>
    <x:row r="10" ht="48" customHeight="1">
      <x:c r="A10" s="39" t="str">
        <x:v>ZUORDNUNG_REIHENFOLGE</x:v>
      </x:c>
      <x:c r="B10" s="42" t="n">
        <x:f>COUNTIF('Questgruppen'!$J$5:$J$30,A10)</x:f>
        <x:v>6</x:v>
      </x:c>
      <x:c r="C10" s="42" t="str">
        <x:v>4–6</x:v>
      </x:c>
      <x:c r="D10" s="42" t="str">
        <x:f>IF(AND(B10&gt;=4,B10&lt;=6),"AUSGEWOGEN","PRUEFEN")</x:f>
        <x:v>AUSGEWOGEN</x:v>
      </x:c>
      <x:c r="E10" s="39" t="str">
        <x:v>GPS-Ort und lokale Beobachtung bleiben in jeder Quest Basiselemente.</x:v>
      </x:c>
    </x:row>
    <x:row r="11" ht="48" customHeight="1">
      <x:c r="A11" s="39" t="str">
        <x:v>KURZTEXT_RAETSEL</x:v>
      </x:c>
      <x:c r="B11" s="42" t="n">
        <x:f>COUNTIF('Questgruppen'!$J$5:$J$30,A11)</x:f>
        <x:v>4</x:v>
      </x:c>
      <x:c r="C11" s="42" t="str">
        <x:v>4–6</x:v>
      </x:c>
      <x:c r="D11" s="42" t="str">
        <x:f>IF(AND(B11&gt;=4,B11&lt;=6),"AUSGEWOGEN","PRUEFEN")</x:f>
        <x:v>AUSGEWOGEN</x:v>
      </x:c>
      <x:c r="E11" s="39" t="str">
        <x:v>GPS-Ort und lokale Beobachtung bleiben in jeder Quest Basiselemente.</x:v>
      </x:c>
    </x:row>
    <x:row r="12" ht="48" customHeight="1">
      <x:c r="A12" s="39" t="str">
        <x:v>DIALOG_ENTSCHEIDUNG</x:v>
      </x:c>
      <x:c r="B12" s="42" t="n">
        <x:f>COUNTIF('Questgruppen'!$J$5:$J$30,A12)</x:f>
        <x:v>6</x:v>
      </x:c>
      <x:c r="C12" s="42" t="str">
        <x:v>4–6</x:v>
      </x:c>
      <x:c r="D12" s="42" t="str">
        <x:f>IF(AND(B12&gt;=4,B12&lt;=6),"AUSGEWOGEN","PRUEFEN")</x:f>
        <x:v>AUSGEWOGEN</x:v>
      </x:c>
      <x:c r="E12" s="39" t="str">
        <x:v>GPS-Ort und lokale Beobachtung bleiben in jeder Quest Basiselemente.</x:v>
      </x:c>
    </x:row>
    <x:row r="13" ht="48" customHeight="1">
      <x:c r="A13" s="40" t="str">
        <x:v>KAMPF</x:v>
      </x:c>
      <x:c r="B13" s="43" t="n">
        <x:f>COUNTIF('Questgruppen'!$J$5:$J$30,A13)</x:f>
        <x:v>6</x:v>
      </x:c>
      <x:c r="C13" s="43" t="str">
        <x:v>4–6</x:v>
      </x:c>
      <x:c r="D13" s="43" t="str">
        <x:f>IF(AND(B13&gt;=4,B13&lt;=6),"AUSGEWOGEN","PRUEFEN")</x:f>
        <x:v>AUSGEWOGEN</x:v>
      </x:c>
      <x:c r="E13" s="40" t="str">
        <x:v>GPS-Ort und lokale Beobachtung bleiben in jeder Quest Basiselemente.</x:v>
      </x:c>
    </x:row>
    <x:row r="16">
      <x:c r="A16" s="45" t="str">
        <x:v>Wichtigste Entscheidung</x:v>
      </x:c>
      <x:c r="B16" s="45" t="str">
        <x:v>Begründung</x:v>
      </x:c>
      <x:c r="C16" s="45" t="str"/>
      <x:c r="D16" s="45" t="str"/>
      <x:c r="E16" s="45" t="str"/>
      <x:c r="F16" s="45" t="str"/>
      <x:c r="G16" s="45" t="str"/>
      <x:c r="H16" s="45" t="str"/>
      <x:c r="I16" s="45" t="str"/>
      <x:c r="J16" s="45" t="str"/>
    </x:row>
    <x:row r="17" ht="32" customHeight="1">
      <x:c r="A17" s="47" t="str">
        <x:v>Die Kombinationen sind Quest-Card-reif, aber noch nicht eventfreigegeben. Aktueller Sichtbeleg, blinder Antworttest und Event-Recheck bleiben Pflicht.</x:v>
      </x:c>
      <x:c r="B17" s="47"/>
      <x:c r="C17" s="47"/>
      <x:c r="D17" s="47"/>
      <x:c r="E17" s="47"/>
      <x:c r="F17" s="47"/>
      <x:c r="G17" s="47"/>
      <x:c r="H17" s="47"/>
      <x:c r="I17" s="47"/>
      <x:c r="J17" s="47"/>
    </x:row>
    <x:row r="18" ht="32" customHeight="1">
      <x:c r="A18" s="47" t="str">
        <x:v>Nicht als Pflichtort verwendet: Obelisco della Minerva, Portico d’Ottavia, Piazza del Teatro di Pompeo, Meta Sudans und Arco di Via Nola.</x:v>
      </x:c>
      <x:c r="B18" s="47"/>
      <x:c r="C18" s="47"/>
      <x:c r="D18" s="47"/>
      <x:c r="E18" s="47"/>
      <x:c r="F18" s="47"/>
      <x:c r="G18" s="47"/>
      <x:c r="H18" s="47"/>
      <x:c r="I18" s="47"/>
      <x:c r="J18" s="47"/>
    </x:row>
    <x:row r="19" ht="32" customHeight="1">
      <x:c r="A19" s="47" t="str">
        <x:v>Operativ schwächste Kernkombinationen: Tore des Borgo, Das gebändigte Wasser, Stimmen der Republik und Tore der Aurelianischen Mauer. Sie benötigen die stärksten Fallbacks.</x:v>
      </x:c>
      <x:c r="B19" s="47"/>
      <x:c r="C19" s="47"/>
      <x:c r="D19" s="47"/>
      <x:c r="E19" s="47"/>
      <x:c r="F19" s="47"/>
      <x:c r="G19" s="47"/>
      <x:c r="H19" s="47"/>
      <x:c r="I19" s="47"/>
      <x:c r="J19" s="47"/>
    </x:row>
  </x:sheetData>
  <x:mergeCells>
    <x:mergeCell ref="A17:J17"/>
    <x:mergeCell ref="A18:J18"/>
    <x:mergeCell ref="A19:J19"/>
    <x:mergeCell ref="A1:V1"/>
    <x:mergeCell ref="A2:V2"/>
  </x:mergeCells>
  <x:conditionalFormatting sqref="D9:D13">
    <x:cfRule type="containsText" dxfId="16" priority="1" operator="containsText" text="AUSGEWOGEN"/>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24" hidden="0" customWidth="1"/>
    <x:col min="3" max="3" width="10" hidden="0" customWidth="1"/>
    <x:col min="4" max="4" width="10" hidden="0" customWidth="1"/>
    <x:col min="5" max="5" width="14" hidden="0" customWidth="1"/>
    <x:col min="6" max="6" width="35" hidden="0" customWidth="1"/>
    <x:col min="7" max="7" width="12" hidden="0" customWidth="1"/>
    <x:col min="8" max="8" width="55" hidden="0" customWidth="1"/>
  </x:cols>
  <x:sheetData>
    <x:row r="1" ht="30" customHeight="1">
      <x:c r="A1" s="48" t="str">
        <x:v>Via Romae – Abgleich mit der Questmatrix</x:v>
      </x:c>
      <x:c r="B1" s="48"/>
      <x:c r="C1" s="48"/>
      <x:c r="D1" s="48"/>
      <x:c r="E1" s="48"/>
      <x:c r="F1" s="48"/>
      <x:c r="G1" s="48"/>
      <x:c r="H1" s="48"/>
    </x:row>
    <x:row r="2" ht="32" customHeight="1">
      <x:c r="A2" s="49" t="str">
        <x:v>Sollwerte aus den bisherigen Entscheidungen versus die konkrete Gruppierung.</x:v>
      </x:c>
      <x:c r="B2" s="49"/>
      <x:c r="C2" s="49"/>
      <x:c r="D2" s="49"/>
      <x:c r="E2" s="49"/>
      <x:c r="F2" s="49"/>
      <x:c r="G2" s="49"/>
      <x:c r="H2" s="49"/>
    </x:row>
    <x:row r="3">
      <x:c r="A3" s="50"/>
      <x:c r="B3" s="50"/>
      <x:c r="C3" s="50"/>
      <x:c r="D3" s="50"/>
      <x:c r="E3" s="50"/>
      <x:c r="F3" s="50"/>
      <x:c r="G3" s="50"/>
      <x:c r="H3" s="50"/>
    </x:row>
    <x:row r="4">
      <x:c r="A4" s="51" t="str">
        <x:v>Dimension</x:v>
      </x:c>
      <x:c r="B4" s="51" t="str">
        <x:v>Ausprägung</x:v>
      </x:c>
      <x:c r="C4" s="51" t="str">
        <x:v>Soll</x:v>
      </x:c>
      <x:c r="D4" s="51" t="str">
        <x:v>Ist</x:v>
      </x:c>
      <x:c r="E4" s="51" t="str">
        <x:v>Check</x:v>
      </x:c>
      <x:c r="F4" s="51" t="str">
        <x:v>Bedeutung</x:v>
      </x:c>
      <x:c r="G4" s="51" t="str">
        <x:v>Abweichung</x:v>
      </x:c>
      <x:c r="H4" s="51" t="str">
        <x:v>Kommentar</x:v>
      </x:c>
    </x:row>
    <x:row r="5" ht="24" customHeight="1">
      <x:c r="A5" s="21" t="str">
        <x:v>Reguläre Quests</x:v>
      </x:c>
      <x:c r="B5" s="21" t="str">
        <x:v>Tag 1</x:v>
      </x:c>
      <x:c r="C5" s="21" t="n">
        <x:v>16</x:v>
      </x:c>
      <x:c r="D5" s="21" t="n">
        <x:f>COUNTIF('Questgruppen'!$C$5:$C$30,"DAY_1")</x:f>
        <x:v>16</x:v>
      </x:c>
      <x:c r="E5" s="21" t="str">
        <x:f>IF(C5=D5,"OK","PRUEFEN")</x:f>
        <x:v>OK</x:v>
      </x:c>
      <x:c r="F5" s="21" t="str">
        <x:v>Tagesmenge</x:v>
      </x:c>
      <x:c r="G5" s="21" t="n">
        <x:f>D5-C5</x:f>
        <x:v>0</x:v>
      </x:c>
      <x:c r="H5" s="21" t="str"/>
    </x:row>
    <x:row r="6" ht="24" customHeight="1">
      <x:c r="A6" s="22" t="str">
        <x:v>Reguläre Quests</x:v>
      </x:c>
      <x:c r="B6" s="22" t="str">
        <x:v>Tag 2</x:v>
      </x:c>
      <x:c r="C6" s="22" t="n">
        <x:v>10</x:v>
      </x:c>
      <x:c r="D6" s="22" t="n">
        <x:f>COUNTIF('Questgruppen'!$C$5:$C$30,"DAY_2")</x:f>
        <x:v>10</x:v>
      </x:c>
      <x:c r="E6" s="22" t="str">
        <x:f>IF(C6=D6,"OK","PRUEFEN")</x:f>
        <x:v>OK</x:v>
      </x:c>
      <x:c r="F6" s="22" t="str">
        <x:v>Tagesmenge</x:v>
      </x:c>
      <x:c r="G6" s="22" t="n">
        <x:f>D6-C6</x:f>
        <x:v>0</x:v>
      </x:c>
      <x:c r="H6" s="22" t="str">
        <x:v>9–10 waren erlaubt; 10 nutzt die obere Zielgröße.</x:v>
      </x:c>
    </x:row>
    <x:row r="7" ht="24" customHeight="1">
      <x:c r="A7" s="22" t="str">
        <x:v>Dauer</x:v>
      </x:c>
      <x:c r="B7" s="22" t="str">
        <x:v>5–15</x:v>
      </x:c>
      <x:c r="C7" s="22" t="n">
        <x:v>8</x:v>
      </x:c>
      <x:c r="D7" s="22" t="n">
        <x:f>COUNTIF('Questgruppen'!$G$5:$G$30,"5–15")</x:f>
        <x:v>8</x:v>
      </x:c>
      <x:c r="E7" s="22" t="str">
        <x:f>IF(C7=D7,"OK","PRUEFEN")</x:f>
        <x:v>OK</x:v>
      </x:c>
      <x:c r="F7" s="22" t="str">
        <x:v>Kurze Quests</x:v>
      </x:c>
      <x:c r="G7" s="22" t="n">
        <x:f>D7-C7</x:f>
        <x:v>0</x:v>
      </x:c>
      <x:c r="H7" s="22" t="str">
        <x:v>Gleich viele wie 15–25.</x:v>
      </x:c>
    </x:row>
    <x:row r="8" ht="24" customHeight="1">
      <x:c r="A8" s="22" t="str">
        <x:v>Dauer</x:v>
      </x:c>
      <x:c r="B8" s="22" t="str">
        <x:v>15–25</x:v>
      </x:c>
      <x:c r="C8" s="22" t="n">
        <x:v>8</x:v>
      </x:c>
      <x:c r="D8" s="22" t="n">
        <x:f>COUNTIF('Questgruppen'!$G$5:$G$30,"15–25")</x:f>
        <x:v>8</x:v>
      </x:c>
      <x:c r="E8" s="22" t="str">
        <x:f>IF(C8=D8,"OK","PRUEFEN")</x:f>
        <x:v>OK</x:v>
      </x:c>
      <x:c r="F8" s="22" t="str">
        <x:v>Mittlere Quests</x:v>
      </x:c>
      <x:c r="G8" s="22" t="n">
        <x:f>D8-C8</x:f>
        <x:v>0</x:v>
      </x:c>
      <x:c r="H8" s="22" t="str">
        <x:v>Gleich viele wie 5–15.</x:v>
      </x:c>
    </x:row>
    <x:row r="9" ht="24" customHeight="1">
      <x:c r="A9" s="22" t="str">
        <x:v>Dauer</x:v>
      </x:c>
      <x:c r="B9" s="22" t="str">
        <x:v>25–35</x:v>
      </x:c>
      <x:c r="C9" s="22" t="n">
        <x:v>7</x:v>
      </x:c>
      <x:c r="D9" s="22" t="n">
        <x:f>COUNTIF('Questgruppen'!$G$5:$G$30,"25–35")</x:f>
        <x:v>7</x:v>
      </x:c>
      <x:c r="E9" s="22" t="str">
        <x:f>IF(C9=D9,"OK","PRUEFEN")</x:f>
        <x:v>OK</x:v>
      </x:c>
      <x:c r="F9" s="22" t="str">
        <x:v>Längere Quests</x:v>
      </x:c>
      <x:c r="G9" s="22" t="n">
        <x:f>D9-C9</x:f>
        <x:v>0</x:v>
      </x:c>
      <x:c r="H9" s="22" t="str"/>
    </x:row>
    <x:row r="10" ht="24" customHeight="1">
      <x:c r="A10" s="22" t="str">
        <x:v>Dauer</x:v>
      </x:c>
      <x:c r="B10" s="22" t="str">
        <x:v>35–45</x:v>
      </x:c>
      <x:c r="C10" s="22" t="n">
        <x:v>3</x:v>
      </x:c>
      <x:c r="D10" s="22" t="n">
        <x:f>COUNTIF('Questgruppen'!$G$5:$G$30,"35–45")</x:f>
        <x:v>3</x:v>
      </x:c>
      <x:c r="E10" s="22" t="str">
        <x:f>IF(C10=D10,"OK","PRUEFEN")</x:f>
        <x:v>OK</x:v>
      </x:c>
      <x:c r="F10" s="22" t="str">
        <x:v>Große Routen</x:v>
      </x:c>
      <x:c r="G10" s="22" t="n">
        <x:f>D10-C10</x:f>
        <x:v>0</x:v>
      </x:c>
      <x:c r="H10" s="22" t="str"/>
    </x:row>
    <x:row r="11" ht="24" customHeight="1">
      <x:c r="A11" s="22" t="str">
        <x:v>Orte pro Quest</x:v>
      </x:c>
      <x:c r="B11" s="22" t="str">
        <x:v>1 Ort</x:v>
      </x:c>
      <x:c r="C11" s="22" t="n">
        <x:v>6</x:v>
      </x:c>
      <x:c r="D11" s="22" t="n">
        <x:f>COUNTIF('Questgruppen'!$F$5:$F$30,1)</x:f>
        <x:v>6</x:v>
      </x:c>
      <x:c r="E11" s="22" t="str">
        <x:f>IF(C11=D11,"OK","PRUEFEN")</x:f>
        <x:v>OK</x:v>
      </x:c>
      <x:c r="F11" s="22" t="str">
        <x:v>Reduzierter Ein-Ort-Anteil</x:v>
      </x:c>
      <x:c r="G11" s="22" t="n">
        <x:f>D11-C11</x:f>
        <x:v>0</x:v>
      </x:c>
      <x:c r="H11" s="22" t="str">
        <x:v>Nur rund ein Viertel der regulären Quests.</x:v>
      </x:c>
    </x:row>
    <x:row r="12" ht="24" customHeight="1">
      <x:c r="A12" s="22" t="str">
        <x:v>Orte pro Quest</x:v>
      </x:c>
      <x:c r="B12" s="22" t="str">
        <x:v>2–5 Orte</x:v>
      </x:c>
      <x:c r="C12" s="22" t="n">
        <x:v>20</x:v>
      </x:c>
      <x:c r="D12" s="22" t="n">
        <x:f>COUNTIFS('Questgruppen'!$F$5:$F$30,"&gt;=2",'Questgruppen'!$F$5:$F$30,"&lt;=5")</x:f>
        <x:v>20</x:v>
      </x:c>
      <x:c r="E12" s="22" t="str">
        <x:f>IF(C12=D12,"OK","PRUEFEN")</x:f>
        <x:v>OK</x:v>
      </x:c>
      <x:c r="F12" s="22" t="str">
        <x:v>Mehrortquests</x:v>
      </x:c>
      <x:c r="G12" s="22" t="n">
        <x:f>D12-C12</x:f>
        <x:v>0</x:v>
      </x:c>
      <x:c r="H12" s="22" t="str"/>
    </x:row>
    <x:row r="13" ht="24" customHeight="1">
      <x:c r="A13" s="22" t="str">
        <x:v>Medien</x:v>
      </x:c>
      <x:c r="B13" s="22" t="str">
        <x:v>Tag 1 lokal</x:v>
      </x:c>
      <x:c r="C13" s="22" t="n">
        <x:v>3</x:v>
      </x:c>
      <x:c r="D13" s="22" t="n">
        <x:f>COUNTIFS('Sonderquests'!$C$5:$C$18,"MEDIA_LOCAL",'Sonderquests'!$D$5:$D$18,"DAY_1")</x:f>
        <x:v>3</x:v>
      </x:c>
      <x:c r="E13" s="22" t="str">
        <x:f>IF(C13=D13,"OK","PRUEFEN")</x:f>
        <x:v>OK</x:v>
      </x:c>
      <x:c r="F13" s="22" t="str">
        <x:v>Separate Medienquests</x:v>
      </x:c>
      <x:c r="G13" s="22" t="n">
        <x:f>D13-C13</x:f>
        <x:v>0</x:v>
      </x:c>
      <x:c r="H13" s="22" t="str"/>
    </x:row>
    <x:row r="14" ht="24" customHeight="1">
      <x:c r="A14" s="22" t="str">
        <x:v>Medien</x:v>
      </x:c>
      <x:c r="B14" s="22" t="str">
        <x:v>Tag 2 lokal</x:v>
      </x:c>
      <x:c r="C14" s="22" t="n">
        <x:v>3</x:v>
      </x:c>
      <x:c r="D14" s="22" t="n">
        <x:f>COUNTIFS('Sonderquests'!$C$5:$C$18,"MEDIA_LOCAL",'Sonderquests'!$D$5:$D$18,"DAY_2")</x:f>
        <x:v>3</x:v>
      </x:c>
      <x:c r="E14" s="22" t="str">
        <x:f>IF(C14=D14,"OK","PRUEFEN")</x:f>
        <x:v>OK</x:v>
      </x:c>
      <x:c r="F14" s="22" t="str">
        <x:v>Separate Medienquests</x:v>
      </x:c>
      <x:c r="G14" s="22" t="n">
        <x:f>D14-C14</x:f>
        <x:v>0</x:v>
      </x:c>
      <x:c r="H14" s="22" t="str"/>
    </x:row>
    <x:row r="15" ht="24" customHeight="1">
      <x:c r="A15" s="22" t="str">
        <x:v>Langzeit</x:v>
      </x:c>
      <x:c r="B15" s="22" t="str">
        <x:v>Bilderchronik</x:v>
      </x:c>
      <x:c r="C15" s="22" t="n">
        <x:v>1</x:v>
      </x:c>
      <x:c r="D15" s="22" t="n">
        <x:f>COUNTIF('Sonderquests'!$C$5:$C$18,"MEDIA_LANGZEIT")</x:f>
        <x:v>1</x:v>
      </x:c>
      <x:c r="E15" s="22" t="str">
        <x:f>IF(C15=D15,"OK","PRUEFEN")</x:f>
        <x:v>OK</x:v>
      </x:c>
      <x:c r="F15" s="22" t="str">
        <x:v>Separater Chronikslot</x:v>
      </x:c>
      <x:c r="G15" s="22" t="n">
        <x:f>D15-C15</x:f>
        <x:v>0</x:v>
      </x:c>
      <x:c r="H15" s="22" t="str"/>
    </x:row>
    <x:row r="16" ht="24" customHeight="1">
      <x:c r="A16" s="22" t="str">
        <x:v>Hidden</x:v>
      </x:c>
      <x:c r="B16" s="22" t="str">
        <x:v>Optionale Nebenquests</x:v>
      </x:c>
      <x:c r="C16" s="22" t="n">
        <x:v>5</x:v>
      </x:c>
      <x:c r="D16" s="22" t="n">
        <x:f>COUNTIF('Sonderquests'!$C$5:$C$18,"HIDDEN")</x:f>
        <x:v>5</x:v>
      </x:c>
      <x:c r="E16" s="22" t="str">
        <x:f>IF(C16=D16,"OK","PRUEFEN")</x:f>
        <x:v>OK</x:v>
      </x:c>
      <x:c r="F16" s="22" t="str">
        <x:v>Zählen nicht zum Limit</x:v>
      </x:c>
      <x:c r="G16" s="22" t="n">
        <x:f>D16-C16</x:f>
        <x:v>0</x:v>
      </x:c>
      <x:c r="H16" s="22" t="str">
        <x:v>Zielkorridor war 4–6.</x:v>
      </x:c>
    </x:row>
    <x:row r="17" ht="24" customHeight="1">
      <x:c r="A17" s="22" t="str">
        <x:v>Boss</x:v>
      </x:c>
      <x:c r="B17" s="22" t="str">
        <x:v>World Bosses</x:v>
      </x:c>
      <x:c r="C17" s="22" t="n">
        <x:v>2</x:v>
      </x:c>
      <x:c r="D17" s="22" t="n">
        <x:f>COUNTIF('Sonderquests'!$C$5:$C$18,"WORLD_BOSS")</x:f>
        <x:v>2</x:v>
      </x:c>
      <x:c r="E17" s="22" t="str">
        <x:f>IF(C17=D17,"OK","PRUEFEN")</x:f>
        <x:v>OK</x:v>
      </x:c>
      <x:c r="F17" s="22" t="str">
        <x:v>Zählen nicht zum Limit</x:v>
      </x:c>
      <x:c r="G17" s="22" t="n">
        <x:f>D17-C17</x:f>
        <x:v>0</x:v>
      </x:c>
      <x:c r="H17" s="22" t="str">
        <x:v>Je ein Tagesfinale.</x:v>
      </x:c>
    </x:row>
    <x:row r="18" ht="24" customHeight="1">
      <x:c r="A18" s="22" t="str">
        <x:v>Klassen</x:v>
      </x:c>
      <x:c r="B18" s="22" t="str">
        <x:v>Historienanker</x:v>
      </x:c>
      <x:c r="C18" s="22" t="n">
        <x:v>4</x:v>
      </x:c>
      <x:c r="D18" s="22" t="n">
        <x:f>COUNTIF('Questgruppen'!$M$5:$M$30,"SWISS_GUARD")+COUNTIF('Questgruppen'!$M$5:$M$30,"CONDOTTIERE")+COUNTIF('Questgruppen'!$M$5:$M$30,"SCULPTOR")+COUNTIF('Questgruppen'!$M$5:$M$30,"CLERIC")</x:f>
        <x:v>4</x:v>
      </x:c>
      <x:c r="E18" s="22" t="str">
        <x:f>IF(C18=D18,"OK","PRUEFEN")</x:f>
        <x:v>OK</x:v>
      </x:c>
      <x:c r="F18" s="22" t="str">
        <x:v>Je eine Quest pro Klasse</x:v>
      </x:c>
      <x:c r="G18" s="22" t="n">
        <x:f>D18-C18</x:f>
        <x:v>0</x:v>
      </x:c>
      <x:c r="H18" s="22" t="str">
        <x:v>Schweizergardist, Condottiere, Bildhauer, Kleriker.</x:v>
      </x:c>
    </x:row>
    <x:row r="19" ht="24" customHeight="1">
      <x:c r="A19" s="22" t="str">
        <x:v>Sicherheit</x:v>
      </x:c>
      <x:c r="B19" s="22" t="str">
        <x:v>Rote Pflichtstationen</x:v>
      </x:c>
      <x:c r="C19" s="22" t="n">
        <x:v>0</x:v>
      </x:c>
      <x:c r="D19" s="22" t="n">
        <x:f>SUM('Questgruppen'!$V$5:$V$30)</x:f>
        <x:v>0</x:v>
      </x:c>
      <x:c r="E19" s="22" t="str">
        <x:f>IF(C19=D19,"OK","PRUEFEN")</x:f>
        <x:v>OK</x:v>
      </x:c>
      <x:c r="F19" s="22" t="str">
        <x:v>Harter Ausschluss</x:v>
      </x:c>
      <x:c r="G19" s="22" t="n">
        <x:f>D19-C19</x:f>
        <x:v>0</x:v>
      </x:c>
      <x:c r="H19" s="22" t="str"/>
    </x:row>
    <x:row r="20" ht="24" customHeight="1">
      <x:c r="A20" s="23" t="str">
        <x:v>Dauer</x:v>
      </x:c>
      <x:c r="B20" s="23" t="str">
        <x:v>Plausibilitätscheck OK</x:v>
      </x:c>
      <x:c r="C20" s="23" t="n">
        <x:v>26</x:v>
      </x:c>
      <x:c r="D20" s="23" t="n">
        <x:f>COUNTIF('Questgruppen'!$S$5:$S$30,"OK")</x:f>
        <x:v>26</x:v>
      </x:c>
      <x:c r="E20" s="23" t="str">
        <x:f>IF(C20=D20,"OK","PRUEFEN")</x:f>
        <x:v>OK</x:v>
      </x:c>
      <x:c r="F20" s="23" t="str">
        <x:v>Gehzeit + Interaktion im Band</x:v>
      </x:c>
      <x:c r="G20" s="23" t="n">
        <x:f>D20-C20</x:f>
        <x:v>0</x:v>
      </x:c>
      <x:c r="H20" s="23" t="str">
        <x:v>Planungswert, kein Routing.</x:v>
      </x:c>
    </x:row>
    <x:row r="21">
      <x:c r="A21" s="65" t="str">
        <x:v>Unique Gegner</x:v>
      </x:c>
      <x:c r="B21" s="65" t="str">
        <x:v>Tag 1</x:v>
      </x:c>
      <x:c r="C21" s="65" t="n">
        <x:v>8</x:v>
      </x:c>
      <x:c r="D21" s="65" t="n">
        <x:f>COUNTIF('Unique Gegner'!$D$5:$D$16,"DAY_1")</x:f>
        <x:v>8</x:v>
      </x:c>
      <x:c r="E21" s="65" t="str">
        <x:f>IF(C21=D21,"OK","PRUEFEN")</x:f>
        <x:v>OK</x:v>
      </x:c>
      <x:c r="F21" s="65" t="str">
        <x:v>Eigenständige optionale Begegnungen</x:v>
      </x:c>
      <x:c r="G21" s="65" t="n">
        <x:f>D21-C21</x:f>
        <x:v>0</x:v>
      </x:c>
      <x:c r="H21" s="65" t="str">
        <x:v>Zählen weder zu regulären Quests noch Hidden Quests oder World Bosses.</x:v>
      </x:c>
    </x:row>
    <x:row r="22">
      <x:c r="A22" s="68" t="str">
        <x:v>Unique Gegner</x:v>
      </x:c>
      <x:c r="B22" s="68" t="str">
        <x:v>Tag 2</x:v>
      </x:c>
      <x:c r="C22" s="68" t="n">
        <x:v>4</x:v>
      </x:c>
      <x:c r="D22" s="68" t="n">
        <x:f>COUNTIF('Unique Gegner'!$D$5:$D$16,"DAY_2")</x:f>
        <x:v>4</x:v>
      </x:c>
      <x:c r="E22" s="68" t="str">
        <x:f>IF(C22=D22,"OK","PRUEFEN")</x:f>
        <x:v>OK</x:v>
      </x:c>
      <x:c r="F22" s="68" t="str">
        <x:v>Eigenständige optionale Begegnungen</x:v>
      </x:c>
      <x:c r="G22" s="68" t="n">
        <x:f>D22-C22</x:f>
        <x:v>0</x:v>
      </x:c>
      <x:c r="H22" s="68" t="str">
        <x:v>Rarität, Angriffsmuster und Stärke werden im Combat-Balancing festgelegt.</x:v>
      </x:c>
    </x:row>
  </x:sheetData>
  <x:mergeCells>
    <x:mergeCell ref="A1:H1"/>
    <x:mergeCell ref="A2:H2"/>
  </x:mergeCells>
  <x:conditionalFormatting sqref="E5:E20">
    <x:cfRule type="containsText" dxfId="14" priority="1" operator="containsText" text="OK"/>
    <x:cfRule type="containsText" dxfId="15" priority="2" operator="containsText" text="PRUEFEN"/>
  </x:conditionalFormatting>
  <x:conditionalFormatting sqref="E21:E22">
    <x:cfRule type="containsText" dxfId="22" priority="3" operator="containsText" text="OK"/>
    <x:cfRule type="containsText" dxfId="23" priority="4" operator="containsText" text="PRUEFEN"/>
  </x:conditionalFormatting>
  <x:pageMargins left="0.7" right="0.7" top="0.75" bottom="0.75" header="0.3" footer="0.3"/>
  <x:tableParts count="1">
    <x:tablePart xmlns:r="http://schemas.openxmlformats.org/officeDocument/2006/relationships" r:id="R787e5b733f13411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0" hidden="0" customWidth="1"/>
    <x:col min="4" max="4" width="28" hidden="0" customWidth="1"/>
    <x:col min="5" max="5" width="60" hidden="0" customWidth="1"/>
    <x:col min="6" max="6" width="8" hidden="0" customWidth="1"/>
    <x:col min="7" max="7" width="12" hidden="0" customWidth="1"/>
    <x:col min="8" max="8" width="8" hidden="0" customWidth="1"/>
    <x:col min="9" max="9" width="8" hidden="0" customWidth="1"/>
    <x:col min="10" max="10" width="24" hidden="0" customWidth="1"/>
    <x:col min="11" max="11" width="28" hidden="0" customWidth="1"/>
    <x:col min="12" max="12" width="24" hidden="0" customWidth="1"/>
    <x:col min="13" max="13" width="18" hidden="0" customWidth="1"/>
    <x:col min="14" max="14" width="28" hidden="0" customWidth="1"/>
    <x:col min="15" max="15" width="15" hidden="0" customWidth="1"/>
    <x:col min="16" max="16" width="14" hidden="0" customWidth="1"/>
    <x:col min="17" max="17" width="18" hidden="0" customWidth="1"/>
    <x:col min="18" max="18" width="15" hidden="0" customWidth="1"/>
    <x:col min="19" max="19" width="13" hidden="0" customWidth="1"/>
    <x:col min="20" max="20" width="8" hidden="0" customWidth="1"/>
    <x:col min="21" max="21" width="8" hidden="0" customWidth="1"/>
    <x:col min="22" max="22" width="8" hidden="0" customWidth="1"/>
    <x:col min="23" max="23" width="10" hidden="0" customWidth="1"/>
    <x:col min="24" max="24" width="10" hidden="0" customWidth="1"/>
    <x:col min="25" max="25" width="10" hidden="0" customWidth="1"/>
    <x:col min="26" max="26" width="10" hidden="0" customWidth="1"/>
    <x:col min="27" max="27" width="12" hidden="0" customWidth="1"/>
    <x:col min="28" max="28" width="13" hidden="0" customWidth="1"/>
    <x:col min="29" max="29" width="18" hidden="0" customWidth="1"/>
    <x:col min="30" max="30" width="50" hidden="0" customWidth="1"/>
    <x:col min="31" max="31" width="52" hidden="0" customWidth="1"/>
  </x:cols>
  <x:sheetData>
    <x:row r="1" ht="30" customHeight="1">
      <x:c r="A1" s="48" t="str">
        <x:v>Via Romae – 26 reguläre Questgruppen</x:v>
      </x:c>
      <x:c r="B1" s="48"/>
      <x:c r="C1" s="48"/>
      <x:c r="D1" s="48"/>
      <x:c r="E1" s="48"/>
      <x:c r="F1" s="48"/>
      <x:c r="G1" s="48"/>
      <x:c r="H1" s="48"/>
      <x:c r="I1" s="48"/>
      <x:c r="J1" s="48"/>
      <x:c r="K1" s="48"/>
      <x:c r="L1" s="48"/>
      <x:c r="M1" s="48"/>
      <x:c r="N1" s="48"/>
      <x:c r="O1" s="48"/>
      <x:c r="P1" s="48"/>
      <x:c r="Q1" s="48"/>
      <x:c r="R1" s="48"/>
      <x:c r="S1" s="48"/>
      <x:c r="T1" s="48"/>
      <x:c r="U1" s="48"/>
      <x:c r="V1" s="48"/>
      <x:c r="W1" s="48"/>
      <x:c r="X1" s="48"/>
      <x:c r="Y1" s="48"/>
      <x:c r="Z1" s="48"/>
      <x:c r="AA1" s="48"/>
      <x:c r="AB1" s="48"/>
      <x:c r="AC1" s="48"/>
      <x:c r="AD1" s="50"/>
      <x:c r="AE1" s="50"/>
    </x:row>
    <x:row r="2" ht="32" customHeight="1">
      <x:c r="A2" s="49" t="str">
        <x:v>16 Quests an Tag 1, 10 an Tag 2. Sechs Ein-Ort-Quests; alle roten Kandidaten ausgeschlossen.</x:v>
      </x:c>
      <x:c r="B2" s="49"/>
      <x:c r="C2" s="49"/>
      <x:c r="D2" s="49"/>
      <x:c r="E2" s="49"/>
      <x:c r="F2" s="49"/>
      <x:c r="G2" s="49"/>
      <x:c r="H2" s="49"/>
      <x:c r="I2" s="49"/>
      <x:c r="J2" s="49"/>
      <x:c r="K2" s="49"/>
      <x:c r="L2" s="49"/>
      <x:c r="M2" s="49"/>
      <x:c r="N2" s="49"/>
      <x:c r="O2" s="49"/>
      <x:c r="P2" s="49"/>
      <x:c r="Q2" s="49"/>
      <x:c r="R2" s="49"/>
      <x:c r="S2" s="49"/>
      <x:c r="T2" s="49"/>
      <x:c r="U2" s="49"/>
      <x:c r="V2" s="49"/>
      <x:c r="W2" s="49"/>
      <x:c r="X2" s="49"/>
      <x:c r="Y2" s="49"/>
      <x:c r="Z2" s="49"/>
      <x:c r="AA2" s="49"/>
      <x:c r="AB2" s="49"/>
      <x:c r="AC2" s="49"/>
      <x:c r="AD2" s="50"/>
      <x:c r="AE2" s="50"/>
    </x:row>
    <x:row r="3">
      <x:c r="A3" s="50"/>
      <x:c r="B3" s="50"/>
      <x:c r="C3" s="50"/>
      <x:c r="D3" s="50"/>
      <x:c r="E3" s="50"/>
      <x:c r="F3" s="50"/>
      <x:c r="G3" s="50"/>
      <x:c r="H3" s="50"/>
      <x:c r="I3" s="50"/>
      <x:c r="J3" s="50"/>
      <x:c r="K3" s="50"/>
      <x:c r="L3" s="50"/>
      <x:c r="M3" s="50"/>
      <x:c r="N3" s="50"/>
      <x:c r="O3" s="50"/>
      <x:c r="P3" s="50"/>
      <x:c r="Q3" s="50"/>
      <x:c r="R3" s="50"/>
      <x:c r="S3" s="50"/>
      <x:c r="T3" s="50"/>
      <x:c r="U3" s="50"/>
      <x:c r="V3" s="50"/>
      <x:c r="W3" s="50"/>
      <x:c r="X3" s="50"/>
      <x:c r="Y3" s="50"/>
      <x:c r="Z3" s="50"/>
      <x:c r="AA3" s="50"/>
      <x:c r="AB3" s="50"/>
      <x:c r="AC3" s="50"/>
      <x:c r="AD3" s="50"/>
      <x:c r="AE3" s="50"/>
    </x:row>
    <x:row r="4">
      <x:c r="A4" s="51" t="str">
        <x:v>Nr.</x:v>
      </x:c>
      <x:c r="B4" s="51" t="str">
        <x:v>Quest-ID</x:v>
      </x:c>
      <x:c r="C4" s="51" t="str">
        <x:v>Tag</x:v>
      </x:c>
      <x:c r="D4" s="51" t="str">
        <x:v>Arbeitstitel</x:v>
      </x:c>
      <x:c r="E4" s="51" t="str">
        <x:v>Orte in Reihenfolge</x:v>
      </x:c>
      <x:c r="F4" s="51" t="str">
        <x:v>Orte</x:v>
      </x:c>
      <x:c r="G4" s="51" t="str">
        <x:v>Dauerklasse</x:v>
      </x:c>
      <x:c r="H4" s="51" t="str">
        <x:v>Min</x:v>
      </x:c>
      <x:c r="I4" s="51" t="str">
        <x:v>Max</x:v>
      </x:c>
      <x:c r="J4" s="51" t="str">
        <x:v>Hauptmechanik</x:v>
      </x:c>
      <x:c r="K4" s="51" t="str">
        <x:v>Thema</x:v>
      </x:c>
      <x:c r="L4" s="51" t="str">
        <x:v>Epoche</x:v>
      </x:c>
      <x:c r="M4" s="51" t="str">
        <x:v>Klassenanker</x:v>
      </x:c>
      <x:c r="N4" s="51" t="str">
        <x:v>Gegner / Begegnung</x:v>
      </x:c>
      <x:c r="O4" s="51" t="str">
        <x:v>Gehstrecke (m)</x:v>
      </x:c>
      <x:c r="P4" s="51" t="str">
        <x:v>Gehminuten</x:v>
      </x:c>
      <x:c r="Q4" s="51" t="str">
        <x:v>Interaktionsminuten</x:v>
      </x:c>
      <x:c r="R4" s="51" t="str">
        <x:v>Gesamtminuten</x:v>
      </x:c>
      <x:c r="S4" s="51" t="str">
        <x:v>Dauercheck</x:v>
      </x:c>
      <x:c r="T4" s="51" t="str">
        <x:v>Grün</x:v>
      </x:c>
      <x:c r="U4" s="51" t="str">
        <x:v>Gelb</x:v>
      </x:c>
      <x:c r="V4" s="51" t="str">
        <x:v>Rot</x:v>
      </x:c>
      <x:c r="W4" s="51" t="str">
        <x:v>Route</x:v>
      </x:c>
      <x:c r="X4" s="51" t="str">
        <x:v>Narrativ</x:v>
      </x:c>
      <x:c r="Y4" s="51" t="str">
        <x:v>Hinweis</x:v>
      </x:c>
      <x:c r="Z4" s="51" t="str">
        <x:v>Zugang</x:v>
      </x:c>
      <x:c r="AA4" s="51" t="str">
        <x:v>Mechanikfit</x:v>
      </x:c>
      <x:c r="AB4" s="51" t="str">
        <x:v>Gesamtscore</x:v>
      </x:c>
      <x:c r="AC4" s="51" t="str">
        <x:v>Empfehlung</x:v>
      </x:c>
      <x:c r="AD4" s="51" t="str">
        <x:v>Hauptrisiko</x:v>
      </x:c>
      <x:c r="AE4" s="51" t="str">
        <x:v>Fallback</x:v>
      </x:c>
    </x:row>
    <x:row r="5" ht="42" customHeight="1">
      <x:c r="A5" s="21" t="n">
        <x:v>1</x:v>
      </x:c>
      <x:c r="B5" s="21" t="str">
        <x:v>D1-Q01</x:v>
      </x:c>
      <x:c r="C5" s="21" t="str">
        <x:v>DAY_1</x:v>
      </x:c>
      <x:c r="D5" s="21" t="str">
        <x:v>Der Fluchtkorridor</x:v>
      </x:c>
      <x:c r="E5" s="21" t="str">
        <x:v>Petersplatz → Passetto di Borgo → Engelsburg</x:v>
      </x:c>
      <x:c r="F5" s="21" t="n">
        <x:f>COUNTIF('Ortszuordnung'!$A$5:$A$85,B5)</x:f>
        <x:v>3</x:v>
      </x:c>
      <x:c r="G5" s="21" t="str">
        <x:v>25–35</x:v>
      </x:c>
      <x:c r="H5" s="21" t="n">
        <x:v>25</x:v>
      </x:c>
      <x:c r="I5" s="21" t="n">
        <x:v>35</x:v>
      </x:c>
      <x:c r="J5" s="21" t="str">
        <x:v>DIALOG_ENTSCHEIDUNG</x:v>
      </x:c>
      <x:c r="K5" s="21" t="str">
        <x:v>Sacco di Roma, päpstlicher Schutz</x:v>
      </x:c>
      <x:c r="L5" s="21" t="str">
        <x:v>RENAISSANCE</x:v>
      </x:c>
      <x:c r="M5" s="21" t="str">
        <x:v>SWISS_GUARD</x:v>
      </x:c>
      <x:c r="N5" s="21" t="str">
        <x:v>Schatten des Passetto</x:v>
      </x:c>
      <x:c r="O5" s="21" t="n">
        <x:f>SUMIF('Ortszuordnung'!$A$5:$A$85,B5,'Ortszuordnung'!$S$5:$S$85)</x:f>
        <x:v>1015</x:v>
      </x:c>
      <x:c r="P5" s="21" t="n">
        <x:f>ROUND(O5/'Kriterien'!$B$5,0)</x:f>
        <x:v>14</x:v>
      </x:c>
      <x:c r="Q5" s="21" t="n">
        <x:v>18</x:v>
      </x:c>
      <x:c r="R5" s="21" t="n">
        <x:f>P5+Q5</x:f>
        <x:v>32</x:v>
      </x:c>
      <x:c r="S5" s="21" t="str">
        <x:f>IF(AND(R5&gt;=H5,R5&lt;=I5),"OK",IF(R5&lt;H5,"ZU_KURZ","ZU_LANG"))</x:f>
        <x:v>OK</x:v>
      </x:c>
      <x:c r="T5" s="21" t="n">
        <x:f>COUNTIFS('Ortszuordnung'!$A$5:$A$85,B5,'Ortszuordnung'!$K$5:$K$85,"GRUEN")</x:f>
        <x:v>2</x:v>
      </x:c>
      <x:c r="U5" s="21" t="n">
        <x:f>COUNTIFS('Ortszuordnung'!$A$5:$A$85,B5,'Ortszuordnung'!$K$5:$K$85,"GELB")</x:f>
        <x:v>1</x:v>
      </x:c>
      <x:c r="V5" s="21" t="n">
        <x:f>COUNTIFS('Ortszuordnung'!$A$5:$A$85,B5,'Ortszuordnung'!$K$5:$K$85,"ROT")</x:f>
        <x:v>0</x:v>
      </x:c>
      <x:c r="W5" s="30" t="n">
        <x:v>4.2</x:v>
      </x:c>
      <x:c r="X5" s="30" t="n">
        <x:v>5</x:v>
      </x:c>
      <x:c r="Y5" s="30" t="n">
        <x:v>3.8</x:v>
      </x:c>
      <x:c r="Z5" s="30" t="n">
        <x:v>3.4</x:v>
      </x:c>
      <x:c r="AA5" s="30" t="n">
        <x:v>4.8</x:v>
      </x:c>
      <x:c r="AB5" s="30" t="n">
        <x:f>ROUND(W5*'Kriterien'!$B$7+X5*'Kriterien'!$B$8+Y5*'Kriterien'!$B$9+Z5*'Kriterien'!$B$10+AA5*'Kriterien'!$B$11,1)</x:f>
        <x:v>4.3</x:v>
      </x:c>
      <x:c r="AC5" s="21" t="str">
        <x:f>IF(V5&gt;0,"NICHT_EMPFOHLEN",IF(AB5&gt;=4.2,"SEHR_GUT",IF(AB5&gt;=3.6,"GUT",IF(AB5&gt;=3,"BEDINGT","NICHT_EMPFOHLEN"))))</x:f>
        <x:v>SEHR_GUT</x:v>
      </x:c>
      <x:c r="AD5" s="21" t="str">
        <x:v>Petersplatz: Menschenmenge und aktuelle Sicht der Bodenmarkierung.</x:v>
      </x:c>
      <x:c r="AE5" s="21" t="str">
        <x:v>Bei unklarer Bodenmarkierung startet die Quest am Passetto mit dessen Mauerverlauf.</x:v>
      </x:c>
    </x:row>
    <x:row r="6" ht="42" customHeight="1">
      <x:c r="A6" s="22" t="n">
        <x:v>2</x:v>
      </x:c>
      <x:c r="B6" s="22" t="str">
        <x:v>D1-Q02</x:v>
      </x:c>
      <x:c r="C6" s="22" t="str">
        <x:v>DAY_1</x:v>
      </x:c>
      <x:c r="D6" s="22" t="str">
        <x:v>Tore des Borgo</x:v>
      </x:c>
      <x:c r="E6" s="22" t="str">
        <x:v>St.-Pellegrino-Tor → Porta Cavalleggeri → Porta Santo Spirito</x:v>
      </x:c>
      <x:c r="F6" s="22" t="n">
        <x:f>COUNTIF('Ortszuordnung'!$A$5:$A$85,B6)</x:f>
        <x:v>3</x:v>
      </x:c>
      <x:c r="G6" s="22" t="str">
        <x:v>25–35</x:v>
      </x:c>
      <x:c r="H6" s="22" t="n">
        <x:v>25</x:v>
      </x:c>
      <x:c r="I6" s="22" t="n">
        <x:v>35</x:v>
      </x:c>
      <x:c r="J6" s="22" t="str">
        <x:v>KAMPF</x:v>
      </x:c>
      <x:c r="K6" s="22" t="str">
        <x:v>Befestigung, päpstliche Macht</x:v>
      </x:c>
      <x:c r="L6" s="22" t="str">
        <x:v>RENAISSANCE</x:v>
      </x:c>
      <x:c r="M6" s="22" t="str">
        <x:v>CONDOTTIERE</x:v>
      </x:c>
      <x:c r="N6" s="22" t="str">
        <x:v>Cavalleggero Pontificio</x:v>
      </x:c>
      <x:c r="O6" s="22" t="n">
        <x:f>SUMIF('Ortszuordnung'!$A$5:$A$85,B6,'Ortszuordnung'!$S$5:$S$85)</x:f>
        <x:v>970</x:v>
      </x:c>
      <x:c r="P6" s="22" t="n">
        <x:f>ROUND(O6/'Kriterien'!$B$5,0)</x:f>
        <x:v>13</x:v>
      </x:c>
      <x:c r="Q6" s="22" t="n">
        <x:v>18</x:v>
      </x:c>
      <x:c r="R6" s="22" t="n">
        <x:f>P6+Q6</x:f>
        <x:v>31</x:v>
      </x:c>
      <x:c r="S6" s="22" t="str">
        <x:f>IF(AND(R6&gt;=H6,R6&lt;=I6),"OK",IF(R6&lt;H6,"ZU_KURZ","ZU_LANG"))</x:f>
        <x:v>OK</x:v>
      </x:c>
      <x:c r="T6" s="22" t="n">
        <x:f>COUNTIFS('Ortszuordnung'!$A$5:$A$85,B6,'Ortszuordnung'!$K$5:$K$85,"GRUEN")</x:f>
        <x:v>1</x:v>
      </x:c>
      <x:c r="U6" s="22" t="n">
        <x:f>COUNTIFS('Ortszuordnung'!$A$5:$A$85,B6,'Ortszuordnung'!$K$5:$K$85,"GELB")</x:f>
        <x:v>2</x:v>
      </x:c>
      <x:c r="V6" s="22" t="n">
        <x:f>COUNTIFS('Ortszuordnung'!$A$5:$A$85,B6,'Ortszuordnung'!$K$5:$K$85,"ROT")</x:f>
        <x:v>0</x:v>
      </x:c>
      <x:c r="W6" s="31" t="n">
        <x:v>3.8</x:v>
      </x:c>
      <x:c r="X6" s="31" t="n">
        <x:v>4.6</x:v>
      </x:c>
      <x:c r="Y6" s="31" t="n">
        <x:v>3.2</x:v>
      </x:c>
      <x:c r="Z6" s="31" t="n">
        <x:v>3.3</x:v>
      </x:c>
      <x:c r="AA6" s="31" t="n">
        <x:v>4.7</x:v>
      </x:c>
      <x:c r="AB6" s="31" t="n">
        <x:f>ROUND(W6*'Kriterien'!$B$7+X6*'Kriterien'!$B$8+Y6*'Kriterien'!$B$9+Z6*'Kriterien'!$B$10+AA6*'Kriterien'!$B$11,1)</x:f>
        <x:v>3.9</x:v>
      </x:c>
      <x:c r="AC6" s="22" t="str">
        <x:f>IF(V6&gt;0,"NICHT_EMPFOHLEN",IF(AB6&gt;=4.2,"SEHR_GUT",IF(AB6&gt;=3.6,"GUT",IF(AB6&gt;=3,"BEDINGT","NICHT_EMPFOHLEN"))))</x:f>
        <x:v>GUT</x:v>
      </x:c>
      <x:c r="AD6" s="22" t="str">
        <x:v>Zwei Hinweise sind relativ klein; Cavalleggeri ist nur als Mauerrest erhalten.</x:v>
      </x:c>
      <x:c r="AE6" s="22" t="str">
        <x:v>Wenn Porta Cavalleggeri nicht eindeutig ist, endet die Quest an Porta Santo Spirito.</x:v>
      </x:c>
    </x:row>
    <x:row r="7" ht="42" customHeight="1">
      <x:c r="A7" s="22" t="n">
        <x:v>3</x:v>
      </x:c>
      <x:c r="B7" s="22" t="str">
        <x:v>D1-Q03</x:v>
      </x:c>
      <x:c r="C7" s="22" t="str">
        <x:v>DAY_1</x:v>
      </x:c>
      <x:c r="D7" s="22" t="str">
        <x:v>Der Dreizack</x:v>
      </x:c>
      <x:c r="E7" s="22" t="str">
        <x:v>Piazza del Popolo → Obelisco Flaminio → Porta del Popolo</x:v>
      </x:c>
      <x:c r="F7" s="22" t="n">
        <x:f>COUNTIF('Ortszuordnung'!$A$5:$A$85,B7)</x:f>
        <x:v>3</x:v>
      </x:c>
      <x:c r="G7" s="22" t="str">
        <x:v>15–25</x:v>
      </x:c>
      <x:c r="H7" s="22" t="n">
        <x:v>15</x:v>
      </x:c>
      <x:c r="I7" s="22" t="n">
        <x:v>25</x:v>
      </x:c>
      <x:c r="J7" s="22" t="str">
        <x:v>BEOBACHTUNG_SUCHE</x:v>
      </x:c>
      <x:c r="K7" s="22" t="str">
        <x:v>Stadteingang und Stadtplanung</x:v>
      </x:c>
      <x:c r="L7" s="22" t="str">
        <x:v>ANTIKE_BIS_NEUZEIT</x:v>
      </x:c>
      <x:c r="M7" s="22" t="str"/>
      <x:c r="N7" s="22" t="str"/>
      <x:c r="O7" s="22" t="n">
        <x:f>SUMIF('Ortszuordnung'!$A$5:$A$85,B7,'Ortszuordnung'!$S$5:$S$85)</x:f>
        <x:v>125</x:v>
      </x:c>
      <x:c r="P7" s="22" t="n">
        <x:f>ROUND(O7/'Kriterien'!$B$5,0)</x:f>
        <x:v>2</x:v>
      </x:c>
      <x:c r="Q7" s="22" t="n">
        <x:v>15</x:v>
      </x:c>
      <x:c r="R7" s="22" t="n">
        <x:f>P7+Q7</x:f>
        <x:v>17</x:v>
      </x:c>
      <x:c r="S7" s="22" t="str">
        <x:f>IF(AND(R7&gt;=H7,R7&lt;=I7),"OK",IF(R7&lt;H7,"ZU_KURZ","ZU_LANG"))</x:f>
        <x:v>OK</x:v>
      </x:c>
      <x:c r="T7" s="22" t="n">
        <x:f>COUNTIFS('Ortszuordnung'!$A$5:$A$85,B7,'Ortszuordnung'!$K$5:$K$85,"GRUEN")</x:f>
        <x:v>3</x:v>
      </x:c>
      <x:c r="U7" s="22" t="n">
        <x:f>COUNTIFS('Ortszuordnung'!$A$5:$A$85,B7,'Ortszuordnung'!$K$5:$K$85,"GELB")</x:f>
        <x:v>0</x:v>
      </x:c>
      <x:c r="V7" s="22" t="n">
        <x:f>COUNTIFS('Ortszuordnung'!$A$5:$A$85,B7,'Ortszuordnung'!$K$5:$K$85,"ROT")</x:f>
        <x:v>0</x:v>
      </x:c>
      <x:c r="W7" s="31" t="n">
        <x:v>5</x:v>
      </x:c>
      <x:c r="X7" s="31" t="n">
        <x:v>4.5</x:v>
      </x:c>
      <x:c r="Y7" s="31" t="n">
        <x:v>4.8</x:v>
      </x:c>
      <x:c r="Z7" s="31" t="n">
        <x:v>4.2</x:v>
      </x:c>
      <x:c r="AA7" s="31" t="n">
        <x:v>4.8</x:v>
      </x:c>
      <x:c r="AB7" s="31" t="n">
        <x:f>ROUND(W7*'Kriterien'!$B$7+X7*'Kriterien'!$B$8+Y7*'Kriterien'!$B$9+Z7*'Kriterien'!$B$10+AA7*'Kriterien'!$B$11,1)</x:f>
        <x:v>4.7</x:v>
      </x:c>
      <x:c r="AC7" s="22" t="str">
        <x:f>IF(V7&gt;0,"NICHT_EMPFOHLEN",IF(AB7&gt;=4.2,"SEHR_GUT",IF(AB7&gt;=3.6,"GUT",IF(AB7&gt;=3,"BEDINGT","NICHT_EMPFOHLEN"))))</x:f>
        <x:v>SEHR_GUT</x:v>
      </x:c>
      <x:c r="AD7" s="22" t="str">
        <x:v>Hohe Besucherzahl, aber alle Hinweise sind groß.</x:v>
      </x:c>
      <x:c r="AE7" s="22" t="str">
        <x:v>Bei dichter Menschenmenge nur Silhouetten und Großformen verwenden.</x:v>
      </x:c>
    </x:row>
    <x:row r="8" ht="42" customHeight="1">
      <x:c r="A8" s="22" t="n">
        <x:v>4</x:v>
      </x:c>
      <x:c r="B8" s="22" t="str">
        <x:v>D1-Q04</x:v>
      </x:c>
      <x:c r="C8" s="22" t="str">
        <x:v>DAY_1</x:v>
      </x:c>
      <x:c r="D8" s="22" t="str">
        <x:v>Antinoos über Rom</x:v>
      </x:c>
      <x:c r="E8" s="22" t="str">
        <x:v>Obelisco di Antinoo → Fontana della Dea di Roma → Balconata del Pincio</x:v>
      </x:c>
      <x:c r="F8" s="22" t="n">
        <x:f>COUNTIF('Ortszuordnung'!$A$5:$A$85,B8)</x:f>
        <x:v>3</x:v>
      </x:c>
      <x:c r="G8" s="22" t="str">
        <x:v>15–25</x:v>
      </x:c>
      <x:c r="H8" s="22" t="n">
        <x:v>15</x:v>
      </x:c>
      <x:c r="I8" s="22" t="n">
        <x:v>25</x:v>
      </x:c>
      <x:c r="J8" s="22" t="str">
        <x:v>KAMPF</x:v>
      </x:c>
      <x:c r="K8" s="22" t="str">
        <x:v>Antinoos, Romulus und Remus, Pincio</x:v>
      </x:c>
      <x:c r="L8" s="22" t="str">
        <x:v>ANTIKE_REZEPTION</x:v>
      </x:c>
      <x:c r="M8" s="22" t="str"/>
      <x:c r="N8" s="22" t="str">
        <x:v>Ombra di Antinoo</x:v>
      </x:c>
      <x:c r="O8" s="22" t="n">
        <x:f>SUMIF('Ortszuordnung'!$A$5:$A$85,B8,'Ortszuordnung'!$S$5:$S$85)</x:f>
        <x:v>347</x:v>
      </x:c>
      <x:c r="P8" s="22" t="n">
        <x:f>ROUND(O8/'Kriterien'!$B$5,0)</x:f>
        <x:v>5</x:v>
      </x:c>
      <x:c r="Q8" s="22" t="n">
        <x:v>15</x:v>
      </x:c>
      <x:c r="R8" s="22" t="n">
        <x:f>P8+Q8</x:f>
        <x:v>20</x:v>
      </x:c>
      <x:c r="S8" s="22" t="str">
        <x:f>IF(AND(R8&gt;=H8,R8&lt;=I8),"OK",IF(R8&lt;H8,"ZU_KURZ","ZU_LANG"))</x:f>
        <x:v>OK</x:v>
      </x:c>
      <x:c r="T8" s="22" t="n">
        <x:f>COUNTIFS('Ortszuordnung'!$A$5:$A$85,B8,'Ortszuordnung'!$K$5:$K$85,"GRUEN")</x:f>
        <x:v>3</x:v>
      </x:c>
      <x:c r="U8" s="22" t="n">
        <x:f>COUNTIFS('Ortszuordnung'!$A$5:$A$85,B8,'Ortszuordnung'!$K$5:$K$85,"GELB")</x:f>
        <x:v>0</x:v>
      </x:c>
      <x:c r="V8" s="22" t="n">
        <x:f>COUNTIFS('Ortszuordnung'!$A$5:$A$85,B8,'Ortszuordnung'!$K$5:$K$85,"ROT")</x:f>
        <x:v>0</x:v>
      </x:c>
      <x:c r="W8" s="31" t="n">
        <x:v>4.8</x:v>
      </x:c>
      <x:c r="X8" s="31" t="n">
        <x:v>4.5</x:v>
      </x:c>
      <x:c r="Y8" s="31" t="n">
        <x:v>4.5</x:v>
      </x:c>
      <x:c r="Z8" s="31" t="n">
        <x:v>4</x:v>
      </x:c>
      <x:c r="AA8" s="31" t="n">
        <x:v>4.7</x:v>
      </x:c>
      <x:c r="AB8" s="31" t="n">
        <x:f>ROUND(W8*'Kriterien'!$B$7+X8*'Kriterien'!$B$8+Y8*'Kriterien'!$B$9+Z8*'Kriterien'!$B$10+AA8*'Kriterien'!$B$11,1)</x:f>
        <x:v>4.5</x:v>
      </x:c>
      <x:c r="AC8" s="22" t="str">
        <x:f>IF(V8&gt;0,"NICHT_EMPFOHLEN",IF(AB8&gt;=4.2,"SEHR_GUT",IF(AB8&gt;=3.6,"GUT",IF(AB8&gt;=3,"BEDINGT","NICHT_EMPFOHLEN"))))</x:f>
        <x:v>SEHR_GUT</x:v>
      </x:c>
      <x:c r="AD8" s="22" t="str">
        <x:v>Parkzugang und Tageszeit beachten.</x:v>
      </x:c>
      <x:c r="AE8" s="22" t="str">
        <x:v>Bei gesperrtem Pincio wird die Quest deaktiviert; kein entfernter Ersatzpunkt.</x:v>
      </x:c>
    </x:row>
    <x:row r="9" ht="42" customHeight="1">
      <x:c r="A9" s="22" t="n">
        <x:v>5</x:v>
      </x:c>
      <x:c r="B9" s="22" t="str">
        <x:v>D1-Q05</x:v>
      </x:c>
      <x:c r="C9" s="22" t="str">
        <x:v>DAY_1</x:v>
      </x:c>
      <x:c r="D9" s="22" t="str">
        <x:v>Die steinerne Barke</x:v>
      </x:c>
      <x:c r="E9" s="22" t="str">
        <x:v>Spanischer Platz</x:v>
      </x:c>
      <x:c r="F9" s="22" t="n">
        <x:f>COUNTIF('Ortszuordnung'!$A$5:$A$85,B9)</x:f>
        <x:v>1</x:v>
      </x:c>
      <x:c r="G9" s="22" t="str">
        <x:v>5–15</x:v>
      </x:c>
      <x:c r="H9" s="22" t="n">
        <x:v>5</x:v>
      </x:c>
      <x:c r="I9" s="22" t="n">
        <x:v>15</x:v>
      </x:c>
      <x:c r="J9" s="22" t="str">
        <x:v>BEOBACHTUNG_SUCHE</x:v>
      </x:c>
      <x:c r="K9" s="22" t="str">
        <x:v>Barocke Stadtinszenierung</x:v>
      </x:c>
      <x:c r="L9" s="22" t="str">
        <x:v>BAROCK</x:v>
      </x:c>
      <x:c r="M9" s="22" t="str"/>
      <x:c r="N9" s="22" t="str"/>
      <x:c r="O9" s="22" t="n">
        <x:f>SUMIF('Ortszuordnung'!$A$5:$A$85,B9,'Ortszuordnung'!$S$5:$S$85)</x:f>
        <x:v>0</x:v>
      </x:c>
      <x:c r="P9" s="22" t="n">
        <x:f>ROUND(O9/'Kriterien'!$B$5,0)</x:f>
        <x:v>0</x:v>
      </x:c>
      <x:c r="Q9" s="22" t="n">
        <x:v>8</x:v>
      </x:c>
      <x:c r="R9" s="22" t="n">
        <x:f>P9+Q9</x:f>
        <x:v>8</x:v>
      </x:c>
      <x:c r="S9" s="22" t="str">
        <x:f>IF(AND(R9&gt;=H9,R9&lt;=I9),"OK",IF(R9&lt;H9,"ZU_KURZ","ZU_LANG"))</x:f>
        <x:v>OK</x:v>
      </x:c>
      <x:c r="T9" s="22" t="n">
        <x:f>COUNTIFS('Ortszuordnung'!$A$5:$A$85,B9,'Ortszuordnung'!$K$5:$K$85,"GRUEN")</x:f>
        <x:v>1</x:v>
      </x:c>
      <x:c r="U9" s="22" t="n">
        <x:f>COUNTIFS('Ortszuordnung'!$A$5:$A$85,B9,'Ortszuordnung'!$K$5:$K$85,"GELB")</x:f>
        <x:v>0</x:v>
      </x:c>
      <x:c r="V9" s="22" t="n">
        <x:f>COUNTIFS('Ortszuordnung'!$A$5:$A$85,B9,'Ortszuordnung'!$K$5:$K$85,"ROT")</x:f>
        <x:v>0</x:v>
      </x:c>
      <x:c r="W9" s="31" t="n">
        <x:v>5</x:v>
      </x:c>
      <x:c r="X9" s="31" t="n">
        <x:v>4</x:v>
      </x:c>
      <x:c r="Y9" s="31" t="n">
        <x:v>4.2</x:v>
      </x:c>
      <x:c r="Z9" s="31" t="n">
        <x:v>3</x:v>
      </x:c>
      <x:c r="AA9" s="31" t="n">
        <x:v>4.4</x:v>
      </x:c>
      <x:c r="AB9" s="31" t="n">
        <x:f>ROUND(W9*'Kriterien'!$B$7+X9*'Kriterien'!$B$8+Y9*'Kriterien'!$B$9+Z9*'Kriterien'!$B$10+AA9*'Kriterien'!$B$11,1)</x:f>
        <x:v>4.2</x:v>
      </x:c>
      <x:c r="AC9" s="22" t="str">
        <x:f>IF(V9&gt;0,"NICHT_EMPFOHLEN",IF(AB9&gt;=4.2,"SEHR_GUT",IF(AB9&gt;=3.6,"GUT",IF(AB9&gt;=3,"BEDINGT","NICHT_EMPFOHLEN"))))</x:f>
        <x:v>SEHR_GUT</x:v>
      </x:c>
      <x:c r="AD9" s="22" t="str">
        <x:v>Extreme Menschenmenge; nur die große Bootsform ist robust.</x:v>
      </x:c>
      <x:c r="AE9" s="22" t="str">
        <x:v>Fallback ist die Richtung der großen Treppe zu Trinità dei Monti.</x:v>
      </x:c>
    </x:row>
    <x:row r="10" ht="42" customHeight="1">
      <x:c r="A10" s="22" t="n">
        <x:v>6</x:v>
      </x:c>
      <x:c r="B10" s="22" t="str">
        <x:v>D1-Q06</x:v>
      </x:c>
      <x:c r="C10" s="22" t="str">
        <x:v>DAY_1</x:v>
      </x:c>
      <x:c r="D10" s="22" t="str">
        <x:v>Berninis Werkstatt</x:v>
      </x:c>
      <x:c r="E10" s="22" t="str">
        <x:v>Piazza Navona → Neptunsbrunnen → Mohrenbrunnen</x:v>
      </x:c>
      <x:c r="F10" s="22" t="n">
        <x:f>COUNTIF('Ortszuordnung'!$A$5:$A$85,B10)</x:f>
        <x:v>3</x:v>
      </x:c>
      <x:c r="G10" s="22" t="str">
        <x:v>15–25</x:v>
      </x:c>
      <x:c r="H10" s="22" t="n">
        <x:v>15</x:v>
      </x:c>
      <x:c r="I10" s="22" t="n">
        <x:v>25</x:v>
      </x:c>
      <x:c r="J10" s="22" t="str">
        <x:v>ZUORDNUNG_REIHENFOLGE</x:v>
      </x:c>
      <x:c r="K10" s="22" t="str">
        <x:v>Bildhauerei und barocke Platzdramaturgie</x:v>
      </x:c>
      <x:c r="L10" s="22" t="str">
        <x:v>BAROCK</x:v>
      </x:c>
      <x:c r="M10" s="22" t="str">
        <x:v>SCULPTOR</x:v>
      </x:c>
      <x:c r="N10" s="22" t="str"/>
      <x:c r="O10" s="22" t="n">
        <x:f>SUMIF('Ortszuordnung'!$A$5:$A$85,B10,'Ortszuordnung'!$S$5:$S$85)</x:f>
        <x:v>355</x:v>
      </x:c>
      <x:c r="P10" s="22" t="n">
        <x:f>ROUND(O10/'Kriterien'!$B$5,0)</x:f>
        <x:v>5</x:v>
      </x:c>
      <x:c r="Q10" s="22" t="n">
        <x:v>18</x:v>
      </x:c>
      <x:c r="R10" s="22" t="n">
        <x:f>P10+Q10</x:f>
        <x:v>23</x:v>
      </x:c>
      <x:c r="S10" s="22" t="str">
        <x:f>IF(AND(R10&gt;=H10,R10&lt;=I10),"OK",IF(R10&lt;H10,"ZU_KURZ","ZU_LANG"))</x:f>
        <x:v>OK</x:v>
      </x:c>
      <x:c r="T10" s="22" t="n">
        <x:f>COUNTIFS('Ortszuordnung'!$A$5:$A$85,B10,'Ortszuordnung'!$K$5:$K$85,"GRUEN")</x:f>
        <x:v>3</x:v>
      </x:c>
      <x:c r="U10" s="22" t="n">
        <x:f>COUNTIFS('Ortszuordnung'!$A$5:$A$85,B10,'Ortszuordnung'!$K$5:$K$85,"GELB")</x:f>
        <x:v>0</x:v>
      </x:c>
      <x:c r="V10" s="22" t="n">
        <x:f>COUNTIFS('Ortszuordnung'!$A$5:$A$85,B10,'Ortszuordnung'!$K$5:$K$85,"ROT")</x:f>
        <x:v>0</x:v>
      </x:c>
      <x:c r="W10" s="31" t="n">
        <x:v>5</x:v>
      </x:c>
      <x:c r="X10" s="31" t="n">
        <x:v>5</x:v>
      </x:c>
      <x:c r="Y10" s="31" t="n">
        <x:v>4.5</x:v>
      </x:c>
      <x:c r="Z10" s="31" t="n">
        <x:v>3.4</x:v>
      </x:c>
      <x:c r="AA10" s="31" t="n">
        <x:v>5</x:v>
      </x:c>
      <x:c r="AB10" s="31" t="n">
        <x:f>ROUND(W10*'Kriterien'!$B$7+X10*'Kriterien'!$B$8+Y10*'Kriterien'!$B$9+Z10*'Kriterien'!$B$10+AA10*'Kriterien'!$B$11,1)</x:f>
        <x:v>4.6</x:v>
      </x:c>
      <x:c r="AC10" s="22" t="str">
        <x:f>IF(V10&gt;0,"NICHT_EMPFOHLEN",IF(AB10&gt;=4.2,"SEHR_GUT",IF(AB10&gt;=3.6,"GUT",IF(AB10&gt;=3,"BEDINGT","NICHT_EMPFOHLEN"))))</x:f>
        <x:v>SEHR_GUT</x:v>
      </x:c>
      <x:c r="AD10" s="22" t="str">
        <x:v>Menschenmenge; nur große Figurenattribute verwenden.</x:v>
      </x:c>
      <x:c r="AE10" s="22" t="str">
        <x:v>Fallback: Zahl und Lage der drei Brunnen statt einzelner Figurendetails.</x:v>
      </x:c>
    </x:row>
    <x:row r="11" ht="42" customHeight="1">
      <x:c r="A11" s="22" t="n">
        <x:v>7</x:v>
      </x:c>
      <x:c r="B11" s="22" t="str">
        <x:v>D1-Q07</x:v>
      </x:c>
      <x:c r="C11" s="22" t="str">
        <x:v>DAY_1</x:v>
      </x:c>
      <x:c r="D11" s="22" t="str">
        <x:v>Agrippas Zeichen</x:v>
      </x:c>
      <x:c r="E11" s="22" t="str">
        <x:v>Pantheon → Obelisco Macuteo</x:v>
      </x:c>
      <x:c r="F11" s="22" t="n">
        <x:f>COUNTIF('Ortszuordnung'!$A$5:$A$85,B11)</x:f>
        <x:v>2</x:v>
      </x:c>
      <x:c r="G11" s="22" t="str">
        <x:v>5–15</x:v>
      </x:c>
      <x:c r="H11" s="22" t="n">
        <x:v>5</x:v>
      </x:c>
      <x:c r="I11" s="22" t="n">
        <x:v>15</x:v>
      </x:c>
      <x:c r="J11" s="22" t="str">
        <x:v>KURZTEXT_RAETSEL</x:v>
      </x:c>
      <x:c r="K11" s="22" t="str">
        <x:v>Pantheon und ägyptische Wiederverwendung</x:v>
      </x:c>
      <x:c r="L11" s="22" t="str">
        <x:v>ANTIKE_UND_PAEPSTLICHES_ROM</x:v>
      </x:c>
      <x:c r="M11" s="22" t="str"/>
      <x:c r="N11" s="22" t="str">
        <x:v>Mummia dell’Iseo</x:v>
      </x:c>
      <x:c r="O11" s="22" t="n">
        <x:f>SUMIF('Ortszuordnung'!$A$5:$A$85,B11,'Ortszuordnung'!$S$5:$S$85)</x:f>
        <x:v>96</x:v>
      </x:c>
      <x:c r="P11" s="22" t="n">
        <x:f>ROUND(O11/'Kriterien'!$B$5,0)</x:f>
        <x:v>1</x:v>
      </x:c>
      <x:c r="Q11" s="22" t="n">
        <x:v>10</x:v>
      </x:c>
      <x:c r="R11" s="22" t="n">
        <x:f>P11+Q11</x:f>
        <x:v>11</x:v>
      </x:c>
      <x:c r="S11" s="22" t="str">
        <x:f>IF(AND(R11&gt;=H11,R11&lt;=I11),"OK",IF(R11&lt;H11,"ZU_KURZ","ZU_LANG"))</x:f>
        <x:v>OK</x:v>
      </x:c>
      <x:c r="T11" s="22" t="n">
        <x:f>COUNTIFS('Ortszuordnung'!$A$5:$A$85,B11,'Ortszuordnung'!$K$5:$K$85,"GRUEN")</x:f>
        <x:v>2</x:v>
      </x:c>
      <x:c r="U11" s="22" t="n">
        <x:f>COUNTIFS('Ortszuordnung'!$A$5:$A$85,B11,'Ortszuordnung'!$K$5:$K$85,"GELB")</x:f>
        <x:v>0</x:v>
      </x:c>
      <x:c r="V11" s="22" t="n">
        <x:f>COUNTIFS('Ortszuordnung'!$A$5:$A$85,B11,'Ortszuordnung'!$K$5:$K$85,"ROT")</x:f>
        <x:v>0</x:v>
      </x:c>
      <x:c r="W11" s="31" t="n">
        <x:v>5</x:v>
      </x:c>
      <x:c r="X11" s="31" t="n">
        <x:v>4.7</x:v>
      </x:c>
      <x:c r="Y11" s="31" t="n">
        <x:v>4.3</x:v>
      </x:c>
      <x:c r="Z11" s="31" t="n">
        <x:v>3.7</x:v>
      </x:c>
      <x:c r="AA11" s="31" t="n">
        <x:v>4.5</x:v>
      </x:c>
      <x:c r="AB11" s="31" t="n">
        <x:f>ROUND(W11*'Kriterien'!$B$7+X11*'Kriterien'!$B$8+Y11*'Kriterien'!$B$9+Z11*'Kriterien'!$B$10+AA11*'Kriterien'!$B$11,1)</x:f>
        <x:v>4.5</x:v>
      </x:c>
      <x:c r="AC11" s="22" t="str">
        <x:f>IF(V11&gt;0,"NICHT_EMPFOHLEN",IF(AB11&gt;=4.2,"SEHR_GUT",IF(AB11&gt;=3.6,"GUT",IF(AB11&gt;=3,"BEDINGT","NICHT_EMPFOHLEN"))))</x:f>
        <x:v>SEHR_GUT</x:v>
      </x:c>
      <x:c r="AD11" s="22" t="str">
        <x:v>Pantheon-Außenpunkt und Besucherdichte müssen aktuell bestätigt werden.</x:v>
      </x:c>
      <x:c r="AE11" s="22" t="str">
        <x:v>Fallback: Portikusform am Pantheon und Obelisk-auf-Brunnen-Beziehung.</x:v>
      </x:c>
    </x:row>
    <x:row r="12" ht="42" customHeight="1">
      <x:c r="A12" s="22" t="n">
        <x:v>8</x:v>
      </x:c>
      <x:c r="B12" s="22" t="str">
        <x:v>D1-Q08</x:v>
      </x:c>
      <x:c r="C12" s="22" t="str">
        <x:v>DAY_1</x:v>
      </x:c>
      <x:c r="D12" s="22" t="str">
        <x:v>Kaiserbotschaften</x:v>
      </x:c>
      <x:c r="E12" s="22" t="str">
        <x:v>Obelisco di Montecitorio → Mark-Aurel-Säule</x:v>
      </x:c>
      <x:c r="F12" s="22" t="n">
        <x:f>COUNTIF('Ortszuordnung'!$A$5:$A$85,B12)</x:f>
        <x:v>2</x:v>
      </x:c>
      <x:c r="G12" s="22" t="str">
        <x:v>5–15</x:v>
      </x:c>
      <x:c r="H12" s="22" t="n">
        <x:v>5</x:v>
      </x:c>
      <x:c r="I12" s="22" t="n">
        <x:v>15</x:v>
      </x:c>
      <x:c r="J12" s="22" t="str">
        <x:v>ZUORDNUNG_REIHENFOLGE</x:v>
      </x:c>
      <x:c r="K12" s="22" t="str">
        <x:v>Imperiale Erinnerung im Stadtraum</x:v>
      </x:c>
      <x:c r="L12" s="22" t="str">
        <x:v>ANTIKE_UND_NEUZEIT</x:v>
      </x:c>
      <x:c r="M12" s="22" t="str"/>
      <x:c r="N12" s="22" t="str"/>
      <x:c r="O12" s="22" t="n">
        <x:f>SUMIF('Ortszuordnung'!$A$5:$A$85,B12,'Ortszuordnung'!$S$5:$S$85)</x:f>
        <x:v>139</x:v>
      </x:c>
      <x:c r="P12" s="22" t="n">
        <x:f>ROUND(O12/'Kriterien'!$B$5,0)</x:f>
        <x:v>2</x:v>
      </x:c>
      <x:c r="Q12" s="22" t="n">
        <x:v>10</x:v>
      </x:c>
      <x:c r="R12" s="22" t="n">
        <x:f>P12+Q12</x:f>
        <x:v>12</x:v>
      </x:c>
      <x:c r="S12" s="22" t="str">
        <x:f>IF(AND(R12&gt;=H12,R12&lt;=I12),"OK",IF(R12&lt;H12,"ZU_KURZ","ZU_LANG"))</x:f>
        <x:v>OK</x:v>
      </x:c>
      <x:c r="T12" s="22" t="n">
        <x:f>COUNTIFS('Ortszuordnung'!$A$5:$A$85,B12,'Ortszuordnung'!$K$5:$K$85,"GRUEN")</x:f>
        <x:v>2</x:v>
      </x:c>
      <x:c r="U12" s="22" t="n">
        <x:f>COUNTIFS('Ortszuordnung'!$A$5:$A$85,B12,'Ortszuordnung'!$K$5:$K$85,"GELB")</x:f>
        <x:v>0</x:v>
      </x:c>
      <x:c r="V12" s="22" t="n">
        <x:f>COUNTIFS('Ortszuordnung'!$A$5:$A$85,B12,'Ortszuordnung'!$K$5:$K$85,"ROT")</x:f>
        <x:v>0</x:v>
      </x:c>
      <x:c r="W12" s="31" t="n">
        <x:v>4.8</x:v>
      </x:c>
      <x:c r="X12" s="31" t="n">
        <x:v>4.6</x:v>
      </x:c>
      <x:c r="Y12" s="31" t="n">
        <x:v>4.8</x:v>
      </x:c>
      <x:c r="Z12" s="31" t="n">
        <x:v>4</x:v>
      </x:c>
      <x:c r="AA12" s="31" t="n">
        <x:v>4.5</x:v>
      </x:c>
      <x:c r="AB12" s="31" t="n">
        <x:f>ROUND(W12*'Kriterien'!$B$7+X12*'Kriterien'!$B$8+Y12*'Kriterien'!$B$9+Z12*'Kriterien'!$B$10+AA12*'Kriterien'!$B$11,1)</x:f>
        <x:v>4.6</x:v>
      </x:c>
      <x:c r="AC12" s="22" t="str">
        <x:f>IF(V12&gt;0,"NICHT_EMPFOHLEN",IF(AB12&gt;=4.2,"SEHR_GUT",IF(AB12&gt;=3.6,"GUT",IF(AB12&gt;=3,"BEDINGT","NICHT_EMPFOHLEN"))))</x:f>
        <x:v>SEHR_GUT</x:v>
      </x:c>
      <x:c r="AD12" s="22" t="str">
        <x:v>Verkehr und Menschenmenge, Hinweise selbst sind groß.</x:v>
      </x:c>
      <x:c r="AE12" s="22" t="str">
        <x:v>Fallback: Form des Reliefbands beziehungsweise Schriftart am Obelisken.</x:v>
      </x:c>
    </x:row>
    <x:row r="13" ht="42" customHeight="1">
      <x:c r="A13" s="22" t="n">
        <x:v>9</x:v>
      </x:c>
      <x:c r="B13" s="22" t="str">
        <x:v>D1-Q09</x:v>
      </x:c>
      <x:c r="C13" s="22" t="str">
        <x:v>DAY_1</x:v>
      </x:c>
      <x:c r="D13" s="22" t="str">
        <x:v>Das gebändigte Wasser</x:v>
      </x:c>
      <x:c r="E13" s="22" t="str">
        <x:v>Trevi-Brunnen → Acquedotto Vergine → Tritonenbrunnen</x:v>
      </x:c>
      <x:c r="F13" s="22" t="n">
        <x:f>COUNTIF('Ortszuordnung'!$A$5:$A$85,B13)</x:f>
        <x:v>3</x:v>
      </x:c>
      <x:c r="G13" s="22" t="str">
        <x:v>25–35</x:v>
      </x:c>
      <x:c r="H13" s="22" t="n">
        <x:v>25</x:v>
      </x:c>
      <x:c r="I13" s="22" t="n">
        <x:v>35</x:v>
      </x:c>
      <x:c r="J13" s="22" t="str">
        <x:v>KAMPF</x:v>
      </x:c>
      <x:c r="K13" s="22" t="str">
        <x:v>Wasserversorgung und Brunnenkunst</x:v>
      </x:c>
      <x:c r="L13" s="22" t="str">
        <x:v>ANTIKE_BIS_BAROCK</x:v>
      </x:c>
      <x:c r="M13" s="22" t="str"/>
      <x:c r="N13" s="22" t="str">
        <x:v>Ratto dell’Acqua Virgo</x:v>
      </x:c>
      <x:c r="O13" s="22" t="n">
        <x:f>SUMIF('Ortszuordnung'!$A$5:$A$85,B13,'Ortszuordnung'!$S$5:$S$85)</x:f>
        <x:v>747</x:v>
      </x:c>
      <x:c r="P13" s="22" t="n">
        <x:f>ROUND(O13/'Kriterien'!$B$5,0)</x:f>
        <x:v>10</x:v>
      </x:c>
      <x:c r="Q13" s="22" t="n">
        <x:v>18</x:v>
      </x:c>
      <x:c r="R13" s="22" t="n">
        <x:f>P13+Q13</x:f>
        <x:v>28</x:v>
      </x:c>
      <x:c r="S13" s="22" t="str">
        <x:f>IF(AND(R13&gt;=H13,R13&lt;=I13),"OK",IF(R13&lt;H13,"ZU_KURZ","ZU_LANG"))</x:f>
        <x:v>OK</x:v>
      </x:c>
      <x:c r="T13" s="22" t="n">
        <x:f>COUNTIFS('Ortszuordnung'!$A$5:$A$85,B13,'Ortszuordnung'!$K$5:$K$85,"GRUEN")</x:f>
        <x:v>1</x:v>
      </x:c>
      <x:c r="U13" s="22" t="n">
        <x:f>COUNTIFS('Ortszuordnung'!$A$5:$A$85,B13,'Ortszuordnung'!$K$5:$K$85,"GELB")</x:f>
        <x:v>2</x:v>
      </x:c>
      <x:c r="V13" s="22" t="n">
        <x:f>COUNTIFS('Ortszuordnung'!$A$5:$A$85,B13,'Ortszuordnung'!$K$5:$K$85,"ROT")</x:f>
        <x:v>0</x:v>
      </x:c>
      <x:c r="W13" s="31" t="n">
        <x:v>3.7</x:v>
      </x:c>
      <x:c r="X13" s="31" t="n">
        <x:v>4.8</x:v>
      </x:c>
      <x:c r="Y13" s="31" t="n">
        <x:v>3.2</x:v>
      </x:c>
      <x:c r="Z13" s="31" t="n">
        <x:v>2.8</x:v>
      </x:c>
      <x:c r="AA13" s="31" t="n">
        <x:v>4.6</x:v>
      </x:c>
      <x:c r="AB13" s="31" t="n">
        <x:f>ROUND(W13*'Kriterien'!$B$7+X13*'Kriterien'!$B$8+Y13*'Kriterien'!$B$9+Z13*'Kriterien'!$B$10+AA13*'Kriterien'!$B$11,1)</x:f>
        <x:v>3.9</x:v>
      </x:c>
      <x:c r="AC13" s="22" t="str">
        <x:f>IF(V13&gt;0,"NICHT_EMPFOHLEN",IF(AB13&gt;=4.2,"SEHR_GUT",IF(AB13&gt;=3.6,"GUT",IF(AB13&gt;=3,"BEDINGT","NICHT_EMPFOHLEN"))))</x:f>
        <x:v>GUT</x:v>
      </x:c>
      <x:c r="AD13" s="22" t="str">
        <x:v>Trevi ist extrem voll; die antiken Arkaden sind teilweise verdeckt.</x:v>
      </x:c>
      <x:c r="AE13" s="22" t="str">
        <x:v>Wenn die Arkaden verdeckt sind, nutzt die gleichörtige Materialfrage und setzt die Route fort.</x:v>
      </x:c>
    </x:row>
    <x:row r="14" ht="42" customHeight="1">
      <x:c r="A14" s="22" t="n">
        <x:v>10</x:v>
      </x:c>
      <x:c r="B14" s="22" t="str">
        <x:v>D1-Q10</x:v>
      </x:c>
      <x:c r="C14" s="22" t="str">
        <x:v>DAY_1</x:v>
      </x:c>
      <x:c r="D14" s="22" t="str">
        <x:v>Macht auf dem Quirinal</x:v>
      </x:c>
      <x:c r="E14" s="22" t="str">
        <x:v>Piazza Scanderbeg → Obelisco del Quirinale → Quirinalspalast</x:v>
      </x:c>
      <x:c r="F14" s="22" t="n">
        <x:f>COUNTIF('Ortszuordnung'!$A$5:$A$85,B14)</x:f>
        <x:v>3</x:v>
      </x:c>
      <x:c r="G14" s="22" t="str">
        <x:v>25–35</x:v>
      </x:c>
      <x:c r="H14" s="22" t="n">
        <x:v>25</x:v>
      </x:c>
      <x:c r="I14" s="22" t="n">
        <x:v>35</x:v>
      </x:c>
      <x:c r="J14" s="22" t="str">
        <x:v>DIALOG_ENTSCHEIDUNG</x:v>
      </x:c>
      <x:c r="K14" s="22" t="str">
        <x:v>Söldner, Papst und Republik</x:v>
      </x:c>
      <x:c r="L14" s="22" t="str">
        <x:v>RENAISSANCE_BIS_GEGENWART</x:v>
      </x:c>
      <x:c r="M14" s="22" t="str"/>
      <x:c r="N14" s="22" t="str">
        <x:v>Corazziere del Colle</x:v>
      </x:c>
      <x:c r="O14" s="22" t="n">
        <x:f>SUMIF('Ortszuordnung'!$A$5:$A$85,B14,'Ortszuordnung'!$S$5:$S$85)</x:f>
        <x:v>534</x:v>
      </x:c>
      <x:c r="P14" s="22" t="n">
        <x:f>ROUND(O14/'Kriterien'!$B$5,0)</x:f>
        <x:v>7</x:v>
      </x:c>
      <x:c r="Q14" s="22" t="n">
        <x:v>22</x:v>
      </x:c>
      <x:c r="R14" s="22" t="n">
        <x:f>P14+Q14</x:f>
        <x:v>29</x:v>
      </x:c>
      <x:c r="S14" s="22" t="str">
        <x:f>IF(AND(R14&gt;=H14,R14&lt;=I14),"OK",IF(R14&lt;H14,"ZU_KURZ","ZU_LANG"))</x:f>
        <x:v>OK</x:v>
      </x:c>
      <x:c r="T14" s="22" t="n">
        <x:f>COUNTIFS('Ortszuordnung'!$A$5:$A$85,B14,'Ortszuordnung'!$K$5:$K$85,"GRUEN")</x:f>
        <x:v>2</x:v>
      </x:c>
      <x:c r="U14" s="22" t="n">
        <x:f>COUNTIFS('Ortszuordnung'!$A$5:$A$85,B14,'Ortszuordnung'!$K$5:$K$85,"GELB")</x:f>
        <x:v>1</x:v>
      </x:c>
      <x:c r="V14" s="22" t="n">
        <x:f>COUNTIFS('Ortszuordnung'!$A$5:$A$85,B14,'Ortszuordnung'!$K$5:$K$85,"ROT")</x:f>
        <x:v>0</x:v>
      </x:c>
      <x:c r="W14" s="31" t="n">
        <x:v>4.5</x:v>
      </x:c>
      <x:c r="X14" s="31" t="n">
        <x:v>4.6</x:v>
      </x:c>
      <x:c r="Y14" s="31" t="n">
        <x:v>3.5</x:v>
      </x:c>
      <x:c r="Z14" s="31" t="n">
        <x:v>3.2</x:v>
      </x:c>
      <x:c r="AA14" s="31" t="n">
        <x:v>4.7</x:v>
      </x:c>
      <x:c r="AB14" s="31" t="n">
        <x:f>ROUND(W14*'Kriterien'!$B$7+X14*'Kriterien'!$B$8+Y14*'Kriterien'!$B$9+Z14*'Kriterien'!$B$10+AA14*'Kriterien'!$B$11,1)</x:f>
        <x:v>4.1</x:v>
      </x:c>
      <x:c r="AC14" s="22" t="str">
        <x:f>IF(V14&gt;0,"NICHT_EMPFOHLEN",IF(AB14&gt;=4.2,"SEHR_GUT",IF(AB14&gt;=3.6,"GUT",IF(AB14&gt;=3,"BEDINGT","NICHT_EMPFOHLEN"))))</x:f>
        <x:v>GUT</x:v>
      </x:c>
      <x:c r="AD14" s="22" t="str">
        <x:v>Scanderbeg-Inschrift ist klein; am Palast Sicherheitsabstand einhalten.</x:v>
      </x:c>
      <x:c r="AE14" s="22" t="str">
        <x:v>Bei unleserlicher Scanderbeg-Inschrift beginnt die Quest am Quirinal-Obelisken.</x:v>
      </x:c>
    </x:row>
    <x:row r="15" ht="42" customHeight="1">
      <x:c r="A15" s="22" t="n">
        <x:v>11</x:v>
      </x:c>
      <x:c r="B15" s="22" t="str">
        <x:v>D1-Q11</x:v>
      </x:c>
      <x:c r="C15" s="22" t="str">
        <x:v>DAY_1</x:v>
      </x:c>
      <x:c r="D15" s="22" t="str">
        <x:v>Zeichen der Unbefleckten</x:v>
      </x:c>
      <x:c r="E15" s="22" t="str">
        <x:v>Colonna dell'Immacolata</x:v>
      </x:c>
      <x:c r="F15" s="22" t="n">
        <x:f>COUNTIF('Ortszuordnung'!$A$5:$A$85,B15)</x:f>
        <x:v>1</x:v>
      </x:c>
      <x:c r="G15" s="22" t="str">
        <x:v>5–15</x:v>
      </x:c>
      <x:c r="H15" s="22" t="n">
        <x:v>5</x:v>
      </x:c>
      <x:c r="I15" s="22" t="n">
        <x:v>15</x:v>
      </x:c>
      <x:c r="J15" s="22" t="str">
        <x:v>KURZTEXT_RAETSEL</x:v>
      </x:c>
      <x:c r="K15" s="22" t="str">
        <x:v>Marienverehrung und Stadtsymbolik</x:v>
      </x:c>
      <x:c r="L15" s="22" t="str">
        <x:v>NEUZEIT</x:v>
      </x:c>
      <x:c r="M15" s="22" t="str"/>
      <x:c r="N15" s="22" t="str"/>
      <x:c r="O15" s="22" t="n">
        <x:f>SUMIF('Ortszuordnung'!$A$5:$A$85,B15,'Ortszuordnung'!$S$5:$S$85)</x:f>
        <x:v>0</x:v>
      </x:c>
      <x:c r="P15" s="22" t="n">
        <x:f>ROUND(O15/'Kriterien'!$B$5,0)</x:f>
        <x:v>0</x:v>
      </x:c>
      <x:c r="Q15" s="22" t="n">
        <x:v>9</x:v>
      </x:c>
      <x:c r="R15" s="22" t="n">
        <x:f>P15+Q15</x:f>
        <x:v>9</x:v>
      </x:c>
      <x:c r="S15" s="22" t="str">
        <x:f>IF(AND(R15&gt;=H15,R15&lt;=I15),"OK",IF(R15&lt;H15,"ZU_KURZ","ZU_LANG"))</x:f>
        <x:v>OK</x:v>
      </x:c>
      <x:c r="T15" s="22" t="n">
        <x:f>COUNTIFS('Ortszuordnung'!$A$5:$A$85,B15,'Ortszuordnung'!$K$5:$K$85,"GRUEN")</x:f>
        <x:v>1</x:v>
      </x:c>
      <x:c r="U15" s="22" t="n">
        <x:f>COUNTIFS('Ortszuordnung'!$A$5:$A$85,B15,'Ortszuordnung'!$K$5:$K$85,"GELB")</x:f>
        <x:v>0</x:v>
      </x:c>
      <x:c r="V15" s="22" t="n">
        <x:f>COUNTIFS('Ortszuordnung'!$A$5:$A$85,B15,'Ortszuordnung'!$K$5:$K$85,"ROT")</x:f>
        <x:v>0</x:v>
      </x:c>
      <x:c r="W15" s="31" t="n">
        <x:v>5</x:v>
      </x:c>
      <x:c r="X15" s="31" t="n">
        <x:v>4.2</x:v>
      </x:c>
      <x:c r="Y15" s="31" t="n">
        <x:v>4.7</x:v>
      </x:c>
      <x:c r="Z15" s="31" t="n">
        <x:v>3.8</x:v>
      </x:c>
      <x:c r="AA15" s="31" t="n">
        <x:v>4.2</x:v>
      </x:c>
      <x:c r="AB15" s="31" t="n">
        <x:f>ROUND(W15*'Kriterien'!$B$7+X15*'Kriterien'!$B$8+Y15*'Kriterien'!$B$9+Z15*'Kriterien'!$B$10+AA15*'Kriterien'!$B$11,1)</x:f>
        <x:v>4.4</x:v>
      </x:c>
      <x:c r="AC15" s="22" t="str">
        <x:f>IF(V15&gt;0,"NICHT_EMPFOHLEN",IF(AB15&gt;=4.2,"SEHR_GUT",IF(AB15&gt;=3.6,"GUT",IF(AB15&gt;=3,"BEDINGT","NICHT_EMPFOHLEN"))))</x:f>
        <x:v>SEHR_GUT</x:v>
      </x:c>
      <x:c r="AD15" s="22" t="str">
        <x:v>Menschenmenge, aber klare Silhouette.</x:v>
      </x:c>
      <x:c r="AE15" s="22" t="str">
        <x:v>Fallback: Zahl der großen Sockelfiguren.</x:v>
      </x:c>
    </x:row>
    <x:row r="16" ht="42" customHeight="1">
      <x:c r="A16" s="22" t="n">
        <x:v>12</x:v>
      </x:c>
      <x:c r="B16" s="22" t="str">
        <x:v>D1-Q12</x:v>
      </x:c>
      <x:c r="C16" s="22" t="str">
        <x:v>DAY_1</x:v>
      </x:c>
      <x:c r="D16" s="22" t="str">
        <x:v>Stimmen der Republik</x:v>
      </x:c>
      <x:c r="E16" s="22" t="str">
        <x:v>Ponte Sisto → Palazzo Farnese → Campo de' Fiori → Largo di Torre Argentina</x:v>
      </x:c>
      <x:c r="F16" s="22" t="n">
        <x:f>COUNTIF('Ortszuordnung'!$A$5:$A$85,B16)</x:f>
        <x:v>4</x:v>
      </x:c>
      <x:c r="G16" s="22" t="str">
        <x:v>35–45</x:v>
      </x:c>
      <x:c r="H16" s="22" t="n">
        <x:v>35</x:v>
      </x:c>
      <x:c r="I16" s="22" t="n">
        <x:v>45</x:v>
      </x:c>
      <x:c r="J16" s="22" t="str">
        <x:v>DIALOG_ENTSCHEIDUNG</x:v>
      </x:c>
      <x:c r="K16" s="22" t="str">
        <x:v>Macht, Markt und republikanische Erinnerung</x:v>
      </x:c>
      <x:c r="L16" s="22" t="str">
        <x:v>ANTIKE_BIS_NEUZEIT</x:v>
      </x:c>
      <x:c r="M16" s="22" t="str"/>
      <x:c r="N16" s="22" t="str"/>
      <x:c r="O16" s="22" t="n">
        <x:f>SUMIF('Ortszuordnung'!$A$5:$A$85,B16,'Ortszuordnung'!$S$5:$S$85)</x:f>
        <x:v>1009</x:v>
      </x:c>
      <x:c r="P16" s="22" t="n">
        <x:f>ROUND(O16/'Kriterien'!$B$5,0)</x:f>
        <x:v>13</x:v>
      </x:c>
      <x:c r="Q16" s="22" t="n">
        <x:v>24</x:v>
      </x:c>
      <x:c r="R16" s="22" t="n">
        <x:f>P16+Q16</x:f>
        <x:v>37</x:v>
      </x:c>
      <x:c r="S16" s="22" t="str">
        <x:f>IF(AND(R16&gt;=H16,R16&lt;=I16),"OK",IF(R16&lt;H16,"ZU_KURZ","ZU_LANG"))</x:f>
        <x:v>OK</x:v>
      </x:c>
      <x:c r="T16" s="22" t="n">
        <x:f>COUNTIFS('Ortszuordnung'!$A$5:$A$85,B16,'Ortszuordnung'!$K$5:$K$85,"GRUEN")</x:f>
        <x:v>2</x:v>
      </x:c>
      <x:c r="U16" s="22" t="n">
        <x:f>COUNTIFS('Ortszuordnung'!$A$5:$A$85,B16,'Ortszuordnung'!$K$5:$K$85,"GELB")</x:f>
        <x:v>2</x:v>
      </x:c>
      <x:c r="V16" s="22" t="n">
        <x:f>COUNTIFS('Ortszuordnung'!$A$5:$A$85,B16,'Ortszuordnung'!$K$5:$K$85,"ROT")</x:f>
        <x:v>0</x:v>
      </x:c>
      <x:c r="W16" s="31" t="n">
        <x:v>4.2</x:v>
      </x:c>
      <x:c r="X16" s="31" t="n">
        <x:v>5</x:v>
      </x:c>
      <x:c r="Y16" s="31" t="n">
        <x:v>3.6</x:v>
      </x:c>
      <x:c r="Z16" s="31" t="n">
        <x:v>3.3</x:v>
      </x:c>
      <x:c r="AA16" s="31" t="n">
        <x:v>4.8</x:v>
      </x:c>
      <x:c r="AB16" s="31" t="n">
        <x:f>ROUND(W16*'Kriterien'!$B$7+X16*'Kriterien'!$B$8+Y16*'Kriterien'!$B$9+Z16*'Kriterien'!$B$10+AA16*'Kriterien'!$B$11,1)</x:f>
        <x:v>4.2</x:v>
      </x:c>
      <x:c r="AC16" s="22" t="str">
        <x:f>IF(V16&gt;0,"NICHT_EMPFOHLEN",IF(AB16&gt;=4.2,"SEHR_GUT",IF(AB16&gt;=3.6,"GUT",IF(AB16&gt;=3,"BEDINGT","NICHT_EMPFOHLEN"))))</x:f>
        <x:v>SEHR_GUT</x:v>
      </x:c>
      <x:c r="AD16" s="22" t="str">
        <x:v>Campo-Marktzeiten, Palazzo-Sicherheitsbereich und Überblick am Largo.</x:v>
      </x:c>
      <x:c r="AE16" s="22" t="str">
        <x:v>Jeder Abschnitt ist modular deaktivierbar; mindestens drei der vier Stationen müssen verfügbar sein.</x:v>
      </x:c>
    </x:row>
    <x:row r="17" ht="42" customHeight="1">
      <x:c r="A17" s="22" t="n">
        <x:v>13</x:v>
      </x:c>
      <x:c r="B17" s="22" t="str">
        <x:v>D1-Q13</x:v>
      </x:c>
      <x:c r="C17" s="22" t="str">
        <x:v>DAY_1</x:v>
      </x:c>
      <x:c r="D17" s="22" t="str">
        <x:v>Roms große Bühne</x:v>
      </x:c>
      <x:c r="E17" s="22" t="str">
        <x:v>Basilica di Sant'Andrea della Valle → Fontana delle Tartarughe → Marcellustheater</x:v>
      </x:c>
      <x:c r="F17" s="22" t="n">
        <x:f>COUNTIF('Ortszuordnung'!$A$5:$A$85,B17)</x:f>
        <x:v>3</x:v>
      </x:c>
      <x:c r="G17" s="22" t="str">
        <x:v>15–25</x:v>
      </x:c>
      <x:c r="H17" s="22" t="n">
        <x:v>15</x:v>
      </x:c>
      <x:c r="I17" s="22" t="n">
        <x:v>25</x:v>
      </x:c>
      <x:c r="J17" s="22" t="str">
        <x:v>ZUORDNUNG_REIHENFOLGE</x:v>
      </x:c>
      <x:c r="K17" s="22" t="str">
        <x:v>Theater, Fassade und barocke Inszenierung</x:v>
      </x:c>
      <x:c r="L17" s="22" t="str">
        <x:v>ANTIKE_BIS_BAROCK</x:v>
      </x:c>
      <x:c r="M17" s="22" t="str"/>
      <x:c r="N17" s="22" t="str">
        <x:v>Custode delle Tartarughe</x:v>
      </x:c>
      <x:c r="O17" s="22" t="n">
        <x:f>SUMIF('Ortszuordnung'!$A$5:$A$85,B17,'Ortszuordnung'!$S$5:$S$85)</x:f>
        <x:v>784</x:v>
      </x:c>
      <x:c r="P17" s="22" t="n">
        <x:f>ROUND(O17/'Kriterien'!$B$5,0)</x:f>
        <x:v>10</x:v>
      </x:c>
      <x:c r="Q17" s="22" t="n">
        <x:v>15</x:v>
      </x:c>
      <x:c r="R17" s="22" t="n">
        <x:f>P17+Q17</x:f>
        <x:v>25</x:v>
      </x:c>
      <x:c r="S17" s="22" t="str">
        <x:f>IF(AND(R17&gt;=H17,R17&lt;=I17),"OK",IF(R17&lt;H17,"ZU_KURZ","ZU_LANG"))</x:f>
        <x:v>OK</x:v>
      </x:c>
      <x:c r="T17" s="22" t="n">
        <x:f>COUNTIFS('Ortszuordnung'!$A$5:$A$85,B17,'Ortszuordnung'!$K$5:$K$85,"GRUEN")</x:f>
        <x:v>2</x:v>
      </x:c>
      <x:c r="U17" s="22" t="n">
        <x:f>COUNTIFS('Ortszuordnung'!$A$5:$A$85,B17,'Ortszuordnung'!$K$5:$K$85,"GELB")</x:f>
        <x:v>1</x:v>
      </x:c>
      <x:c r="V17" s="22" t="n">
        <x:f>COUNTIFS('Ortszuordnung'!$A$5:$A$85,B17,'Ortszuordnung'!$K$5:$K$85,"ROT")</x:f>
        <x:v>0</x:v>
      </x:c>
      <x:c r="W17" s="31" t="n">
        <x:v>4</x:v>
      </x:c>
      <x:c r="X17" s="31" t="n">
        <x:v>4.4</x:v>
      </x:c>
      <x:c r="Y17" s="31" t="n">
        <x:v>3.4</x:v>
      </x:c>
      <x:c r="Z17" s="31" t="n">
        <x:v>3.4</x:v>
      </x:c>
      <x:c r="AA17" s="31" t="n">
        <x:v>4.4</x:v>
      </x:c>
      <x:c r="AB17" s="31" t="n">
        <x:f>ROUND(W17*'Kriterien'!$B$7+X17*'Kriterien'!$B$8+Y17*'Kriterien'!$B$9+Z17*'Kriterien'!$B$10+AA17*'Kriterien'!$B$11,1)</x:f>
        <x:v>3.9</x:v>
      </x:c>
      <x:c r="AC17" s="22" t="str">
        <x:f>IF(V17&gt;0,"NICHT_EMPFOHLEN",IF(AB17&gt;=4.2,"SEHR_GUT",IF(AB17&gt;=3.6,"GUT",IF(AB17&gt;=3,"BEDINGT","NICHT_EMPFOHLEN"))))</x:f>
        <x:v>GUT</x:v>
      </x:c>
      <x:c r="AD17" s="22" t="str">
        <x:v>Sant’Andrea-Fassadensicht und Schildkröten müssen aktuell bestätigt werden.</x:v>
      </x:c>
      <x:c r="AE17" s="22" t="str">
        <x:v>Fallback: Großformen an Sant’Andrea und Teatro; Tartarughen-Detail bei Bedarf auslassen.</x:v>
      </x:c>
    </x:row>
    <x:row r="18" ht="42" customHeight="1">
      <x:c r="A18" s="22" t="n">
        <x:v>14</x:v>
      </x:c>
      <x:c r="B18" s="22" t="str">
        <x:v>D1-Q14</x:v>
      </x:c>
      <x:c r="C18" s="22" t="str">
        <x:v>DAY_1</x:v>
      </x:c>
      <x:c r="D18" s="22" t="str">
        <x:v>Die steinerne Insel</x:v>
      </x:c>
      <x:c r="E18" s="22" t="str">
        <x:v>Isola Tiberina</x:v>
      </x:c>
      <x:c r="F18" s="22" t="n">
        <x:f>COUNTIF('Ortszuordnung'!$A$5:$A$85,B18)</x:f>
        <x:v>1</x:v>
      </x:c>
      <x:c r="G18" s="22" t="str">
        <x:v>5–15</x:v>
      </x:c>
      <x:c r="H18" s="22" t="n">
        <x:v>5</x:v>
      </x:c>
      <x:c r="I18" s="22" t="n">
        <x:v>15</x:v>
      </x:c>
      <x:c r="J18" s="22" t="str">
        <x:v>KURZTEXT_RAETSEL</x:v>
      </x:c>
      <x:c r="K18" s="22" t="str">
        <x:v>Tiberinsel und Heiltradition</x:v>
      </x:c>
      <x:c r="L18" s="22" t="str">
        <x:v>ANTIKE_BIS_GEGENWART</x:v>
      </x:c>
      <x:c r="M18" s="22" t="str"/>
      <x:c r="N18" s="22" t="str"/>
      <x:c r="O18" s="22" t="n">
        <x:f>SUMIF('Ortszuordnung'!$A$5:$A$85,B18,'Ortszuordnung'!$S$5:$S$85)</x:f>
        <x:v>0</x:v>
      </x:c>
      <x:c r="P18" s="22" t="n">
        <x:f>ROUND(O18/'Kriterien'!$B$5,0)</x:f>
        <x:v>0</x:v>
      </x:c>
      <x:c r="Q18" s="22" t="n">
        <x:v>10</x:v>
      </x:c>
      <x:c r="R18" s="22" t="n">
        <x:f>P18+Q18</x:f>
        <x:v>10</x:v>
      </x:c>
      <x:c r="S18" s="22" t="str">
        <x:f>IF(AND(R18&gt;=H18,R18&lt;=I18),"OK",IF(R18&lt;H18,"ZU_KURZ","ZU_LANG"))</x:f>
        <x:v>OK</x:v>
      </x:c>
      <x:c r="T18" s="22" t="n">
        <x:f>COUNTIFS('Ortszuordnung'!$A$5:$A$85,B18,'Ortszuordnung'!$K$5:$K$85,"GRUEN")</x:f>
        <x:v>0</x:v>
      </x:c>
      <x:c r="U18" s="22" t="n">
        <x:f>COUNTIFS('Ortszuordnung'!$A$5:$A$85,B18,'Ortszuordnung'!$K$5:$K$85,"GELB")</x:f>
        <x:v>1</x:v>
      </x:c>
      <x:c r="V18" s="22" t="n">
        <x:f>COUNTIFS('Ortszuordnung'!$A$5:$A$85,B18,'Ortszuordnung'!$K$5:$K$85,"ROT")</x:f>
        <x:v>0</x:v>
      </x:c>
      <x:c r="W18" s="31" t="n">
        <x:v>5</x:v>
      </x:c>
      <x:c r="X18" s="31" t="n">
        <x:v>4.5</x:v>
      </x:c>
      <x:c r="Y18" s="31" t="n">
        <x:v>3.3</x:v>
      </x:c>
      <x:c r="Z18" s="31" t="n">
        <x:v>3.5</x:v>
      </x:c>
      <x:c r="AA18" s="31" t="n">
        <x:v>4.4</x:v>
      </x:c>
      <x:c r="AB18" s="31" t="n">
        <x:f>ROUND(W18*'Kriterien'!$B$7+X18*'Kriterien'!$B$8+Y18*'Kriterien'!$B$9+Z18*'Kriterien'!$B$10+AA18*'Kriterien'!$B$11,1)</x:f>
        <x:v>4.1</x:v>
      </x:c>
      <x:c r="AC18" s="22" t="str">
        <x:f>IF(V18&gt;0,"NICHT_EMPFOHLEN",IF(AB18&gt;=4.2,"SEHR_GUT",IF(AB18&gt;=3.6,"GUT",IF(AB18&gt;=3,"BEDINGT","NICHT_EMPFOHLEN"))))</x:f>
        <x:v>GUT</x:v>
      </x:c>
      <x:c r="AD18" s="22" t="str">
        <x:v>Die Schiffsform ist nur vom richtigen Blickwinkel eindeutig.</x:v>
      </x:c>
      <x:c r="AE18" s="22" t="str">
        <x:v>Fallback: allgemeine Inselform und sichtbare Brückenbeziehung.</x:v>
      </x:c>
    </x:row>
    <x:row r="19" ht="42" customHeight="1">
      <x:c r="A19" s="22" t="n">
        <x:v>15</x:v>
      </x:c>
      <x:c r="B19" s="22" t="str">
        <x:v>D1-Q15</x:v>
      </x:c>
      <x:c r="C19" s="22" t="str">
        <x:v>DAY_1</x:v>
      </x:c>
      <x:c r="D19" s="22" t="str">
        <x:v>Cecilias Stimmen</x:v>
      </x:c>
      <x:c r="E19" s="22" t="str">
        <x:v>Basilica di Santa Cecilia in Trastevere → Santa Maria in Trastevere</x:v>
      </x:c>
      <x:c r="F19" s="22" t="n">
        <x:f>COUNTIF('Ortszuordnung'!$A$5:$A$85,B19)</x:f>
        <x:v>2</x:v>
      </x:c>
      <x:c r="G19" s="22" t="str">
        <x:v>15–25</x:v>
      </x:c>
      <x:c r="H19" s="22" t="n">
        <x:v>15</x:v>
      </x:c>
      <x:c r="I19" s="22" t="n">
        <x:v>25</x:v>
      </x:c>
      <x:c r="J19" s="22" t="str">
        <x:v>DIALOG_ENTSCHEIDUNG</x:v>
      </x:c>
      <x:c r="K19" s="22" t="str">
        <x:v>Märtyrertradition, Musik und Titelkirchen</x:v>
      </x:c>
      <x:c r="L19" s="22" t="str">
        <x:v>FRUEHCHRISTLICH_BIS_MITTELALTER</x:v>
      </x:c>
      <x:c r="M19" s="22" t="str">
        <x:v>CLERIC</x:v>
      </x:c>
      <x:c r="N19" s="22" t="str"/>
      <x:c r="O19" s="22" t="n">
        <x:f>SUMIF('Ortszuordnung'!$A$5:$A$85,B19,'Ortszuordnung'!$S$5:$S$85)</x:f>
        <x:v>706</x:v>
      </x:c>
      <x:c r="P19" s="22" t="n">
        <x:f>ROUND(O19/'Kriterien'!$B$5,0)</x:f>
        <x:v>9</x:v>
      </x:c>
      <x:c r="Q19" s="22" t="n">
        <x:v>16</x:v>
      </x:c>
      <x:c r="R19" s="22" t="n">
        <x:f>P19+Q19</x:f>
        <x:v>25</x:v>
      </x:c>
      <x:c r="S19" s="22" t="str">
        <x:f>IF(AND(R19&gt;=H19,R19&lt;=I19),"OK",IF(R19&lt;H19,"ZU_KURZ","ZU_LANG"))</x:f>
        <x:v>OK</x:v>
      </x:c>
      <x:c r="T19" s="22" t="n">
        <x:f>COUNTIFS('Ortszuordnung'!$A$5:$A$85,B19,'Ortszuordnung'!$K$5:$K$85,"GRUEN")</x:f>
        <x:v>1</x:v>
      </x:c>
      <x:c r="U19" s="22" t="n">
        <x:f>COUNTIFS('Ortszuordnung'!$A$5:$A$85,B19,'Ortszuordnung'!$K$5:$K$85,"GELB")</x:f>
        <x:v>1</x:v>
      </x:c>
      <x:c r="V19" s="22" t="n">
        <x:f>COUNTIFS('Ortszuordnung'!$A$5:$A$85,B19,'Ortszuordnung'!$K$5:$K$85,"ROT")</x:f>
        <x:v>0</x:v>
      </x:c>
      <x:c r="W19" s="31" t="n">
        <x:v>4.2</x:v>
      </x:c>
      <x:c r="X19" s="31" t="n">
        <x:v>5</x:v>
      </x:c>
      <x:c r="Y19" s="31" t="n">
        <x:v>3.3</x:v>
      </x:c>
      <x:c r="Z19" s="31" t="n">
        <x:v>3.2</x:v>
      </x:c>
      <x:c r="AA19" s="31" t="n">
        <x:v>4.8</x:v>
      </x:c>
      <x:c r="AB19" s="31" t="n">
        <x:f>ROUND(W19*'Kriterien'!$B$7+X19*'Kriterien'!$B$8+Y19*'Kriterien'!$B$9+Z19*'Kriterien'!$B$10+AA19*'Kriterien'!$B$11,1)</x:f>
        <x:v>4.1</x:v>
      </x:c>
      <x:c r="AC19" s="22" t="str">
        <x:f>IF(V19&gt;0,"NICHT_EMPFOHLEN",IF(AB19&gt;=4.2,"SEHR_GUT",IF(AB19&gt;=3.6,"GUT",IF(AB19&gt;=3,"BEDINGT","NICHT_EMPFOHLEN"))))</x:f>
        <x:v>GUT</x:v>
      </x:c>
      <x:c r="AD19" s="22" t="str">
        <x:v>Santa Cecilia muss vollständig vom öffentlichen Außenpunkt funktionieren.</x:v>
      </x:c>
      <x:c r="AE19" s="22" t="str">
        <x:v>Wenn Santa Cecilia außen nicht eindeutig ist, startet die Quest auf der Piazza Santa Maria.</x:v>
      </x:c>
    </x:row>
    <x:row r="20" ht="42" customHeight="1">
      <x:c r="A20" s="22" t="n">
        <x:v>16</x:v>
      </x:c>
      <x:c r="B20" s="22" t="str">
        <x:v>D1-Q16</x:v>
      </x:c>
      <x:c r="C20" s="22" t="str">
        <x:v>DAY_1</x:v>
      </x:c>
      <x:c r="D20" s="22" t="str">
        <x:v>Republik auf dem Gianicolo</x:v>
      </x:c>
      <x:c r="E20" s="22" t="str">
        <x:v>Gianicolense-Mauern → Mausoleo Ossario Garibaldino → Fontana Dell'Acqua Paola → Monumento a Garibaldi → Monumento ad Anita Garibaldi</x:v>
      </x:c>
      <x:c r="F20" s="22" t="n">
        <x:f>COUNTIF('Ortszuordnung'!$A$5:$A$85,B20)</x:f>
        <x:v>5</x:v>
      </x:c>
      <x:c r="G20" s="22" t="str">
        <x:v>35–45</x:v>
      </x:c>
      <x:c r="H20" s="22" t="n">
        <x:v>35</x:v>
      </x:c>
      <x:c r="I20" s="22" t="n">
        <x:v>45</x:v>
      </x:c>
      <x:c r="J20" s="22" t="str">
        <x:v>KAMPF</x:v>
      </x:c>
      <x:c r="K20" s="22" t="str">
        <x:v>Risorgimento und Verteidigung Roms</x:v>
      </x:c>
      <x:c r="L20" s="22" t="str">
        <x:v>19_JAHRHUNDERT</x:v>
      </x:c>
      <x:c r="M20" s="22" t="str"/>
      <x:c r="N20" s="22" t="str">
        <x:v>Garibaldino delle Mura</x:v>
      </x:c>
      <x:c r="O20" s="22" t="n">
        <x:f>SUMIF('Ortszuordnung'!$A$5:$A$85,B20,'Ortszuordnung'!$S$5:$S$85)</x:f>
        <x:v>1404</x:v>
      </x:c>
      <x:c r="P20" s="22" t="n">
        <x:f>ROUND(O20/'Kriterien'!$B$5,0)</x:f>
        <x:v>19</x:v>
      </x:c>
      <x:c r="Q20" s="22" t="n">
        <x:v>25</x:v>
      </x:c>
      <x:c r="R20" s="22" t="n">
        <x:f>P20+Q20</x:f>
        <x:v>44</x:v>
      </x:c>
      <x:c r="S20" s="22" t="str">
        <x:f>IF(AND(R20&gt;=H20,R20&lt;=I20),"OK",IF(R20&lt;H20,"ZU_KURZ","ZU_LANG"))</x:f>
        <x:v>OK</x:v>
      </x:c>
      <x:c r="T20" s="22" t="n">
        <x:f>COUNTIFS('Ortszuordnung'!$A$5:$A$85,B20,'Ortszuordnung'!$K$5:$K$85,"GRUEN")</x:f>
        <x:v>5</x:v>
      </x:c>
      <x:c r="U20" s="22" t="n">
        <x:f>COUNTIFS('Ortszuordnung'!$A$5:$A$85,B20,'Ortszuordnung'!$K$5:$K$85,"GELB")</x:f>
        <x:v>0</x:v>
      </x:c>
      <x:c r="V20" s="22" t="n">
        <x:f>COUNTIFS('Ortszuordnung'!$A$5:$A$85,B20,'Ortszuordnung'!$K$5:$K$85,"ROT")</x:f>
        <x:v>0</x:v>
      </x:c>
      <x:c r="W20" s="31" t="n">
        <x:v>3.5</x:v>
      </x:c>
      <x:c r="X20" s="31" t="n">
        <x:v>5</x:v>
      </x:c>
      <x:c r="Y20" s="31" t="n">
        <x:v>4.4</x:v>
      </x:c>
      <x:c r="Z20" s="31" t="n">
        <x:v>3.8</x:v>
      </x:c>
      <x:c r="AA20" s="31" t="n">
        <x:v>5</x:v>
      </x:c>
      <x:c r="AB20" s="31" t="n">
        <x:f>ROUND(W20*'Kriterien'!$B$7+X20*'Kriterien'!$B$8+Y20*'Kriterien'!$B$9+Z20*'Kriterien'!$B$10+AA20*'Kriterien'!$B$11,1)</x:f>
        <x:v>4.4</x:v>
      </x:c>
      <x:c r="AC20" s="22" t="str">
        <x:f>IF(V20&gt;0,"NICHT_EMPFOHLEN",IF(AB20&gt;=4.2,"SEHR_GUT",IF(AB20&gt;=3.6,"GUT",IF(AB20&gt;=3,"BEDINGT","NICHT_EMPFOHLEN"))))</x:f>
        <x:v>SEHR_GUT</x:v>
      </x:c>
      <x:c r="AD20" s="22" t="str">
        <x:v>Steigung und längere Gehstrecke; kein Problem der Eintrittspflicht.</x:v>
      </x:c>
      <x:c r="AE20" s="22" t="str">
        <x:v>Die Quest kann auf vier Stationen gekürzt werden; Fontana Acqua Paola bleibt als Revive-Punkt erhalten.</x:v>
      </x:c>
    </x:row>
    <x:row r="21" ht="42" customHeight="1">
      <x:c r="A21" s="22" t="n">
        <x:v>17</x:v>
      </x:c>
      <x:c r="B21" s="22" t="str">
        <x:v>D2-Q01</x:v>
      </x:c>
      <x:c r="C21" s="22" t="str">
        <x:v>DAY_2</x:v>
      </x:c>
      <x:c r="D21" s="22" t="str">
        <x:v>Stern des Kapitols</x:v>
      </x:c>
      <x:c r="E21" s="22" t="str">
        <x:v>Kapitolsplatz → Giulio Cesare</x:v>
      </x:c>
      <x:c r="F21" s="22" t="n">
        <x:f>COUNTIF('Ortszuordnung'!$A$5:$A$85,B21)</x:f>
        <x:v>2</x:v>
      </x:c>
      <x:c r="G21" s="22" t="str">
        <x:v>15–25</x:v>
      </x:c>
      <x:c r="H21" s="22" t="n">
        <x:v>15</x:v>
      </x:c>
      <x:c r="I21" s="22" t="n">
        <x:v>25</x:v>
      </x:c>
      <x:c r="J21" s="22" t="str">
        <x:v>ZUORDNUNG_REIHENFOLGE</x:v>
      </x:c>
      <x:c r="K21" s="22" t="str">
        <x:v>Kapitolinische Machtbilder</x:v>
      </x:c>
      <x:c r="L21" s="22" t="str">
        <x:v>ANTIKE_UND_RENAISSANCE</x:v>
      </x:c>
      <x:c r="M21" s="22" t="str"/>
      <x:c r="N21" s="22" t="str"/>
      <x:c r="O21" s="22" t="n">
        <x:f>SUMIF('Ortszuordnung'!$A$5:$A$85,B21,'Ortszuordnung'!$S$5:$S$85)</x:f>
        <x:v>271</x:v>
      </x:c>
      <x:c r="P21" s="22" t="n">
        <x:f>ROUND(O21/'Kriterien'!$B$5,0)</x:f>
        <x:v>4</x:v>
      </x:c>
      <x:c r="Q21" s="22" t="n">
        <x:v>15</x:v>
      </x:c>
      <x:c r="R21" s="22" t="n">
        <x:f>P21+Q21</x:f>
        <x:v>19</x:v>
      </x:c>
      <x:c r="S21" s="22" t="str">
        <x:f>IF(AND(R21&gt;=H21,R21&lt;=I21),"OK",IF(R21&lt;H21,"ZU_KURZ","ZU_LANG"))</x:f>
        <x:v>OK</x:v>
      </x:c>
      <x:c r="T21" s="22" t="n">
        <x:f>COUNTIFS('Ortszuordnung'!$A$5:$A$85,B21,'Ortszuordnung'!$K$5:$K$85,"GRUEN")</x:f>
        <x:v>1</x:v>
      </x:c>
      <x:c r="U21" s="22" t="n">
        <x:f>COUNTIFS('Ortszuordnung'!$A$5:$A$85,B21,'Ortszuordnung'!$K$5:$K$85,"GELB")</x:f>
        <x:v>1</x:v>
      </x:c>
      <x:c r="V21" s="22" t="n">
        <x:f>COUNTIFS('Ortszuordnung'!$A$5:$A$85,B21,'Ortszuordnung'!$K$5:$K$85,"ROT")</x:f>
        <x:v>0</x:v>
      </x:c>
      <x:c r="W21" s="31" t="n">
        <x:v>4.8</x:v>
      </x:c>
      <x:c r="X21" s="31" t="n">
        <x:v>4.8</x:v>
      </x:c>
      <x:c r="Y21" s="31" t="n">
        <x:v>4</x:v>
      </x:c>
      <x:c r="Z21" s="31" t="n">
        <x:v>4</x:v>
      </x:c>
      <x:c r="AA21" s="31" t="n">
        <x:v>4.7</x:v>
      </x:c>
      <x:c r="AB21" s="31" t="n">
        <x:f>ROUND(W21*'Kriterien'!$B$7+X21*'Kriterien'!$B$8+Y21*'Kriterien'!$B$9+Z21*'Kriterien'!$B$10+AA21*'Kriterien'!$B$11,1)</x:f>
        <x:v>4.5</x:v>
      </x:c>
      <x:c r="AC21" s="22" t="str">
        <x:f>IF(V21&gt;0,"NICHT_EMPFOHLEN",IF(AB21&gt;=4.2,"SEHR_GUT",IF(AB21&gt;=3.6,"GUT",IF(AB21&gt;=3,"BEDINGT","NICHT_EMPFOHLEN"))))</x:f>
        <x:v>SEHR_GUT</x:v>
      </x:c>
      <x:c r="AD21" s="22" t="str">
        <x:v>Caesar-Attribut besitzt nur mittlere Quellen- und Sichtstärke.</x:v>
      </x:c>
      <x:c r="AE21" s="22" t="str">
        <x:v>Fallback: nur das robuste Stern-im-Oval-Muster des Platzes verwenden.</x:v>
      </x:c>
    </x:row>
    <x:row r="22" ht="42" customHeight="1">
      <x:c r="A22" s="22" t="n">
        <x:v>18</x:v>
      </x:c>
      <x:c r="B22" s="22" t="str">
        <x:v>D2-Q02</x:v>
      </x:c>
      <x:c r="C22" s="22" t="str">
        <x:v>DAY_2</x:v>
      </x:c>
      <x:c r="D22" s="22" t="str">
        <x:v>Quadrigen der Einheit</x:v>
      </x:c>
      <x:c r="E22" s="22" t="str">
        <x:v>Nationaldenkmal für Viktor Emanuel II.</x:v>
      </x:c>
      <x:c r="F22" s="22" t="n">
        <x:f>COUNTIF('Ortszuordnung'!$A$5:$A$85,B22)</x:f>
        <x:v>1</x:v>
      </x:c>
      <x:c r="G22" s="22" t="str">
        <x:v>5–15</x:v>
      </x:c>
      <x:c r="H22" s="22" t="n">
        <x:v>5</x:v>
      </x:c>
      <x:c r="I22" s="22" t="n">
        <x:v>15</x:v>
      </x:c>
      <x:c r="J22" s="22" t="str">
        <x:v>BEOBACHTUNG_SUCHE</x:v>
      </x:c>
      <x:c r="K22" s="22" t="str">
        <x:v>Risorgimento und Nationalstaat</x:v>
      </x:c>
      <x:c r="L22" s="22" t="str">
        <x:v>19_BIS_20_JAHRHUNDERT</x:v>
      </x:c>
      <x:c r="M22" s="22" t="str"/>
      <x:c r="N22" s="22" t="str"/>
      <x:c r="O22" s="22" t="n">
        <x:f>SUMIF('Ortszuordnung'!$A$5:$A$85,B22,'Ortszuordnung'!$S$5:$S$85)</x:f>
        <x:v>0</x:v>
      </x:c>
      <x:c r="P22" s="22" t="n">
        <x:f>ROUND(O22/'Kriterien'!$B$5,0)</x:f>
        <x:v>0</x:v>
      </x:c>
      <x:c r="Q22" s="22" t="n">
        <x:v>9</x:v>
      </x:c>
      <x:c r="R22" s="22" t="n">
        <x:f>P22+Q22</x:f>
        <x:v>9</x:v>
      </x:c>
      <x:c r="S22" s="22" t="str">
        <x:f>IF(AND(R22&gt;=H22,R22&lt;=I22),"OK",IF(R22&lt;H22,"ZU_KURZ","ZU_LANG"))</x:f>
        <x:v>OK</x:v>
      </x:c>
      <x:c r="T22" s="22" t="n">
        <x:f>COUNTIFS('Ortszuordnung'!$A$5:$A$85,B22,'Ortszuordnung'!$K$5:$K$85,"GRUEN")</x:f>
        <x:v>1</x:v>
      </x:c>
      <x:c r="U22" s="22" t="n">
        <x:f>COUNTIFS('Ortszuordnung'!$A$5:$A$85,B22,'Ortszuordnung'!$K$5:$K$85,"GELB")</x:f>
        <x:v>0</x:v>
      </x:c>
      <x:c r="V22" s="22" t="n">
        <x:f>COUNTIFS('Ortszuordnung'!$A$5:$A$85,B22,'Ortszuordnung'!$K$5:$K$85,"ROT")</x:f>
        <x:v>0</x:v>
      </x:c>
      <x:c r="W22" s="31" t="n">
        <x:v>5</x:v>
      </x:c>
      <x:c r="X22" s="31" t="n">
        <x:v>4.2</x:v>
      </x:c>
      <x:c r="Y22" s="31" t="n">
        <x:v>4.3</x:v>
      </x:c>
      <x:c r="Z22" s="31" t="n">
        <x:v>3.7</x:v>
      </x:c>
      <x:c r="AA22" s="31" t="n">
        <x:v>4.2</x:v>
      </x:c>
      <x:c r="AB22" s="31" t="n">
        <x:f>ROUND(W22*'Kriterien'!$B$7+X22*'Kriterien'!$B$8+Y22*'Kriterien'!$B$9+Z22*'Kriterien'!$B$10+AA22*'Kriterien'!$B$11,1)</x:f>
        <x:v>4.3</x:v>
      </x:c>
      <x:c r="AC22" s="22" t="str">
        <x:f>IF(V22&gt;0,"NICHT_EMPFOHLEN",IF(AB22&gt;=4.2,"SEHR_GUT",IF(AB22&gt;=3.6,"GUT",IF(AB22&gt;=3,"BEDINGT","NICHT_EMPFOHLEN"))))</x:f>
        <x:v>SEHR_GUT</x:v>
      </x:c>
      <x:c r="AD22" s="22" t="str">
        <x:v>Menschenmenge; Quadrigen bleiben als Großform sichtbar.</x:v>
      </x:c>
      <x:c r="AE22" s="22" t="str">
        <x:v>Fallback: zentrale Reiterfigur statt Dachdetails.</x:v>
      </x:c>
    </x:row>
    <x:row r="23" ht="42" customHeight="1">
      <x:c r="A23" s="22" t="n">
        <x:v>19</x:v>
      </x:c>
      <x:c r="B23" s="22" t="str">
        <x:v>D2-Q03</x:v>
      </x:c>
      <x:c r="C23" s="22" t="str">
        <x:v>DAY_2</x:v>
      </x:c>
      <x:c r="D23" s="22" t="str">
        <x:v>Arena und Triumph</x:v>
      </x:c>
      <x:c r="E23" s="22" t="str">
        <x:v>Konstantinsbogen → Kolosseum → Ludus Magnus</x:v>
      </x:c>
      <x:c r="F23" s="22" t="n">
        <x:f>COUNTIF('Ortszuordnung'!$A$5:$A$85,B23)</x:f>
        <x:v>3</x:v>
      </x:c>
      <x:c r="G23" s="22" t="str">
        <x:v>25–35</x:v>
      </x:c>
      <x:c r="H23" s="22" t="n">
        <x:v>25</x:v>
      </x:c>
      <x:c r="I23" s="22" t="n">
        <x:v>35</x:v>
      </x:c>
      <x:c r="J23" s="22" t="str">
        <x:v>KAMPF</x:v>
      </x:c>
      <x:c r="K23" s="22" t="str">
        <x:v>Triumph, Spektakel und Gladiatorentraining</x:v>
      </x:c>
      <x:c r="L23" s="22" t="str">
        <x:v>ANTIKE</x:v>
      </x:c>
      <x:c r="M23" s="22" t="str"/>
      <x:c r="N23" s="22" t="str">
        <x:v>Gladiator des Ludus</x:v>
      </x:c>
      <x:c r="O23" s="22" t="n">
        <x:f>SUMIF('Ortszuordnung'!$A$5:$A$85,B23,'Ortszuordnung'!$S$5:$S$85)</x:f>
        <x:v>446</x:v>
      </x:c>
      <x:c r="P23" s="22" t="n">
        <x:f>ROUND(O23/'Kriterien'!$B$5,0)</x:f>
        <x:v>6</x:v>
      </x:c>
      <x:c r="Q23" s="22" t="n">
        <x:v>20</x:v>
      </x:c>
      <x:c r="R23" s="22" t="n">
        <x:f>P23+Q23</x:f>
        <x:v>26</x:v>
      </x:c>
      <x:c r="S23" s="22" t="str">
        <x:f>IF(AND(R23&gt;=H23,R23&lt;=I23),"OK",IF(R23&lt;H23,"ZU_KURZ","ZU_LANG"))</x:f>
        <x:v>OK</x:v>
      </x:c>
      <x:c r="T23" s="22" t="n">
        <x:f>COUNTIFS('Ortszuordnung'!$A$5:$A$85,B23,'Ortszuordnung'!$K$5:$K$85,"GRUEN")</x:f>
        <x:v>3</x:v>
      </x:c>
      <x:c r="U23" s="22" t="n">
        <x:f>COUNTIFS('Ortszuordnung'!$A$5:$A$85,B23,'Ortszuordnung'!$K$5:$K$85,"GELB")</x:f>
        <x:v>0</x:v>
      </x:c>
      <x:c r="V23" s="22" t="n">
        <x:f>COUNTIFS('Ortszuordnung'!$A$5:$A$85,B23,'Ortszuordnung'!$K$5:$K$85,"ROT")</x:f>
        <x:v>0</x:v>
      </x:c>
      <x:c r="W23" s="31" t="n">
        <x:v>5</x:v>
      </x:c>
      <x:c r="X23" s="31" t="n">
        <x:v>5</x:v>
      </x:c>
      <x:c r="Y23" s="31" t="n">
        <x:v>4.7</x:v>
      </x:c>
      <x:c r="Z23" s="31" t="n">
        <x:v>3.6</x:v>
      </x:c>
      <x:c r="AA23" s="31" t="n">
        <x:v>5</x:v>
      </x:c>
      <x:c r="AB23" s="31" t="n">
        <x:f>ROUND(W23*'Kriterien'!$B$7+X23*'Kriterien'!$B$8+Y23*'Kriterien'!$B$9+Z23*'Kriterien'!$B$10+AA23*'Kriterien'!$B$11,1)</x:f>
        <x:v>4.7</x:v>
      </x:c>
      <x:c r="AC23" s="22" t="str">
        <x:f>IF(V23&gt;0,"NICHT_EMPFOHLEN",IF(AB23&gt;=4.2,"SEHR_GUT",IF(AB23&gt;=3.6,"GUT",IF(AB23&gt;=3,"BEDINGT","NICHT_EMPFOHLEN"))))</x:f>
        <x:v>SEHR_GUT</x:v>
      </x:c>
      <x:c r="AD23" s="22" t="str">
        <x:v>Sehr hohe Besucherzahl; nur Außenräume und Großformen.</x:v>
      </x:c>
      <x:c r="AE23" s="22" t="str">
        <x:v>Bei Überfüllung wird die Quest auf Konstantinsbogen und Ludus Magnus reduziert.</x:v>
      </x:c>
    </x:row>
    <x:row r="24" ht="42" customHeight="1">
      <x:c r="A24" s="22" t="n">
        <x:v>20</x:v>
      </x:c>
      <x:c r="B24" s="22" t="str">
        <x:v>D2-Q04</x:v>
      </x:c>
      <x:c r="C24" s="22" t="str">
        <x:v>DAY_2</x:v>
      </x:c>
      <x:c r="D24" s="22" t="str">
        <x:v>Handel, Götter und Wahrheit</x:v>
      </x:c>
      <x:c r="E24" s="22" t="str">
        <x:v>Mund der Wahrheit → Tempel des Hercules Victor → Arco degli Argentari → Janusbogen</x:v>
      </x:c>
      <x:c r="F24" s="22" t="n">
        <x:f>COUNTIF('Ortszuordnung'!$A$5:$A$85,B24)</x:f>
        <x:v>4</x:v>
      </x:c>
      <x:c r="G24" s="22" t="str">
        <x:v>35–45</x:v>
      </x:c>
      <x:c r="H24" s="22" t="n">
        <x:v>35</x:v>
      </x:c>
      <x:c r="I24" s="22" t="n">
        <x:v>45</x:v>
      </x:c>
      <x:c r="J24" s="22" t="str">
        <x:v>DIALOG_ENTSCHEIDUNG</x:v>
      </x:c>
      <x:c r="K24" s="22" t="str">
        <x:v>Forum Boarium, Handel und Kulte</x:v>
      </x:c>
      <x:c r="L24" s="22" t="str">
        <x:v>ANTIKE_BIS_MITTELALTER</x:v>
      </x:c>
      <x:c r="M24" s="22" t="str"/>
      <x:c r="N24" s="22" t="str">
        <x:v>Custode di Giano</x:v>
      </x:c>
      <x:c r="O24" s="22" t="n">
        <x:f>SUMIF('Ortszuordnung'!$A$5:$A$85,B24,'Ortszuordnung'!$S$5:$S$85)</x:f>
        <x:v>390</x:v>
      </x:c>
      <x:c r="P24" s="22" t="n">
        <x:f>ROUND(O24/'Kriterien'!$B$5,0)</x:f>
        <x:v>5</x:v>
      </x:c>
      <x:c r="Q24" s="22" t="n">
        <x:v>30</x:v>
      </x:c>
      <x:c r="R24" s="22" t="n">
        <x:f>P24+Q24</x:f>
        <x:v>35</x:v>
      </x:c>
      <x:c r="S24" s="22" t="str">
        <x:f>IF(AND(R24&gt;=H24,R24&lt;=I24),"OK",IF(R24&lt;H24,"ZU_KURZ","ZU_LANG"))</x:f>
        <x:v>OK</x:v>
      </x:c>
      <x:c r="T24" s="22" t="n">
        <x:f>COUNTIFS('Ortszuordnung'!$A$5:$A$85,B24,'Ortszuordnung'!$K$5:$K$85,"GRUEN")</x:f>
        <x:v>3</x:v>
      </x:c>
      <x:c r="U24" s="22" t="n">
        <x:f>COUNTIFS('Ortszuordnung'!$A$5:$A$85,B24,'Ortszuordnung'!$K$5:$K$85,"GELB")</x:f>
        <x:v>1</x:v>
      </x:c>
      <x:c r="V24" s="22" t="n">
        <x:f>COUNTIFS('Ortszuordnung'!$A$5:$A$85,B24,'Ortszuordnung'!$K$5:$K$85,"ROT")</x:f>
        <x:v>0</x:v>
      </x:c>
      <x:c r="W24" s="31" t="n">
        <x:v>5</x:v>
      </x:c>
      <x:c r="X24" s="31" t="n">
        <x:v>5</x:v>
      </x:c>
      <x:c r="Y24" s="31" t="n">
        <x:v>4.1</x:v>
      </x:c>
      <x:c r="Z24" s="31" t="n">
        <x:v>3.4</x:v>
      </x:c>
      <x:c r="AA24" s="31" t="n">
        <x:v>4.8</x:v>
      </x:c>
      <x:c r="AB24" s="31" t="n">
        <x:f>ROUND(W24*'Kriterien'!$B$7+X24*'Kriterien'!$B$8+Y24*'Kriterien'!$B$9+Z24*'Kriterien'!$B$10+AA24*'Kriterien'!$B$11,1)</x:f>
        <x:v>4.5</x:v>
      </x:c>
      <x:c r="AC24" s="22" t="str">
        <x:f>IF(V24&gt;0,"NICHT_EMPFOHLEN",IF(AB24&gt;=4.2,"SEHR_GUT",IF(AB24&gt;=3.6,"GUT",IF(AB24&gt;=3,"BEDINGT","NICHT_EMPFOHLEN"))))</x:f>
        <x:v>SEHR_GUT</x:v>
      </x:c>
      <x:c r="AD24" s="22" t="str">
        <x:v>Bocca della Verità kann eine lange Warteschlange haben.</x:v>
      </x:c>
      <x:c r="AE24" s="22" t="str">
        <x:v>Bei Warteschlange wird die Bocca nur aus Distanz genutzt oder durch die Tempelform ersetzt.</x:v>
      </x:c>
    </x:row>
    <x:row r="25" ht="42" customHeight="1">
      <x:c r="A25" s="22" t="n">
        <x:v>21</x:v>
      </x:c>
      <x:c r="B25" s="22" t="str">
        <x:v>D2-Q05</x:v>
      </x:c>
      <x:c r="C25" s="22" t="str">
        <x:v>DAY_2</x:v>
      </x:c>
      <x:c r="D25" s="22" t="str">
        <x:v>Masken über dem Circus</x:v>
      </x:c>
      <x:c r="E25" s="22" t="str">
        <x:v>Tritonenbrunnen → Belvedere Romolo E Remo → Maskenbrunnen bei Santa Sabina</x:v>
      </x:c>
      <x:c r="F25" s="22" t="n">
        <x:f>COUNTIF('Ortszuordnung'!$A$5:$A$85,B25)</x:f>
        <x:v>3</x:v>
      </x:c>
      <x:c r="G25" s="22" t="str">
        <x:v>15–25</x:v>
      </x:c>
      <x:c r="H25" s="22" t="n">
        <x:v>15</x:v>
      </x:c>
      <x:c r="I25" s="22" t="n">
        <x:v>25</x:v>
      </x:c>
      <x:c r="J25" s="22" t="str">
        <x:v>ZUORDNUNG_REIHENFOLGE</x:v>
      </x:c>
      <x:c r="K25" s="22" t="str">
        <x:v>Wasserfiguren und Aventinblick</x:v>
      </x:c>
      <x:c r="L25" s="22" t="str">
        <x:v>ANTIKE_REZEPTION_BIS_NEUZEIT</x:v>
      </x:c>
      <x:c r="M25" s="22" t="str"/>
      <x:c r="N25" s="22" t="str">
        <x:v>Mascherone dell’Aventino</x:v>
      </x:c>
      <x:c r="O25" s="22" t="n">
        <x:f>SUMIF('Ortszuordnung'!$A$5:$A$85,B25,'Ortszuordnung'!$S$5:$S$85)</x:f>
        <x:v>1079</x:v>
      </x:c>
      <x:c r="P25" s="22" t="n">
        <x:f>ROUND(O25/'Kriterien'!$B$5,0)</x:f>
        <x:v>14</x:v>
      </x:c>
      <x:c r="Q25" s="22" t="n">
        <x:v>11</x:v>
      </x:c>
      <x:c r="R25" s="22" t="n">
        <x:f>P25+Q25</x:f>
        <x:v>25</x:v>
      </x:c>
      <x:c r="S25" s="22" t="str">
        <x:f>IF(AND(R25&gt;=H25,R25&lt;=I25),"OK",IF(R25&lt;H25,"ZU_KURZ","ZU_LANG"))</x:f>
        <x:v>OK</x:v>
      </x:c>
      <x:c r="T25" s="22" t="n">
        <x:f>COUNTIFS('Ortszuordnung'!$A$5:$A$85,B25,'Ortszuordnung'!$K$5:$K$85,"GRUEN")</x:f>
        <x:v>3</x:v>
      </x:c>
      <x:c r="U25" s="22" t="n">
        <x:f>COUNTIFS('Ortszuordnung'!$A$5:$A$85,B25,'Ortszuordnung'!$K$5:$K$85,"GELB")</x:f>
        <x:v>0</x:v>
      </x:c>
      <x:c r="V25" s="22" t="n">
        <x:f>COUNTIFS('Ortszuordnung'!$A$5:$A$85,B25,'Ortszuordnung'!$K$5:$K$85,"ROT")</x:f>
        <x:v>0</x:v>
      </x:c>
      <x:c r="W25" s="31" t="n">
        <x:v>4.2</x:v>
      </x:c>
      <x:c r="X25" s="31" t="n">
        <x:v>4.7</x:v>
      </x:c>
      <x:c r="Y25" s="31" t="n">
        <x:v>4.6</x:v>
      </x:c>
      <x:c r="Z25" s="31" t="n">
        <x:v>4</x:v>
      </x:c>
      <x:c r="AA25" s="31" t="n">
        <x:v>4.6</x:v>
      </x:c>
      <x:c r="AB25" s="31" t="n">
        <x:f>ROUND(W25*'Kriterien'!$B$7+X25*'Kriterien'!$B$8+Y25*'Kriterien'!$B$9+Z25*'Kriterien'!$B$10+AA25*'Kriterien'!$B$11,1)</x:f>
        <x:v>4.5</x:v>
      </x:c>
      <x:c r="AC25" s="22" t="str">
        <x:f>IF(V25&gt;0,"NICHT_EMPFOHLEN",IF(AB25&gt;=4.2,"SEHR_GUT",IF(AB25&gt;=3.6,"GUT",IF(AB25&gt;=3,"BEDINGT","NICHT_EMPFOHLEN"))))</x:f>
        <x:v>SEHR_GUT</x:v>
      </x:c>
      <x:c r="AD25" s="22" t="str">
        <x:v>Kurzer Anstieg; Blickrichtung am Belvedere muss eindeutig sein.</x:v>
      </x:c>
      <x:c r="AE25" s="22" t="str">
        <x:v>Bei gesperrtem Brunnenbereich bleibt der Belvedere-Panoramafallback.</x:v>
      </x:c>
    </x:row>
    <x:row r="26" ht="42" customHeight="1">
      <x:c r="A26" s="22" t="n">
        <x:v>22</x:v>
      </x:c>
      <x:c r="B26" s="22" t="str">
        <x:v>D2-Q06</x:v>
      </x:c>
      <x:c r="C26" s="22" t="str">
        <x:v>DAY_2</x:v>
      </x:c>
      <x:c r="D26" s="22" t="str">
        <x:v>Das steinerne Schiff</x:v>
      </x:c>
      <x:c r="E26" s="22" t="str">
        <x:v>Fontana della Navicella</x:v>
      </x:c>
      <x:c r="F26" s="22" t="n">
        <x:f>COUNTIF('Ortszuordnung'!$A$5:$A$85,B26)</x:f>
        <x:v>1</x:v>
      </x:c>
      <x:c r="G26" s="22" t="str">
        <x:v>5–15</x:v>
      </x:c>
      <x:c r="H26" s="22" t="n">
        <x:v>5</x:v>
      </x:c>
      <x:c r="I26" s="22" t="n">
        <x:v>15</x:v>
      </x:c>
      <x:c r="J26" s="22" t="str">
        <x:v>KURZTEXT_RAETSEL</x:v>
      </x:c>
      <x:c r="K26" s="22" t="str">
        <x:v>Antikenrezeption am Celio</x:v>
      </x:c>
      <x:c r="L26" s="22" t="str">
        <x:v>ANTIKE_REZEPTION</x:v>
      </x:c>
      <x:c r="M26" s="22" t="str"/>
      <x:c r="N26" s="22" t="str"/>
      <x:c r="O26" s="22" t="n">
        <x:f>SUMIF('Ortszuordnung'!$A$5:$A$85,B26,'Ortszuordnung'!$S$5:$S$85)</x:f>
        <x:v>0</x:v>
      </x:c>
      <x:c r="P26" s="22" t="n">
        <x:f>ROUND(O26/'Kriterien'!$B$5,0)</x:f>
        <x:v>0</x:v>
      </x:c>
      <x:c r="Q26" s="22" t="n">
        <x:v>9</x:v>
      </x:c>
      <x:c r="R26" s="22" t="n">
        <x:f>P26+Q26</x:f>
        <x:v>9</x:v>
      </x:c>
      <x:c r="S26" s="22" t="str">
        <x:f>IF(AND(R26&gt;=H26,R26&lt;=I26),"OK",IF(R26&lt;H26,"ZU_KURZ","ZU_LANG"))</x:f>
        <x:v>OK</x:v>
      </x:c>
      <x:c r="T26" s="22" t="n">
        <x:f>COUNTIFS('Ortszuordnung'!$A$5:$A$85,B26,'Ortszuordnung'!$K$5:$K$85,"GRUEN")</x:f>
        <x:v>1</x:v>
      </x:c>
      <x:c r="U26" s="22" t="n">
        <x:f>COUNTIFS('Ortszuordnung'!$A$5:$A$85,B26,'Ortszuordnung'!$K$5:$K$85,"GELB")</x:f>
        <x:v>0</x:v>
      </x:c>
      <x:c r="V26" s="22" t="n">
        <x:f>COUNTIFS('Ortszuordnung'!$A$5:$A$85,B26,'Ortszuordnung'!$K$5:$K$85,"ROT")</x:f>
        <x:v>0</x:v>
      </x:c>
      <x:c r="W26" s="31" t="n">
        <x:v>5</x:v>
      </x:c>
      <x:c r="X26" s="31" t="n">
        <x:v>4.2</x:v>
      </x:c>
      <x:c r="Y26" s="31" t="n">
        <x:v>4.4</x:v>
      </x:c>
      <x:c r="Z26" s="31" t="n">
        <x:v>4</x:v>
      </x:c>
      <x:c r="AA26" s="31" t="n">
        <x:v>4.1</x:v>
      </x:c>
      <x:c r="AB26" s="31" t="n">
        <x:f>ROUND(W26*'Kriterien'!$B$7+X26*'Kriterien'!$B$8+Y26*'Kriterien'!$B$9+Z26*'Kriterien'!$B$10+AA26*'Kriterien'!$B$11,1)</x:f>
        <x:v>4.4</x:v>
      </x:c>
      <x:c r="AC26" s="22" t="str">
        <x:f>IF(V26&gt;0,"NICHT_EMPFOHLEN",IF(AB26&gt;=4.2,"SEHR_GUT",IF(AB26&gt;=3.6,"GUT",IF(AB26&gt;=3,"BEDINGT","NICHT_EMPFOHLEN"))))</x:f>
        <x:v>SEHR_GUT</x:v>
      </x:c>
      <x:c r="AD26" s="22" t="str">
        <x:v>Nur die Großform des Schiffs verwenden.</x:v>
      </x:c>
      <x:c r="AE26" s="22" t="str">
        <x:v>Fallback: Ausrichtung des Schiffs statt kleiner Details.</x:v>
      </x:c>
    </x:row>
    <x:row r="27" ht="42" customHeight="1">
      <x:c r="A27" s="22" t="n">
        <x:v>23</x:v>
      </x:c>
      <x:c r="B27" s="22" t="str">
        <x:v>D2-Q07</x:v>
      </x:c>
      <x:c r="C27" s="22" t="str">
        <x:v>DAY_2</x:v>
      </x:c>
      <x:c r="D27" s="22" t="str">
        <x:v>Sitz der Kirche</x:v>
      </x:c>
      <x:c r="E27" s="22" t="str">
        <x:v>Lateranbasilika → Lateranischer Obelisk → Porta San Giovanni</x:v>
      </x:c>
      <x:c r="F27" s="22" t="n">
        <x:f>COUNTIF('Ortszuordnung'!$A$5:$A$85,B27)</x:f>
        <x:v>3</x:v>
      </x:c>
      <x:c r="G27" s="22" t="str">
        <x:v>15–25</x:v>
      </x:c>
      <x:c r="H27" s="22" t="n">
        <x:v>15</x:v>
      </x:c>
      <x:c r="I27" s="22" t="n">
        <x:v>25</x:v>
      </x:c>
      <x:c r="J27" s="22" t="str">
        <x:v>DIALOG_ENTSCHEIDUNG</x:v>
      </x:c>
      <x:c r="K27" s="22" t="str">
        <x:v>Lateran, Papsttum und Stadttor</x:v>
      </x:c>
      <x:c r="L27" s="22" t="str">
        <x:v>ANTIKE_BIS_BAROCK</x:v>
      </x:c>
      <x:c r="M27" s="22" t="str"/>
      <x:c r="N27" s="22" t="str"/>
      <x:c r="O27" s="22" t="n">
        <x:f>SUMIF('Ortszuordnung'!$A$5:$A$85,B27,'Ortszuordnung'!$S$5:$S$85)</x:f>
        <x:v>657</x:v>
      </x:c>
      <x:c r="P27" s="22" t="n">
        <x:f>ROUND(O27/'Kriterien'!$B$5,0)</x:f>
        <x:v>9</x:v>
      </x:c>
      <x:c r="Q27" s="22" t="n">
        <x:v>16</x:v>
      </x:c>
      <x:c r="R27" s="22" t="n">
        <x:f>P27+Q27</x:f>
        <x:v>25</x:v>
      </x:c>
      <x:c r="S27" s="22" t="str">
        <x:f>IF(AND(R27&gt;=H27,R27&lt;=I27),"OK",IF(R27&lt;H27,"ZU_KURZ","ZU_LANG"))</x:f>
        <x:v>OK</x:v>
      </x:c>
      <x:c r="T27" s="22" t="n">
        <x:f>COUNTIFS('Ortszuordnung'!$A$5:$A$85,B27,'Ortszuordnung'!$K$5:$K$85,"GRUEN")</x:f>
        <x:v>3</x:v>
      </x:c>
      <x:c r="U27" s="22" t="n">
        <x:f>COUNTIFS('Ortszuordnung'!$A$5:$A$85,B27,'Ortszuordnung'!$K$5:$K$85,"GELB")</x:f>
        <x:v>0</x:v>
      </x:c>
      <x:c r="V27" s="22" t="n">
        <x:f>COUNTIFS('Ortszuordnung'!$A$5:$A$85,B27,'Ortszuordnung'!$K$5:$K$85,"ROT")</x:f>
        <x:v>0</x:v>
      </x:c>
      <x:c r="W27" s="31" t="n">
        <x:v>4.7</x:v>
      </x:c>
      <x:c r="X27" s="31" t="n">
        <x:v>5</x:v>
      </x:c>
      <x:c r="Y27" s="31" t="n">
        <x:v>4.5</x:v>
      </x:c>
      <x:c r="Z27" s="31" t="n">
        <x:v>3.7</x:v>
      </x:c>
      <x:c r="AA27" s="31" t="n">
        <x:v>4.8</x:v>
      </x:c>
      <x:c r="AB27" s="31" t="n">
        <x:f>ROUND(W27*'Kriterien'!$B$7+X27*'Kriterien'!$B$8+Y27*'Kriterien'!$B$9+Z27*'Kriterien'!$B$10+AA27*'Kriterien'!$B$11,1)</x:f>
        <x:v>4.6</x:v>
      </x:c>
      <x:c r="AC27" s="22" t="str">
        <x:f>IF(V27&gt;0,"NICHT_EMPFOHLEN",IF(AB27&gt;=4.2,"SEHR_GUT",IF(AB27&gt;=3.6,"GUT",IF(AB27&gt;=3,"BEDINGT","NICHT_EMPFOHLEN"))))</x:f>
        <x:v>SEHR_GUT</x:v>
      </x:c>
      <x:c r="AD27" s="22" t="str">
        <x:v>Menschenmenge und Verkehr, aber robuste Großformen.</x:v>
      </x:c>
      <x:c r="AE27" s="22" t="str">
        <x:v>Bei Verkehrssperre bleibt die Quest auf Basilika-Außenfassade und Obelisk.</x:v>
      </x:c>
    </x:row>
    <x:row r="28" ht="42" customHeight="1">
      <x:c r="A28" s="22" t="n">
        <x:v>24</x:v>
      </x:c>
      <x:c r="B28" s="22" t="str">
        <x:v>D2-Q08</x:v>
      </x:c>
      <x:c r="C28" s="22" t="str">
        <x:v>DAY_2</x:v>
      </x:c>
      <x:c r="D28" s="22" t="str">
        <x:v>Tore der Aurelianischen Mauer</x:v>
      </x:c>
      <x:c r="E28" s="22" t="str">
        <x:v>Porta Latina → Porta Metronia</x:v>
      </x:c>
      <x:c r="F28" s="22" t="n">
        <x:f>COUNTIF('Ortszuordnung'!$A$5:$A$85,B28)</x:f>
        <x:v>2</x:v>
      </x:c>
      <x:c r="G28" s="22" t="str">
        <x:v>25–35</x:v>
      </x:c>
      <x:c r="H28" s="22" t="n">
        <x:v>25</x:v>
      </x:c>
      <x:c r="I28" s="22" t="n">
        <x:v>35</x:v>
      </x:c>
      <x:c r="J28" s="22" t="str">
        <x:v>ZUORDNUNG_REIHENFOLGE</x:v>
      </x:c>
      <x:c r="K28" s="22" t="str">
        <x:v>Stadtmauer und Verkehrsumbau</x:v>
      </x:c>
      <x:c r="L28" s="22" t="str">
        <x:v>ANTIKE_BIS_GEGENWART</x:v>
      </x:c>
      <x:c r="M28" s="22" t="str"/>
      <x:c r="N28" s="22" t="str">
        <x:v>Scorpione delle Mura</x:v>
      </x:c>
      <x:c r="O28" s="22" t="n">
        <x:f>SUMIF('Ortszuordnung'!$A$5:$A$85,B28,'Ortszuordnung'!$S$5:$S$85)</x:f>
        <x:v>899</x:v>
      </x:c>
      <x:c r="P28" s="22" t="n">
        <x:f>ROUND(O28/'Kriterien'!$B$5,0)</x:f>
        <x:v>12</x:v>
      </x:c>
      <x:c r="Q28" s="22" t="n">
        <x:v>14</x:v>
      </x:c>
      <x:c r="R28" s="22" t="n">
        <x:f>P28+Q28</x:f>
        <x:v>26</x:v>
      </x:c>
      <x:c r="S28" s="22" t="str">
        <x:f>IF(AND(R28&gt;=H28,R28&lt;=I28),"OK",IF(R28&lt;H28,"ZU_KURZ","ZU_LANG"))</x:f>
        <x:v>OK</x:v>
      </x:c>
      <x:c r="T28" s="22" t="n">
        <x:f>COUNTIFS('Ortszuordnung'!$A$5:$A$85,B28,'Ortszuordnung'!$K$5:$K$85,"GRUEN")</x:f>
        <x:v>1</x:v>
      </x:c>
      <x:c r="U28" s="22" t="n">
        <x:f>COUNTIFS('Ortszuordnung'!$A$5:$A$85,B28,'Ortszuordnung'!$K$5:$K$85,"GELB")</x:f>
        <x:v>1</x:v>
      </x:c>
      <x:c r="V28" s="22" t="n">
        <x:f>COUNTIFS('Ortszuordnung'!$A$5:$A$85,B28,'Ortszuordnung'!$K$5:$K$85,"ROT")</x:f>
        <x:v>0</x:v>
      </x:c>
      <x:c r="W28" s="31" t="n">
        <x:v>3.2</x:v>
      </x:c>
      <x:c r="X28" s="31" t="n">
        <x:v>4.5</x:v>
      </x:c>
      <x:c r="Y28" s="31" t="n">
        <x:v>4.3</x:v>
      </x:c>
      <x:c r="Z28" s="31" t="n">
        <x:v>3.1</x:v>
      </x:c>
      <x:c r="AA28" s="31" t="n">
        <x:v>4.4</x:v>
      </x:c>
      <x:c r="AB28" s="31" t="n">
        <x:f>ROUND(W28*'Kriterien'!$B$7+X28*'Kriterien'!$B$8+Y28*'Kriterien'!$B$9+Z28*'Kriterien'!$B$10+AA28*'Kriterien'!$B$11,1)</x:f>
        <x:v>4</x:v>
      </x:c>
      <x:c r="AC28" s="22" t="str">
        <x:f>IF(V28&gt;0,"NICHT_EMPFOHLEN",IF(AB28&gt;=4.2,"SEHR_GUT",IF(AB28&gt;=3.6,"GUT",IF(AB28&gt;=3,"BEDINGT","NICHT_EMPFOHLEN"))))</x:f>
        <x:v>GUT</x:v>
      </x:c>
      <x:c r="AD28" s="22" t="str">
        <x:v>Längere Gehstrecke und Verkehrsumfeld an Porta Metronia.</x:v>
      </x:c>
      <x:c r="AE28" s="22" t="str">
        <x:v>Wenn Porta Metronia nicht sicher anspielbar ist, wird nur Porta Latina als Kurzquest aktiviert.</x:v>
      </x:c>
    </x:row>
    <x:row r="29" ht="42" customHeight="1">
      <x:c r="A29" s="22" t="n">
        <x:v>25</x:v>
      </x:c>
      <x:c r="B29" s="22" t="str">
        <x:v>D2-Q09</x:v>
      </x:c>
      <x:c r="C29" s="22" t="str">
        <x:v>DAY_2</x:v>
      </x:c>
      <x:c r="D29" s="22" t="str">
        <x:v>Schichten des Esquilino</x:v>
      </x:c>
      <x:c r="E29" s="22" t="str">
        <x:v>Basilika Groß Sankt Marien → Obelisco Esquilino → Thermae Traianae</x:v>
      </x:c>
      <x:c r="F29" s="22" t="n">
        <x:f>COUNTIF('Ortszuordnung'!$A$5:$A$85,B29)</x:f>
        <x:v>3</x:v>
      </x:c>
      <x:c r="G29" s="22" t="str">
        <x:v>25–35</x:v>
      </x:c>
      <x:c r="H29" s="22" t="n">
        <x:v>25</x:v>
      </x:c>
      <x:c r="I29" s="22" t="n">
        <x:v>35</x:v>
      </x:c>
      <x:c r="J29" s="22" t="str">
        <x:v>BEOBACHTUNG_SUCHE</x:v>
      </x:c>
      <x:c r="K29" s="22" t="str">
        <x:v>Kirche, Obelisk und antike Thermen</x:v>
      </x:c>
      <x:c r="L29" s="22" t="str">
        <x:v>ANTIKE_BIS_BAROCK</x:v>
      </x:c>
      <x:c r="M29" s="22" t="str"/>
      <x:c r="N29" s="22" t="str">
        <x:v>Vapore delle Terme</x:v>
      </x:c>
      <x:c r="O29" s="22" t="n">
        <x:f>SUMIF('Ortszuordnung'!$A$5:$A$85,B29,'Ortszuordnung'!$S$5:$S$85)</x:f>
        <x:v>1027</x:v>
      </x:c>
      <x:c r="P29" s="22" t="n">
        <x:f>ROUND(O29/'Kriterien'!$B$5,0)</x:f>
        <x:v>14</x:v>
      </x:c>
      <x:c r="Q29" s="22" t="n">
        <x:v>20</x:v>
      </x:c>
      <x:c r="R29" s="22" t="n">
        <x:f>P29+Q29</x:f>
        <x:v>34</x:v>
      </x:c>
      <x:c r="S29" s="22" t="str">
        <x:f>IF(AND(R29&gt;=H29,R29&lt;=I29),"OK",IF(R29&lt;H29,"ZU_KURZ","ZU_LANG"))</x:f>
        <x:v>OK</x:v>
      </x:c>
      <x:c r="T29" s="22" t="n">
        <x:f>COUNTIFS('Ortszuordnung'!$A$5:$A$85,B29,'Ortszuordnung'!$K$5:$K$85,"GRUEN")</x:f>
        <x:v>2</x:v>
      </x:c>
      <x:c r="U29" s="22" t="n">
        <x:f>COUNTIFS('Ortszuordnung'!$A$5:$A$85,B29,'Ortszuordnung'!$K$5:$K$85,"GELB")</x:f>
        <x:v>1</x:v>
      </x:c>
      <x:c r="V29" s="22" t="n">
        <x:f>COUNTIFS('Ortszuordnung'!$A$5:$A$85,B29,'Ortszuordnung'!$K$5:$K$85,"ROT")</x:f>
        <x:v>0</x:v>
      </x:c>
      <x:c r="W29" s="31" t="n">
        <x:v>4</x:v>
      </x:c>
      <x:c r="X29" s="31" t="n">
        <x:v>5</x:v>
      </x:c>
      <x:c r="Y29" s="31" t="n">
        <x:v>4</x:v>
      </x:c>
      <x:c r="Z29" s="31" t="n">
        <x:v>3.2</x:v>
      </x:c>
      <x:c r="AA29" s="31" t="n">
        <x:v>4.6</x:v>
      </x:c>
      <x:c r="AB29" s="31" t="n">
        <x:f>ROUND(W29*'Kriterien'!$B$7+X29*'Kriterien'!$B$8+Y29*'Kriterien'!$B$9+Z29*'Kriterien'!$B$10+AA29*'Kriterien'!$B$11,1)</x:f>
        <x:v>4.2</x:v>
      </x:c>
      <x:c r="AC29" s="22" t="str">
        <x:f>IF(V29&gt;0,"NICHT_EMPFOHLEN",IF(AB29&gt;=4.2,"SEHR_GUT",IF(AB29&gt;=3.6,"GUT",IF(AB29&gt;=3,"BEDINGT","NICHT_EMPFOHLEN"))))</x:f>
        <x:v>SEHR_GUT</x:v>
      </x:c>
      <x:c r="AD29" s="22" t="str">
        <x:v>Santa Maria Maggiore ist Bosszone und sehr belebt; Parkzugang zu den Thermen prüfen.</x:v>
      </x:c>
      <x:c r="AE29" s="22" t="str">
        <x:v>Bei Parkschließung endet die Quest am Esquilino-Obelisken.</x:v>
      </x:c>
    </x:row>
    <x:row r="30" ht="42" customHeight="1">
      <x:c r="A30" s="23" t="n">
        <x:v>26</x:v>
      </x:c>
      <x:c r="B30" s="23" t="str">
        <x:v>D2-Q10</x:v>
      </x:c>
      <x:c r="C30" s="23" t="str">
        <x:v>DAY_2</x:v>
      </x:c>
      <x:c r="D30" s="23" t="str">
        <x:v>Wasser über dem Tor</x:v>
      </x:c>
      <x:c r="E30" s="23" t="str">
        <x:v>Porta Maggiore und Aqua Claudia</x:v>
      </x:c>
      <x:c r="F30" s="23" t="n">
        <x:f>COUNTIF('Ortszuordnung'!$A$5:$A$85,B30)</x:f>
        <x:v>1</x:v>
      </x:c>
      <x:c r="G30" s="23" t="str">
        <x:v>5–15</x:v>
      </x:c>
      <x:c r="H30" s="23" t="n">
        <x:v>5</x:v>
      </x:c>
      <x:c r="I30" s="23" t="n">
        <x:v>15</x:v>
      </x:c>
      <x:c r="J30" s="23" t="str">
        <x:v>KAMPF</x:v>
      </x:c>
      <x:c r="K30" s="23" t="str">
        <x:v>Aqua Claudia und Stadttor</x:v>
      </x:c>
      <x:c r="L30" s="23" t="str">
        <x:v>ANTIKE</x:v>
      </x:c>
      <x:c r="M30" s="23" t="str"/>
      <x:c r="N30" s="23" t="str">
        <x:v>Idra dell’Aqua Claudia</x:v>
      </x:c>
      <x:c r="O30" s="23" t="n">
        <x:f>SUMIF('Ortszuordnung'!$A$5:$A$85,B30,'Ortszuordnung'!$S$5:$S$85)</x:f>
        <x:v>0</x:v>
      </x:c>
      <x:c r="P30" s="23" t="n">
        <x:f>ROUND(O30/'Kriterien'!$B$5,0)</x:f>
        <x:v>0</x:v>
      </x:c>
      <x:c r="Q30" s="23" t="n">
        <x:v>10</x:v>
      </x:c>
      <x:c r="R30" s="23" t="n">
        <x:f>P30+Q30</x:f>
        <x:v>10</x:v>
      </x:c>
      <x:c r="S30" s="23" t="str">
        <x:f>IF(AND(R30&gt;=H30,R30&lt;=I30),"OK",IF(R30&lt;H30,"ZU_KURZ","ZU_LANG"))</x:f>
        <x:v>OK</x:v>
      </x:c>
      <x:c r="T30" s="23" t="n">
        <x:f>COUNTIFS('Ortszuordnung'!$A$5:$A$85,B30,'Ortszuordnung'!$K$5:$K$85,"GRUEN")</x:f>
        <x:v>1</x:v>
      </x:c>
      <x:c r="U30" s="23" t="n">
        <x:f>COUNTIFS('Ortszuordnung'!$A$5:$A$85,B30,'Ortszuordnung'!$K$5:$K$85,"GELB")</x:f>
        <x:v>0</x:v>
      </x:c>
      <x:c r="V30" s="23" t="n">
        <x:f>COUNTIFS('Ortszuordnung'!$A$5:$A$85,B30,'Ortszuordnung'!$K$5:$K$85,"ROT")</x:f>
        <x:v>0</x:v>
      </x:c>
      <x:c r="W30" s="32" t="n">
        <x:v>5</x:v>
      </x:c>
      <x:c r="X30" s="32" t="n">
        <x:v>4.8</x:v>
      </x:c>
      <x:c r="Y30" s="32" t="n">
        <x:v>4.6</x:v>
      </x:c>
      <x:c r="Z30" s="32" t="n">
        <x:v>3.2</x:v>
      </x:c>
      <x:c r="AA30" s="32" t="n">
        <x:v>5</x:v>
      </x:c>
      <x:c r="AB30" s="32" t="n">
        <x:f>ROUND(W30*'Kriterien'!$B$7+X30*'Kriterien'!$B$8+Y30*'Kriterien'!$B$9+Z30*'Kriterien'!$B$10+AA30*'Kriterien'!$B$11,1)</x:f>
        <x:v>4.6</x:v>
      </x:c>
      <x:c r="AC30" s="23" t="str">
        <x:f>IF(V30&gt;0,"NICHT_EMPFOHLEN",IF(AB30&gt;=4.2,"SEHR_GUT",IF(AB30&gt;=3.6,"GUT",IF(AB30&gt;=3,"BEDINGT","NICHT_EMPFOHLEN"))))</x:f>
        <x:v>SEHR_GUT</x:v>
      </x:c>
      <x:c r="AD30" s="23" t="str">
        <x:v>Sicherer Gehwegpunkt im Verkehrsknoten ist zwingend.</x:v>
      </x:c>
      <x:c r="AE30" s="23" t="str">
        <x:v>Bei ungeeignetem Gehwegpunkt wird die Quest vollständig deaktiviert.</x:v>
      </x:c>
    </x:row>
  </x:sheetData>
  <x:mergeCells>
    <x:mergeCell ref="A1:AC1"/>
    <x:mergeCell ref="A2:AC2"/>
  </x:mergeCells>
  <x:conditionalFormatting sqref="AC5:AC30">
    <x:cfRule type="containsText" dxfId="3" priority="1" operator="containsText" text="SEHR_GUT"/>
    <x:cfRule type="containsText" dxfId="4" priority="2" operator="containsText" text="GUT"/>
    <x:cfRule type="containsText" dxfId="5" priority="3" operator="containsText" text="BEDINGT"/>
  </x:conditionalFormatting>
  <x:conditionalFormatting sqref="S5:S30">
    <x:cfRule type="containsText" dxfId="6" priority="4" operator="containsText" text="OK"/>
  </x:conditionalFormatting>
  <x:pageMargins left="0.7" right="0.7" top="0.75" bottom="0.75" header="0.3" footer="0.3"/>
  <x:tableParts count="1">
    <x:tablePart xmlns:r="http://schemas.openxmlformats.org/officeDocument/2006/relationships" r:id="Rf128aea7a215444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10" hidden="0" customWidth="1"/>
    <x:col min="3" max="3" width="28" hidden="0" customWidth="1"/>
    <x:col min="4" max="4" width="60" hidden="0" customWidth="1"/>
    <x:col min="5" max="5" width="62" hidden="0" customWidth="1"/>
    <x:col min="6" max="6" width="38" hidden="0" customWidth="1"/>
    <x:col min="7" max="7" width="48" hidden="0" customWidth="1"/>
    <x:col min="8" max="8" width="48" hidden="0" customWidth="1"/>
    <x:col min="9" max="9" width="55" hidden="0" customWidth="1"/>
    <x:col min="10" max="10" width="45" hidden="0" customWidth="1"/>
  </x:cols>
  <x:sheetData>
    <x:row r="1" ht="30" customHeight="1">
      <x:c r="A1" s="48" t="str">
        <x:v>Via Romae – Questdesign-Entwürfe</x:v>
      </x:c>
      <x:c r="B1" s="48"/>
      <x:c r="C1" s="48"/>
      <x:c r="D1" s="48"/>
      <x:c r="E1" s="48"/>
      <x:c r="F1" s="48"/>
      <x:c r="G1" s="48"/>
      <x:c r="H1" s="48"/>
      <x:c r="I1" s="48"/>
      <x:c r="J1" s="48"/>
    </x:row>
    <x:row r="2" ht="32" customHeight="1">
      <x:c r="A2" s="49" t="str">
        <x:v>Narrativer Hook, Spielerhandlung, Belohnungsvariation, Hidden Opportunity und Fallback je regulärer Quest.</x:v>
      </x:c>
      <x:c r="B2" s="49"/>
      <x:c r="C2" s="49"/>
      <x:c r="D2" s="49"/>
      <x:c r="E2" s="49"/>
      <x:c r="F2" s="49"/>
      <x:c r="G2" s="49"/>
      <x:c r="H2" s="49"/>
      <x:c r="I2" s="49"/>
      <x:c r="J2" s="49"/>
    </x:row>
    <x:row r="3">
      <x:c r="A3" s="50"/>
      <x:c r="B3" s="50"/>
      <x:c r="C3" s="50"/>
      <x:c r="D3" s="50"/>
      <x:c r="E3" s="50"/>
      <x:c r="F3" s="50"/>
      <x:c r="G3" s="50"/>
      <x:c r="H3" s="50"/>
      <x:c r="I3" s="50"/>
      <x:c r="J3" s="50"/>
    </x:row>
    <x:row r="4">
      <x:c r="A4" s="51" t="str">
        <x:v>Quest-ID</x:v>
      </x:c>
      <x:c r="B4" s="51" t="str">
        <x:v>Tag</x:v>
      </x:c>
      <x:c r="C4" s="51" t="str">
        <x:v>Arbeitstitel</x:v>
      </x:c>
      <x:c r="D4" s="51" t="str">
        <x:v>Narrativer Hook</x:v>
      </x:c>
      <x:c r="E4" s="51" t="str">
        <x:v>Kernhandlung der Spieler</x:v>
      </x:c>
      <x:c r="F4" s="51" t="str">
        <x:v>Sekundärmechaniken</x:v>
      </x:c>
      <x:c r="G4" s="51" t="str">
        <x:v>Belohnungsvariation</x:v>
      </x:c>
      <x:c r="H4" s="51" t="str">
        <x:v>Hidden Opportunity</x:v>
      </x:c>
      <x:c r="I4" s="51" t="str">
        <x:v>Fallback</x:v>
      </x:c>
      <x:c r="J4" s="51" t="str">
        <x:v>Redaktionsnotiz</x:v>
      </x:c>
    </x:row>
    <x:row r="5" ht="56" customHeight="1">
      <x:c r="A5" s="21" t="str">
        <x:v>D1-Q01</x:v>
      </x:c>
      <x:c r="B5" s="21" t="str">
        <x:v>DAY_1</x:v>
      </x:c>
      <x:c r="C5" s="21" t="str">
        <x:v>Der Fluchtkorridor</x:v>
      </x:c>
      <x:c r="D5" s="21" t="str">
        <x:v>Rekonstruiert den Fluchtweg vom Petersplatz über den Passetto bis zur Engelsburg.</x:v>
      </x:c>
      <x:c r="E5" s="21" t="str">
        <x:v>An jedem Ort einen dauerhaften Hinweis identifizieren; am Ende entscheiden, wie die Nachhut den Rückzug deckt.</x:v>
      </x:c>
      <x:c r="F5" s="21" t="str">
        <x:v>GPS_ROUTE|BEOBACHTUNG|ZUORDNUNG|OPTIONALER_KAMPF</x:v>
      </x:c>
      <x:c r="G5" s="21" t="str">
        <x:v>Die Schlussentscheidung verändert Ruhm, Schutzbonus oder Kampfbelohnung.</x:v>
      </x:c>
      <x:c r="H5" s="21" t="str">
        <x:v>Ein unauffälliges Wappen kann einen kurzen Zusatzdialog der Schweizergarde öffnen.</x:v>
      </x:c>
      <x:c r="I5" s="21" t="str">
        <x:v>Bei unklarer Bodenmarkierung startet die Quest am Passetto mit dessen Mauerverlauf.</x:v>
      </x:c>
      <x:c r="J5" s="21" t="str">
        <x:v>Verbindlicher Klassenanker Schweizergardist; nur Außenpunkte.</x:v>
      </x:c>
    </x:row>
    <x:row r="6" ht="56" customHeight="1">
      <x:c r="A6" s="22" t="str">
        <x:v>D1-Q02</x:v>
      </x:c>
      <x:c r="B6" s="22" t="str">
        <x:v>DAY_1</x:v>
      </x:c>
      <x:c r="C6" s="22" t="str">
        <x:v>Tore des Borgo</x:v>
      </x:c>
      <x:c r="D6" s="22" t="str">
        <x:v>Vergleicht drei sehr unterschiedliche Tore und entscheidet, welches ein Söldnerführer verteidigen würde.</x:v>
      </x:c>
      <x:c r="E6" s="22" t="str">
        <x:v>Torformen und Wappen zuordnen; taktische Entscheidung; Kampf gegen den päpstlichen Reiter.</x:v>
      </x:c>
      <x:c r="F6" s="22" t="str">
        <x:v>GPS_ROUTE|WAPPENSUCHE|FASSADENVERGLEICH|DIALOG</x:v>
      </x:c>
      <x:c r="G6" s="22" t="str">
        <x:v>Richtige Taktik gewährt Rüstungsbonus im Kampf.</x:v>
      </x:c>
      <x:c r="H6" s="22" t="str">
        <x:v>Das Borgia-Stiermotiv kann eine kurze Wappenspur auslösen.</x:v>
      </x:c>
      <x:c r="I6" s="22" t="str">
        <x:v>Wenn Porta Cavalleggeri nicht eindeutig ist, endet die Quest an Porta Santo Spirito.</x:v>
      </x:c>
      <x:c r="J6" s="22" t="str">
        <x:v>Verbindlicher Klassenanker Condottiere; aktuelle Sichtprüfung besonders wichtig.</x:v>
      </x:c>
    </x:row>
    <x:row r="7" ht="56" customHeight="1">
      <x:c r="A7" s="22" t="str">
        <x:v>D1-Q03</x:v>
      </x:c>
      <x:c r="B7" s="22" t="str">
        <x:v>DAY_1</x:v>
      </x:c>
      <x:c r="C7" s="22" t="str">
        <x:v>Der Dreizack</x:v>
      </x:c>
      <x:c r="D7" s="22" t="str">
        <x:v>Lest Piazza, Obelisk und Tor als gemeinsam inszenierten nördlichen Eingang Roms.</x:v>
      </x:c>
      <x:c r="E7" s="22" t="str">
        <x:v>Dreizack erkennen, Löwen zählen und die Toröffnungen in die richtige historische Reihenfolge bringen.</x:v>
      </x:c>
      <x:c r="F7" s="22" t="str">
        <x:v>PANORAMABLICK|ZAEHLEN|REIHENFOLGE</x:v>
      </x:c>
      <x:c r="G7" s="22" t="str">
        <x:v>Fehlerfreie Reihenfolge gibt einen Navigationsbonus.</x:v>
      </x:c>
      <x:c r="H7" s="22" t="str">
        <x:v>Ein falscher Weg im Dreizack kann zu einer kurzen Irrläufer-Entscheidung führen.</x:v>
      </x:c>
      <x:c r="I7" s="22" t="str">
        <x:v>Bei dichter Menschenmenge nur Silhouetten und Großformen verwenden.</x:v>
      </x:c>
      <x:c r="J7" s="22" t="str"/>
    </x:row>
    <x:row r="8" ht="56" customHeight="1">
      <x:c r="A8" s="22" t="str">
        <x:v>D1-Q04</x:v>
      </x:c>
      <x:c r="B8" s="22" t="str">
        <x:v>DAY_1</x:v>
      </x:c>
      <x:c r="C8" s="22" t="str">
        <x:v>Antinoos über Rom</x:v>
      </x:c>
      <x:c r="D8" s="22" t="str">
        <x:v>Verbindet ägyptische Zeichen, Roms Gründungsbild und den Blick über die Stadt.</x:v>
      </x:c>
      <x:c r="E8" s="22" t="str">
        <x:v>Zeichen und Figuren zuordnen; die korrekte Deutung schwächt den Schatten des Antinoos.</x:v>
      </x:c>
      <x:c r="F8" s="22" t="str">
        <x:v>MYTHENFIGUREN|AUSSICHTSABGLEICH|ZUORDNUNG</x:v>
      </x:c>
      <x:c r="G8" s="22" t="str">
        <x:v>Jede richtige Zuordnung entfernt eine Gegnerfähigkeit.</x:v>
      </x:c>
      <x:c r="H8" s="22" t="str">
        <x:v>Die Wölfin kann eine optionale Gründungslegende öffnen.</x:v>
      </x:c>
      <x:c r="I8" s="22" t="str">
        <x:v>Bei gesperrtem Pincio wird die Quest deaktiviert; kein entfernter Ersatzpunkt.</x:v>
      </x:c>
      <x:c r="J8" s="22" t="str"/>
    </x:row>
    <x:row r="9" ht="56" customHeight="1">
      <x:c r="A9" s="22" t="str">
        <x:v>D1-Q05</x:v>
      </x:c>
      <x:c r="B9" s="22" t="str">
        <x:v>DAY_1</x:v>
      </x:c>
      <x:c r="C9" s="22" t="str">
        <x:v>Die steinerne Barke</x:v>
      </x:c>
      <x:c r="D9" s="22" t="str">
        <x:v>Erkennt, weshalb der Brunnen wie ein halb gesunkenes Boot wirkt.</x:v>
      </x:c>
      <x:c r="E9" s="22" t="str">
        <x:v>Ort erreichen, Großform bestimmen und zwischen vier Objektformen wählen.</x:v>
      </x:c>
      <x:c r="F9" s="22" t="str">
        <x:v>OBJEKTFORM|MULTIPLE_CHOICE</x:v>
      </x:c>
      <x:c r="G9" s="22" t="str">
        <x:v>Schneller Abschluss; kleiner Wissensbonus für die Bernini-Zuordnung.</x:v>
      </x:c>
      <x:c r="H9" s="22" t="str">
        <x:v>Keine Hidden-Komponente empfohlen: zu viele Passanten.</x:v>
      </x:c>
      <x:c r="I9" s="22" t="str">
        <x:v>Fallback ist die Richtung der großen Treppe zu Trinità dei Monti.</x:v>
      </x:c>
      <x:c r="J9" s="22" t="str"/>
    </x:row>
    <x:row r="10" ht="56" customHeight="1">
      <x:c r="A10" s="22" t="str">
        <x:v>D1-Q06</x:v>
      </x:c>
      <x:c r="B10" s="22" t="str">
        <x:v>DAY_1</x:v>
      </x:c>
      <x:c r="C10" s="22" t="str">
        <x:v>Berninis Werkstatt</x:v>
      </x:c>
      <x:c r="D10" s="22" t="str">
        <x:v>Lest die drei Brunnen als Werkstatt- und Inszenierungsraum des Barock.</x:v>
      </x:c>
      <x:c r="E10" s="22" t="str">
        <x:v>Brunnen ablaufen, Figurenattribute zuordnen und eine Werkstattentscheidung treffen.</x:v>
      </x:c>
      <x:c r="F10" s="22" t="str">
        <x:v>FIGURENDETAIL|VERGLEICH|DIALOG</x:v>
      </x:c>
      <x:c r="G10" s="22" t="str">
        <x:v>Die Werkstattwahl verändert Material- oder Ruhmbelohnung.</x:v>
      </x:c>
      <x:c r="H10" s="22" t="str">
        <x:v>Ein falsch zugeordnetes Tier kann einen humorvollen Lehrlingsauftrag öffnen.</x:v>
      </x:c>
      <x:c r="I10" s="22" t="str">
        <x:v>Fallback: Zahl und Lage der drei Brunnen statt einzelner Figurendetails.</x:v>
      </x:c>
      <x:c r="J10" s="22" t="str">
        <x:v>Verbindlicher Klassenanker Bildhauer; überschneidet sich bewusst mit Medienquest.</x:v>
      </x:c>
    </x:row>
    <x:row r="11" ht="56" customHeight="1">
      <x:c r="A11" s="22" t="str">
        <x:v>D1-Q07</x:v>
      </x:c>
      <x:c r="B11" s="22" t="str">
        <x:v>DAY_1</x:v>
      </x:c>
      <x:c r="C11" s="22" t="str">
        <x:v>Agrippas Zeichen</x:v>
      </x:c>
      <x:c r="D11" s="22" t="str">
        <x:v>Entschlüsselt zwei kurze sichtbare Hinweise auf demselben Platz.</x:v>
      </x:c>
      <x:c r="E11" s="22" t="str">
        <x:v>AGRIPPA als normalisierte Texteingabe erfassen und den Obelisken seinem heutigen Träger zuordnen.</x:v>
      </x:c>
      <x:c r="F11" s="22" t="str">
        <x:v>INSCHRIFT|OBJEKTBEZIEHUNG|OPTIONALER_KAMPF</x:v>
      </x:c>
      <x:c r="G11" s="22" t="str">
        <x:v>Fehlerfreie Texteingabe schwächt die Mumie des Iseums.</x:v>
      </x:c>
      <x:c r="H11" s="22" t="str">
        <x:v>Die Hieroglyphen können einen optionalen Gegnerhinweis auslösen.</x:v>
      </x:c>
      <x:c r="I11" s="22" t="str">
        <x:v>Fallback: Portikusform am Pantheon und Obelisk-auf-Brunnen-Beziehung.</x:v>
      </x:c>
      <x:c r="J11" s="22" t="str"/>
    </x:row>
    <x:row r="12" ht="56" customHeight="1">
      <x:c r="A12" s="22" t="str">
        <x:v>D1-Q08</x:v>
      </x:c>
      <x:c r="B12" s="22" t="str">
        <x:v>DAY_1</x:v>
      </x:c>
      <x:c r="C12" s="22" t="str">
        <x:v>Kaiserbotschaften</x:v>
      </x:c>
      <x:c r="D12" s="22" t="str">
        <x:v>Vergleicht zwei Säulenmonumente und ihre sehr unterschiedlichen Bildsprachen.</x:v>
      </x:c>
      <x:c r="E12" s="22" t="str">
        <x:v>Hieroglyphen und Spiralrelief erkennen; Zweck und Bildsprache zuordnen.</x:v>
      </x:c>
      <x:c r="F12" s="22" t="str">
        <x:v>SCHRIFTERKENNUNG|RELIEFMUSTER|VERGLEICH</x:v>
      </x:c>
      <x:c r="G12" s="22" t="str">
        <x:v>Richtige Zuordnung gibt einen kurzen Wissensbonus.</x:v>
      </x:c>
      <x:c r="H12" s="22" t="str">
        <x:v>Keine zusätzliche Hidden Quest nötig.</x:v>
      </x:c>
      <x:c r="I12" s="22" t="str">
        <x:v>Fallback: Form des Reliefbands beziehungsweise Schriftart am Obelisken.</x:v>
      </x:c>
      <x:c r="J12" s="22" t="str"/>
    </x:row>
    <x:row r="13" ht="56" customHeight="1">
      <x:c r="A13" s="22" t="str">
        <x:v>D1-Q09</x:v>
      </x:c>
      <x:c r="B13" s="22" t="str">
        <x:v>DAY_1</x:v>
      </x:c>
      <x:c r="C13" s="22" t="str">
        <x:v>Das gebändigte Wasser</x:v>
      </x:c>
      <x:c r="D13" s="22" t="str">
        <x:v>Folgt der Aqua Virgo von sichtbaren Arkaden bis zu zwei monumentalen Brunnenbildern.</x:v>
      </x:c>
      <x:c r="E13" s="22" t="str">
        <x:v>Wasserweg nachvollziehen, große Figuren zählen und den Kanalratten-Gegner stellen.</x:v>
      </x:c>
      <x:c r="F13" s="22" t="str">
        <x:v>GPS_ROUTE|ARKADEN|FIGURENVERGLEICH</x:v>
      </x:c>
      <x:c r="G13" s="22" t="str">
        <x:v>Jeder korrekt gelesene Wasserhinweis reduziert eine Gift-/Schmutzfähigkeit.</x:v>
      </x:c>
      <x:c r="H13" s="22" t="str">
        <x:v>Die Arkaden können den versteckten Auftrag „Ratte des Aquädukts“ öffnen.</x:v>
      </x:c>
      <x:c r="I13" s="22" t="str">
        <x:v>Wenn die Arkaden verdeckt sind, nutzt die gleichörtige Materialfrage und setzt die Route fort.</x:v>
      </x:c>
      <x:c r="J13" s="22" t="str"/>
    </x:row>
    <x:row r="14" ht="56" customHeight="1">
      <x:c r="A14" s="22" t="str">
        <x:v>D1-Q10</x:v>
      </x:c>
      <x:c r="B14" s="22" t="str">
        <x:v>DAY_1</x:v>
      </x:c>
      <x:c r="C14" s="22" t="str">
        <x:v>Macht auf dem Quirinal</x:v>
      </x:c>
      <x:c r="D14" s="22" t="str">
        <x:v>Verfolgt, wie militärische und staatliche Macht am Quirinal sichtbar wird.</x:v>
      </x:c>
      <x:c r="E14" s="22" t="str">
        <x:v>Name, Pferdegruppe und heutige Institution erfassen; anschließend Loyalität wählen.</x:v>
      </x:c>
      <x:c r="F14" s="22" t="str">
        <x:v>INSCHRIFT|PFERDEGRUPPE|GESCHICHTSWAHL|OPTIONALER_KAMPF</x:v>
      </x:c>
      <x:c r="G14" s="22" t="str">
        <x:v>Die Loyalitätswahl verändert Dialog und Begegnungsbelohnung.</x:v>
      </x:c>
      <x:c r="H14" s="22" t="str">
        <x:v>Das Porträtrelief kann einen kurzen Söldnerkodex-Zweig öffnen.</x:v>
      </x:c>
      <x:c r="I14" s="22" t="str">
        <x:v>Bei unleserlicher Scanderbeg-Inschrift beginnt die Quest am Quirinal-Obelisken.</x:v>
      </x:c>
      <x:c r="J14" s="22" t="str"/>
    </x:row>
    <x:row r="15" ht="56" customHeight="1">
      <x:c r="A15" s="22" t="str">
        <x:v>D1-Q11</x:v>
      </x:c>
      <x:c r="B15" s="22" t="str">
        <x:v>DAY_1</x:v>
      </x:c>
      <x:c r="C15" s="22" t="str">
        <x:v>Zeichen der Unbefleckten</x:v>
      </x:c>
      <x:c r="D15" s="22" t="str">
        <x:v>Lest die Säule als Schichtung von antikem Material und neuzeitlicher Frömmigkeit.</x:v>
      </x:c>
      <x:c r="E15" s="22" t="str">
        <x:v>Spitzenfigur identifizieren und ihre Bedeutung in einer kurzen Auswahlfrage deuten.</x:v>
      </x:c>
      <x:c r="F15" s="22" t="str">
        <x:v>SILHOUETTE|SYMBOLDEUTUNG|MULTIPLE_CHOICE</x:v>
      </x:c>
      <x:c r="G15" s="22" t="str">
        <x:v>Kleine Wissens- oder Glaubensbelohnung.</x:v>
      </x:c>
      <x:c r="H15" s="22" t="str">
        <x:v>Keine Hidden-Komponente empfohlen.</x:v>
      </x:c>
      <x:c r="I15" s="22" t="str">
        <x:v>Fallback: Zahl der großen Sockelfiguren.</x:v>
      </x:c>
      <x:c r="J15" s="22" t="str"/>
    </x:row>
    <x:row r="16" ht="56" customHeight="1">
      <x:c r="A16" s="22" t="str">
        <x:v>D1-Q12</x:v>
      </x:c>
      <x:c r="B16" s="22" t="str">
        <x:v>DAY_1</x:v>
      </x:c>
      <x:c r="C16" s="22" t="str">
        <x:v>Stimmen der Republik</x:v>
      </x:c>
      <x:c r="D16" s="22" t="str">
        <x:v>Vergleicht, wie Brücke, Palast, Markt und Ruinen politische Macht erzählen.</x:v>
      </x:c>
      <x:c r="E16" s="22" t="str">
        <x:v>Vier große Hinweise sammeln und am Ende entscheiden, wessen Stimme im Stadtbild dominiert.</x:v>
      </x:c>
      <x:c r="F16" s="22" t="str">
        <x:v>GPS_ROUTE|WAPPEN|DENKMAL|GESCHICHTSWAHL</x:v>
      </x:c>
      <x:c r="G16" s="22" t="str">
        <x:v>Die Entscheidung verändert Ruhm, Wissen oder Denare.</x:v>
      </x:c>
      <x:c r="H16" s="22" t="str">
        <x:v>Giordano Brunos geschlossenes Buch kann einen Nebenauftrag auslösen.</x:v>
      </x:c>
      <x:c r="I16" s="22" t="str">
        <x:v>Jeder Abschnitt ist modular deaktivierbar; mindestens drei der vier Stationen müssen verfügbar sein.</x:v>
      </x:c>
      <x:c r="J16" s="22" t="str"/>
    </x:row>
    <x:row r="17" ht="56" customHeight="1">
      <x:c r="A17" s="22" t="str">
        <x:v>D1-Q13</x:v>
      </x:c>
      <x:c r="B17" s="22" t="str">
        <x:v>DAY_1</x:v>
      </x:c>
      <x:c r="C17" s="22" t="str">
        <x:v>Roms große Bühne</x:v>
      </x:c>
      <x:c r="D17" s="22" t="str">
        <x:v>Ordnet drei sehr verschiedene städtische Bühnen nach ihrer historischen Schicht.</x:v>
      </x:c>
      <x:c r="E17" s="22" t="str">
        <x:v>Fassadenasymmetrie, Brunnenfiguren und Arkadengeschosse erkennen und zeitlich ordnen.</x:v>
      </x:c>
      <x:c r="F17" s="22" t="str">
        <x:v>FASSADENDETAIL|FIGURENZAHL|SCHICHTENLESEN</x:v>
      </x:c>
      <x:c r="G17" s="22" t="str">
        <x:v>Richtige Reihenfolge gibt einen Dramaturgiebonus für die Bilderchronik.</x:v>
      </x:c>
      <x:c r="H17" s="22" t="str">
        <x:v>Die vier Schildkröten öffnen optional einen Wächterkampf.</x:v>
      </x:c>
      <x:c r="I17" s="22" t="str">
        <x:v>Fallback: Großformen an Sant’Andrea und Teatro; Tartarughen-Detail bei Bedarf auslassen.</x:v>
      </x:c>
      <x:c r="J17" s="22" t="str"/>
    </x:row>
    <x:row r="18" ht="56" customHeight="1">
      <x:c r="A18" s="22" t="str">
        <x:v>D1-Q14</x:v>
      </x:c>
      <x:c r="B18" s="22" t="str">
        <x:v>DAY_1</x:v>
      </x:c>
      <x:c r="C18" s="22" t="str">
        <x:v>Die steinerne Insel</x:v>
      </x:c>
      <x:c r="D18" s="22" t="str">
        <x:v>Verbindet die Schiffsform der Insel mit ihrer langen Geschichte als Heilort.</x:v>
      </x:c>
      <x:c r="E18" s="22" t="str">
        <x:v>Schiffsbug erkennen und die Tempelgeschichte in einem kurzen Rätsel deuten.</x:v>
      </x:c>
      <x:c r="F18" s="22" t="str">
        <x:v>FORMERKENNUNG|MEDIZINGESCHICHTE|DIALOG</x:v>
      </x:c>
      <x:c r="G18" s="22" t="str">
        <x:v>Richtige Deutung gewährt einen kleinen Heilbonus.</x:v>
      </x:c>
      <x:c r="H18" s="22" t="str">
        <x:v>Ein medizinisches Symbol kann einen Zusatzdialog öffnen.</x:v>
      </x:c>
      <x:c r="I18" s="22" t="str">
        <x:v>Fallback: allgemeine Inselform und sichtbare Brückenbeziehung.</x:v>
      </x:c>
      <x:c r="J18" s="22" t="str"/>
    </x:row>
    <x:row r="19" ht="56" customHeight="1">
      <x:c r="A19" s="22" t="str">
        <x:v>D1-Q15</x:v>
      </x:c>
      <x:c r="B19" s="22" t="str">
        <x:v>DAY_1</x:v>
      </x:c>
      <x:c r="C19" s="22" t="str">
        <x:v>Cecilias Stimmen</x:v>
      </x:c>
      <x:c r="D19" s="22" t="str">
        <x:v>Folgt der Erinnerung an Cecilia bis zum großen Mosaik von Santa Maria in Trastevere.</x:v>
      </x:c>
      <x:c r="E19" s="22" t="str">
        <x:v>Außenhinweise lesen und im Dialog entscheiden, wie Legende und belegte Geschichte getrennt erzählt werden.</x:v>
      </x:c>
      <x:c r="F19" s="22" t="str">
        <x:v>NAMENHINWEIS|FASSADENMOSAIK|SYMBOLDEUTUNG</x:v>
      </x:c>
      <x:c r="G19" s="22" t="str">
        <x:v>Sorgfältige Quellenwahl erhöht Glauben/Wissen statt bloßer Denare.</x:v>
      </x:c>
      <x:c r="H19" s="22" t="str">
        <x:v>Ein Musikbezug kann eine kurze klassenspezifische Nebenfrage öffnen.</x:v>
      </x:c>
      <x:c r="I19" s="22" t="str">
        <x:v>Wenn Santa Cecilia außen nicht eindeutig ist, startet die Quest auf der Piazza Santa Maria.</x:v>
      </x:c>
      <x:c r="J19" s="22" t="str">
        <x:v>Verbindlicher Klassenanker Kleriker; kein Innenraum.</x:v>
      </x:c>
    </x:row>
    <x:row r="20" ht="56" customHeight="1">
      <x:c r="A20" s="22" t="str">
        <x:v>D1-Q16</x:v>
      </x:c>
      <x:c r="B20" s="22" t="str">
        <x:v>DAY_1</x:v>
      </x:c>
      <x:c r="C20" s="22" t="str">
        <x:v>Republik auf dem Gianicolo</x:v>
      </x:c>
      <x:c r="D20" s="22" t="str">
        <x:v>Steigt von den Mauern über das Ossarium und die Wasserfassade zu Garibaldi und Anita auf.</x:v>
      </x:c>
      <x:c r="E20" s="22" t="str">
        <x:v>Ereignisse und Denkmäler ordnen; am Ende Kampf gegen den Garibaldino der Mauern.</x:v>
      </x:c>
      <x:c r="F20" s="22" t="str">
        <x:v>GPS_ROUTE|DENKMAELER|WASSER|REIHENFOLGE</x:v>
      </x:c>
      <x:c r="G20" s="22" t="str">
        <x:v>Jede korrekt geordnete Station gibt dem Team einen gemeinsamen Buff.</x:v>
      </x:c>
      <x:c r="H20" s="22" t="str">
        <x:v>Ein Detail an Anitas Reitergruppe kann eine kurze Mutprobe öffnen.</x:v>
      </x:c>
      <x:c r="I20" s="22" t="str">
        <x:v>Die Quest kann auf vier Stationen gekürzt werden; Fontana Acqua Paola bleibt als Revive-Punkt erhalten.</x:v>
      </x:c>
      <x:c r="J20" s="22" t="str"/>
    </x:row>
    <x:row r="21" ht="56" customHeight="1">
      <x:c r="A21" s="22" t="str">
        <x:v>D2-Q01</x:v>
      </x:c>
      <x:c r="B21" s="22" t="str">
        <x:v>DAY_2</x:v>
      </x:c>
      <x:c r="C21" s="22" t="str">
        <x:v>Stern des Kapitols</x:v>
      </x:c>
      <x:c r="D21" s="22" t="str">
        <x:v>Lest Sternmuster und Caesarfigur als zwei bewusst gesetzte politische Zeichen.</x:v>
      </x:c>
      <x:c r="E21" s="22" t="str">
        <x:v>Muster und Attribut finden und den Aussagen Macht, Erinnerung oder Orientierung zuordnen.</x:v>
      </x:c>
      <x:c r="F21" s="22" t="str">
        <x:v>BODENMUSTER|FIGURENATTRIBUT|DIALOG</x:v>
      </x:c>
      <x:c r="G21" s="22" t="str">
        <x:v>Die Zuordnung verändert den folgenden Dialog.</x:v>
      </x:c>
      <x:c r="H21" s="22" t="str">
        <x:v>Keine Hidden-Komponente notwendig.</x:v>
      </x:c>
      <x:c r="I21" s="22" t="str">
        <x:v>Fallback: nur das robuste Stern-im-Oval-Muster des Platzes verwenden.</x:v>
      </x:c>
      <x:c r="J21" s="22" t="str"/>
    </x:row>
    <x:row r="22" ht="56" customHeight="1">
      <x:c r="A22" s="22" t="str">
        <x:v>D2-Q02</x:v>
      </x:c>
      <x:c r="B22" s="22" t="str">
        <x:v>DAY_2</x:v>
      </x:c>
      <x:c r="C22" s="22" t="str">
        <x:v>Quadrigen der Einheit</x:v>
      </x:c>
      <x:c r="D22" s="22" t="str">
        <x:v>Erkennt die zwei Quadrigen als monumentale Krönung des Nationaldenkmals.</x:v>
      </x:c>
      <x:c r="E22" s="22" t="str">
        <x:v>Großformen zählen und die Epoche des Denkmals zuordnen.</x:v>
      </x:c>
      <x:c r="F22" s="22" t="str">
        <x:v>SILHOUETTENZAEHLUNG|MULTIPLE_CHOICE</x:v>
      </x:c>
      <x:c r="G22" s="22" t="str">
        <x:v>Schneller Ruhmbonus.</x:v>
      </x:c>
      <x:c r="H22" s="22" t="str">
        <x:v>Keine Hidden-Komponente empfohlen.</x:v>
      </x:c>
      <x:c r="I22" s="22" t="str">
        <x:v>Fallback: zentrale Reiterfigur statt Dachdetails.</x:v>
      </x:c>
      <x:c r="J22" s="22" t="str"/>
    </x:row>
    <x:row r="23" ht="56" customHeight="1">
      <x:c r="A23" s="22" t="str">
        <x:v>D2-Q03</x:v>
      </x:c>
      <x:c r="B23" s="22" t="str">
        <x:v>DAY_2</x:v>
      </x:c>
      <x:c r="C23" s="22" t="str">
        <x:v>Arena und Triumph</x:v>
      </x:c>
      <x:c r="D23" s="22" t="str">
        <x:v>Verbindet Triumphbogen, Amphitheater und Trainingsarena zu einem Kampfkreislauf.</x:v>
      </x:c>
      <x:c r="E23" s="22" t="str">
        <x:v>Durchgänge und Arenaform lesen; daraus eine Taktik gegen den Gladiator ableiten.</x:v>
      </x:c>
      <x:c r="F23" s="22" t="str">
        <x:v>BOGENZAEHLUNG|ARENAFORM|TAKTIK</x:v>
      </x:c>
      <x:c r="G23" s="22" t="str">
        <x:v>Richtige Taktik beeinflusst Startinitiative und Beute.</x:v>
      </x:c>
      <x:c r="H23" s="22" t="str">
        <x:v>Ein Detail am Ludus kann einen optionalen Trainerdialog öffnen.</x:v>
      </x:c>
      <x:c r="I23" s="22" t="str">
        <x:v>Bei Überfüllung wird die Quest auf Konstantinsbogen und Ludus Magnus reduziert.</x:v>
      </x:c>
      <x:c r="J23" s="22" t="str"/>
    </x:row>
    <x:row r="24" ht="56" customHeight="1">
      <x:c r="A24" s="22" t="str">
        <x:v>D2-Q04</x:v>
      </x:c>
      <x:c r="B24" s="22" t="str">
        <x:v>DAY_2</x:v>
      </x:c>
      <x:c r="C24" s="22" t="str">
        <x:v>Handel, Götter und Wahrheit</x:v>
      </x:c>
      <x:c r="D24" s="22" t="str">
        <x:v>Lest vier eng benachbarte Monumente als Knoten von Handel, Kult und späterer Legende.</x:v>
      </x:c>
      <x:c r="E24" s="22" t="str">
        <x:v>Großformen vergleichen und am Ende entscheiden, welche Erklärung historisch, später oder legendär ist.</x:v>
      </x:c>
      <x:c r="F24" s="22" t="str">
        <x:v>GESICHTSDETAIL|BAUFORM|FORMVERGLEICH|RUNDGANG</x:v>
      </x:c>
      <x:c r="G24" s="22" t="str">
        <x:v>Saubere Trennung von Fakt und Legende erhöht Wissensbelohnung.</x:v>
      </x:c>
      <x:c r="H24" s="22" t="str">
        <x:v>Der Janusbogen kann einen optionalen Vier-Seiten-Wächter öffnen.</x:v>
      </x:c>
      <x:c r="I24" s="22" t="str">
        <x:v>Bei Warteschlange wird die Bocca nur aus Distanz genutzt oder durch die Tempelform ersetzt.</x:v>
      </x:c>
      <x:c r="J24" s="22" t="str"/>
    </x:row>
    <x:row r="25" ht="56" customHeight="1">
      <x:c r="A25" s="22" t="str">
        <x:v>D2-Q05</x:v>
      </x:c>
      <x:c r="B25" s="22" t="str">
        <x:v>DAY_2</x:v>
      </x:c>
      <x:c r="C25" s="22" t="str">
        <x:v>Masken über dem Circus</x:v>
      </x:c>
      <x:c r="D25" s="22" t="str">
        <x:v>Verbindet zwei Brunnenwesen mit dem Panorama über den Circus Maximus.</x:v>
      </x:c>
      <x:c r="E25" s="22" t="str">
        <x:v>Tritonen und Maske vergleichen und anschließend Palatin und Aventin richtig zuordnen.</x:v>
      </x:c>
      <x:c r="F25" s="22" t="str">
        <x:v>FIGURENVERGLEICH|MASKENDETAIL|PANORAMA</x:v>
      </x:c>
      <x:c r="G25" s="22" t="str">
        <x:v>Richtige Zuordnung gibt Bonus für die Streitwagen-Medienquest.</x:v>
      </x:c>
      <x:c r="H25" s="22" t="str">
        <x:v>Die Maske kann einen optionalen kurzen Gegnerkampf öffnen.</x:v>
      </x:c>
      <x:c r="I25" s="22" t="str">
        <x:v>Bei gesperrtem Brunnenbereich bleibt der Belvedere-Panoramafallback.</x:v>
      </x:c>
      <x:c r="J25" s="22" t="str"/>
    </x:row>
    <x:row r="26" ht="56" customHeight="1">
      <x:c r="A26" s="22" t="str">
        <x:v>D2-Q06</x:v>
      </x:c>
      <x:c r="B26" s="22" t="str">
        <x:v>DAY_2</x:v>
      </x:c>
      <x:c r="C26" s="22" t="str">
        <x:v>Das steinerne Schiff</x:v>
      </x:c>
      <x:c r="D26" s="22" t="str">
        <x:v>Deutet die Navicella als sichtbares Schiffssymbol vor dem Kirchenraum.</x:v>
      </x:c>
      <x:c r="E26" s="22" t="str">
        <x:v>Objektform erfassen und eine kurze Deutung auswählen oder eingeben.</x:v>
      </x:c>
      <x:c r="F26" s="22" t="str">
        <x:v>OBJEKTFORM|SYMBOLDEUTUNG</x:v>
      </x:c>
      <x:c r="G26" s="22" t="str">
        <x:v>Kleiner Navigations- oder Wissensbonus.</x:v>
      </x:c>
      <x:c r="H26" s="22" t="str">
        <x:v>Keine Hidden-Komponente empfohlen.</x:v>
      </x:c>
      <x:c r="I26" s="22" t="str">
        <x:v>Fallback: Ausrichtung des Schiffs statt kleiner Details.</x:v>
      </x:c>
      <x:c r="J26" s="22" t="str"/>
    </x:row>
    <x:row r="27" ht="56" customHeight="1">
      <x:c r="A27" s="22" t="str">
        <x:v>D2-Q07</x:v>
      </x:c>
      <x:c r="B27" s="22" t="str">
        <x:v>DAY_2</x:v>
      </x:c>
      <x:c r="C27" s="22" t="str">
        <x:v>Sitz der Kirche</x:v>
      </x:c>
      <x:c r="D27" s="22" t="str">
        <x:v>Verknüpft Kathedralfassade, Obelisk und Stadttor als geistliches und städtisches Machtzentrum.</x:v>
      </x:c>
      <x:c r="E27" s="22" t="str">
        <x:v>Drei Großhinweise erfassen und im Dialog geistliche, imperiale und städtische Funktion trennen.</x:v>
      </x:c>
      <x:c r="F27" s="22" t="str">
        <x:v>FASSADENSILHOUETTE|SCHRIFT|TORFORM</x:v>
      </x:c>
      <x:c r="G27" s="22" t="str">
        <x:v>Die Schlusswahl beeinflusst Glauben, Wissen oder Schutz.</x:v>
      </x:c>
      <x:c r="H27" s="22" t="str">
        <x:v>Eine klassenspezifische Klerikeroption ist sinnvoll, aber kein zusätzlicher Pflichtanker.</x:v>
      </x:c>
      <x:c r="I27" s="22" t="str">
        <x:v>Bei Verkehrssperre bleibt die Quest auf Basilika-Außenfassade und Obelisk.</x:v>
      </x:c>
      <x:c r="J27" s="22" t="str"/>
    </x:row>
    <x:row r="28" ht="56" customHeight="1">
      <x:c r="A28" s="22" t="str">
        <x:v>D2-Q08</x:v>
      </x:c>
      <x:c r="B28" s="22" t="str">
        <x:v>DAY_2</x:v>
      </x:c>
      <x:c r="C28" s="22" t="str">
        <x:v>Tore der Aurelianischen Mauer</x:v>
      </x:c>
      <x:c r="D28" s="22" t="str">
        <x:v>Vergleicht ein monumentales Tor mit einem vermauerten historischen Durchlass.</x:v>
      </x:c>
      <x:c r="E28" s="22" t="str">
        <x:v>Türme und Öffnungszustand erkennen; die beiden Orte nach Wehr- und Verkehrslogik zuordnen.</x:v>
      </x:c>
      <x:c r="F28" s="22" t="str">
        <x:v>GPS_ROUTE|ALT_NEU_VERGLEICH|TORFORM</x:v>
      </x:c>
      <x:c r="G28" s="22" t="str">
        <x:v>Richtige Zuordnung reduziert die Verteidigung des Mauerskorpions.</x:v>
      </x:c>
      <x:c r="H28" s="22" t="str">
        <x:v>Ein Mauerzeichen kann einen kurzen Nebenfund öffnen.</x:v>
      </x:c>
      <x:c r="I28" s="22" t="str">
        <x:v>Wenn Porta Metronia nicht sicher anspielbar ist, wird nur Porta Latina als Kurzquest aktiviert.</x:v>
      </x:c>
      <x:c r="J28" s="22" t="str"/>
    </x:row>
    <x:row r="29" ht="56" customHeight="1">
      <x:c r="A29" s="22" t="str">
        <x:v>D2-Q09</x:v>
      </x:c>
      <x:c r="B29" s="22" t="str">
        <x:v>DAY_2</x:v>
      </x:c>
      <x:c r="C29" s="22" t="str">
        <x:v>Schichten des Esquilino</x:v>
      </x:c>
      <x:c r="D29" s="22" t="str">
        <x:v>Lest drei sichtbare Schichten Roms vom Obelisken über die Basilika bis zur Ziegelruine.</x:v>
      </x:c>
      <x:c r="E29" s="22" t="str">
        <x:v>Großformen und Material erkennen; Schichten zeitlich ordnen; optionaler Dampfgegner.</x:v>
      </x:c>
      <x:c r="F29" s="22" t="str">
        <x:v>FASSADE|OBELISK|MATERIAL|OPTIONALER_KAMPF</x:v>
      </x:c>
      <x:c r="G29" s="22" t="str">
        <x:v>Richtige Chronologie gibt Widerstand gegen den späteren Boss.</x:v>
      </x:c>
      <x:c r="H29" s="22" t="str">
        <x:v>Der Thermendampf kann einen kurzen Kampf öffnen.</x:v>
      </x:c>
      <x:c r="I29" s="22" t="str">
        <x:v>Bei Parkschließung endet die Quest am Esquilino-Obelisken.</x:v>
      </x:c>
      <x:c r="J29" s="22" t="str"/>
    </x:row>
    <x:row r="30" ht="56" customHeight="1">
      <x:c r="A30" s="23" t="str">
        <x:v>D2-Q10</x:v>
      </x:c>
      <x:c r="B30" s="23" t="str">
        <x:v>DAY_2</x:v>
      </x:c>
      <x:c r="C30" s="23" t="str">
        <x:v>Wasser über dem Tor</x:v>
      </x:c>
      <x:c r="D30" s="23" t="str">
        <x:v>Erkennt den Doppelbogen als Tor und Träger zweier Wasserleitungen.</x:v>
      </x:c>
      <x:c r="E30" s="23" t="str">
        <x:v>Bögen und Aquäduktfunktion verbinden; danach kurzer Kampf gegen die Wasserhydra.</x:v>
      </x:c>
      <x:c r="F30" s="23" t="str">
        <x:v>DOPPELBOGEN|INFRASTRUKTUR|TAKTIK</x:v>
      </x:c>
      <x:c r="G30" s="23" t="str">
        <x:v>Korrekte Infrastrukturerklärung entfernt einen Hydrakopf.</x:v>
      </x:c>
      <x:c r="H30" s="23" t="str">
        <x:v>Keine zusätzliche Hidden Quest notwendig.</x:v>
      </x:c>
      <x:c r="I30" s="23" t="str">
        <x:v>Bei ungeeignetem Gehwegpunkt wird die Quest vollständig deaktiviert.</x:v>
      </x:c>
      <x:c r="J30" s="23" t="str"/>
    </x:row>
  </x:sheetData>
  <x:mergeCells>
    <x:mergeCell ref="A1:J1"/>
    <x:mergeCell ref="A2:J2"/>
  </x:mergeCells>
  <x:pageMargins left="0.7" right="0.7" top="0.75" bottom="0.75" header="0.3" footer="0.3"/>
  <x:tableParts count="1">
    <x:tablePart xmlns:r="http://schemas.openxmlformats.org/officeDocument/2006/relationships" r:id="Ra3a6814cbc4c414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17" hidden="0" customWidth="1"/>
    <x:col min="3" max="3" width="11" hidden="0" customWidth="1"/>
    <x:col min="4" max="4" width="28" hidden="0" customWidth="1"/>
    <x:col min="5" max="5" width="55" hidden="0" customWidth="1"/>
    <x:col min="6" max="6" width="25" hidden="0" customWidth="1"/>
    <x:col min="7" max="7" width="12" hidden="0" customWidth="1"/>
    <x:col min="8" max="8" width="16" hidden="0" customWidth="1"/>
    <x:col min="9" max="9" width="13" hidden="0" customWidth="1"/>
    <x:col min="10" max="10" width="18" hidden="0" customWidth="1"/>
    <x:col min="11" max="11" width="20" hidden="0" customWidth="1"/>
    <x:col min="12" max="12" width="18" hidden="0" customWidth="1"/>
    <x:col min="13" max="13" width="10" hidden="0" customWidth="1"/>
    <x:col min="14" max="14" width="10" hidden="0" customWidth="1"/>
    <x:col min="15" max="15" width="8" hidden="0" customWidth="1"/>
    <x:col min="16" max="16" width="22" hidden="0" customWidth="1"/>
    <x:col min="17" max="17" width="60" hidden="0" customWidth="1"/>
    <x:col min="18" max="18" width="55" hidden="0" customWidth="1"/>
  </x:cols>
  <x:sheetData>
    <x:row r="1" ht="30" customHeight="1">
      <x:c r="A1" s="48" t="str">
        <x:v>Via Romae – Mechanikbewertung</x:v>
      </x:c>
      <x:c r="B1" s="48"/>
      <x:c r="C1" s="48"/>
      <x:c r="D1" s="48"/>
      <x:c r="E1" s="48"/>
      <x:c r="F1" s="48"/>
      <x:c r="G1" s="48"/>
      <x:c r="H1" s="48"/>
      <x:c r="I1" s="48"/>
      <x:c r="J1" s="48"/>
      <x:c r="K1" s="48"/>
      <x:c r="L1" s="48"/>
      <x:c r="M1" s="48"/>
      <x:c r="N1" s="48"/>
      <x:c r="O1" s="48"/>
      <x:c r="P1" s="48"/>
      <x:c r="Q1" s="48"/>
      <x:c r="R1" s="48"/>
    </x:row>
    <x:row r="2" ht="32" customHeight="1">
      <x:c r="A2" s="49" t="str">
        <x:v>Eignung jeder Questkombination auf einer Skala von 0 bis 5. Null bedeutet irrelevant, fünf bedeutet ideal.</x:v>
      </x:c>
      <x:c r="B2" s="49"/>
      <x:c r="C2" s="49"/>
      <x:c r="D2" s="49"/>
      <x:c r="E2" s="49"/>
      <x:c r="F2" s="49"/>
      <x:c r="G2" s="49"/>
      <x:c r="H2" s="49"/>
      <x:c r="I2" s="49"/>
      <x:c r="J2" s="49"/>
      <x:c r="K2" s="49"/>
      <x:c r="L2" s="49"/>
      <x:c r="M2" s="49"/>
      <x:c r="N2" s="49"/>
      <x:c r="O2" s="49"/>
      <x:c r="P2" s="49"/>
      <x:c r="Q2" s="49"/>
      <x:c r="R2" s="49"/>
    </x:row>
    <x:row r="3">
      <x:c r="A3" s="50"/>
      <x:c r="B3" s="50"/>
      <x:c r="C3" s="50"/>
      <x:c r="D3" s="50"/>
      <x:c r="E3" s="50"/>
      <x:c r="F3" s="50"/>
      <x:c r="G3" s="50"/>
      <x:c r="H3" s="50"/>
      <x:c r="I3" s="50"/>
      <x:c r="J3" s="50"/>
      <x:c r="K3" s="50"/>
      <x:c r="L3" s="50"/>
      <x:c r="M3" s="50"/>
      <x:c r="N3" s="50"/>
      <x:c r="O3" s="50"/>
      <x:c r="P3" s="50"/>
      <x:c r="Q3" s="50"/>
      <x:c r="R3" s="50"/>
    </x:row>
    <x:row r="4">
      <x:c r="A4" s="51" t="str">
        <x:v>Quest-ID</x:v>
      </x:c>
      <x:c r="B4" s="51" t="str">
        <x:v>Typ</x:v>
      </x:c>
      <x:c r="C4" s="51" t="str">
        <x:v>Tag</x:v>
      </x:c>
      <x:c r="D4" s="51" t="str">
        <x:v>Titel</x:v>
      </x:c>
      <x:c r="E4" s="51" t="str">
        <x:v>Orte</x:v>
      </x:c>
      <x:c r="F4" s="51" t="str">
        <x:v>Hauptmechanik</x:v>
      </x:c>
      <x:c r="G4" s="51" t="str">
        <x:v>GPS / Gehen</x:v>
      </x:c>
      <x:c r="H4" s="51" t="str">
        <x:v>Beobachtung / Suche</x:v>
      </x:c>
      <x:c r="I4" s="51" t="str">
        <x:v>Zählen / MC</x:v>
      </x:c>
      <x:c r="J4" s="51" t="str">
        <x:v>Zuordnen / Reihenfolge</x:v>
      </x:c>
      <x:c r="K4" s="51" t="str">
        <x:v>Kurze Texteingabe / Rätsel</x:v>
      </x:c>
      <x:c r="L4" s="51" t="str">
        <x:v>Dialog / Entscheidung</x:v>
      </x:c>
      <x:c r="M4" s="51" t="str">
        <x:v>Kampf</x:v>
      </x:c>
      <x:c r="N4" s="51" t="str">
        <x:v>Medien</x:v>
      </x:c>
      <x:c r="O4" s="51" t="str">
        <x:v>Max</x:v>
      </x:c>
      <x:c r="P4" s="51" t="str">
        <x:v>Stärkste Eignung</x:v>
      </x:c>
      <x:c r="Q4" s="51" t="str">
        <x:v>Warum funktioniert es?</x:v>
      </x:c>
      <x:c r="R4" s="51" t="str">
        <x:v>Schwäche / Bedingung</x:v>
      </x:c>
    </x:row>
    <x:row r="5" ht="44" customHeight="1">
      <x:c r="A5" s="21" t="str">
        <x:v>D1-Q01</x:v>
      </x:c>
      <x:c r="B5" s="21" t="str">
        <x:v>REGULAER</x:v>
      </x:c>
      <x:c r="C5" s="21" t="str">
        <x:v>DAY_1</x:v>
      </x:c>
      <x:c r="D5" s="21" t="str">
        <x:v>Der Fluchtkorridor</x:v>
      </x:c>
      <x:c r="E5" s="21" t="str">
        <x:v>Petersplatz → Passetto di Borgo → Engelsburg</x:v>
      </x:c>
      <x:c r="F5" s="21" t="str">
        <x:v>DIALOG_ENTSCHEIDUNG</x:v>
      </x:c>
      <x:c r="G5" s="21" t="n">
        <x:v>5</x:v>
      </x:c>
      <x:c r="H5" s="21" t="n">
        <x:v>4</x:v>
      </x:c>
      <x:c r="I5" s="21" t="n">
        <x:v>3</x:v>
      </x:c>
      <x:c r="J5" s="21" t="n">
        <x:v>3</x:v>
      </x:c>
      <x:c r="K5" s="21" t="n">
        <x:v>2</x:v>
      </x:c>
      <x:c r="L5" s="21" t="n">
        <x:v>5</x:v>
      </x:c>
      <x:c r="M5" s="21" t="n">
        <x:v>4</x:v>
      </x:c>
      <x:c r="N5" s="21" t="n">
        <x:v>0</x:v>
      </x:c>
      <x:c r="O5" s="21" t="n">
        <x:f>MAX(H5:N5)</x:f>
        <x:v>5</x:v>
      </x:c>
      <x:c r="P5" s="21" t="str">
        <x:f>INDEX($H$4:$N$4,1,MATCH(O5,H5:N5,0))</x:f>
        <x:v>Dialog / Entscheidung</x:v>
      </x:c>
      <x:c r="Q5" s="21" t="str">
        <x:v>An jedem Ort einen dauerhaften Hinweis identifizieren; am Ende entscheiden, wie die Nachhut den Rückzug deckt.</x:v>
      </x:c>
      <x:c r="R5" s="21" t="str">
        <x:v>Petersplatz: Menschenmenge und aktuelle Sicht der Bodenmarkierung.</x:v>
      </x:c>
    </x:row>
    <x:row r="6" ht="44" customHeight="1">
      <x:c r="A6" s="22" t="str">
        <x:v>D1-Q02</x:v>
      </x:c>
      <x:c r="B6" s="22" t="str">
        <x:v>REGULAER</x:v>
      </x:c>
      <x:c r="C6" s="22" t="str">
        <x:v>DAY_1</x:v>
      </x:c>
      <x:c r="D6" s="22" t="str">
        <x:v>Tore des Borgo</x:v>
      </x:c>
      <x:c r="E6" s="22" t="str">
        <x:v>St.-Pellegrino-Tor → Porta Cavalleggeri → Porta Santo Spirito</x:v>
      </x:c>
      <x:c r="F6" s="22" t="str">
        <x:v>KAMPF</x:v>
      </x:c>
      <x:c r="G6" s="22" t="n">
        <x:v>5</x:v>
      </x:c>
      <x:c r="H6" s="22" t="n">
        <x:v>4</x:v>
      </x:c>
      <x:c r="I6" s="22" t="n">
        <x:v>3</x:v>
      </x:c>
      <x:c r="J6" s="22" t="n">
        <x:v>3</x:v>
      </x:c>
      <x:c r="K6" s="22" t="n">
        <x:v>1</x:v>
      </x:c>
      <x:c r="L6" s="22" t="n">
        <x:v>4</x:v>
      </x:c>
      <x:c r="M6" s="22" t="n">
        <x:v>5</x:v>
      </x:c>
      <x:c r="N6" s="22" t="n">
        <x:v>0</x:v>
      </x:c>
      <x:c r="O6" s="22" t="n">
        <x:f>MAX(H6:N6)</x:f>
        <x:v>5</x:v>
      </x:c>
      <x:c r="P6" s="22" t="str">
        <x:f>INDEX($H$4:$N$4,1,MATCH(O6,H6:N6,0))</x:f>
        <x:v>Kampf</x:v>
      </x:c>
      <x:c r="Q6" s="22" t="str">
        <x:v>Torformen und Wappen zuordnen; taktische Entscheidung; Kampf gegen den päpstlichen Reiter.</x:v>
      </x:c>
      <x:c r="R6" s="22" t="str">
        <x:v>Zwei Hinweise sind relativ klein; Cavalleggeri ist nur als Mauerrest erhalten.</x:v>
      </x:c>
    </x:row>
    <x:row r="7" ht="44" customHeight="1">
      <x:c r="A7" s="22" t="str">
        <x:v>D1-Q03</x:v>
      </x:c>
      <x:c r="B7" s="22" t="str">
        <x:v>REGULAER</x:v>
      </x:c>
      <x:c r="C7" s="22" t="str">
        <x:v>DAY_1</x:v>
      </x:c>
      <x:c r="D7" s="22" t="str">
        <x:v>Der Dreizack</x:v>
      </x:c>
      <x:c r="E7" s="22" t="str">
        <x:v>Piazza del Popolo → Obelisco Flaminio → Porta del Popolo</x:v>
      </x:c>
      <x:c r="F7" s="22" t="str">
        <x:v>BEOBACHTUNG_SUCHE</x:v>
      </x:c>
      <x:c r="G7" s="22" t="n">
        <x:v>5</x:v>
      </x:c>
      <x:c r="H7" s="22" t="n">
        <x:v>5</x:v>
      </x:c>
      <x:c r="I7" s="22" t="n">
        <x:v>4</x:v>
      </x:c>
      <x:c r="J7" s="22" t="n">
        <x:v>2</x:v>
      </x:c>
      <x:c r="K7" s="22" t="n">
        <x:v>1</x:v>
      </x:c>
      <x:c r="L7" s="22" t="n">
        <x:v>2</x:v>
      </x:c>
      <x:c r="M7" s="22" t="n">
        <x:v>1</x:v>
      </x:c>
      <x:c r="N7" s="22" t="n">
        <x:v>0</x:v>
      </x:c>
      <x:c r="O7" s="22" t="n">
        <x:f>MAX(H7:N7)</x:f>
        <x:v>5</x:v>
      </x:c>
      <x:c r="P7" s="22" t="str">
        <x:f>INDEX($H$4:$N$4,1,MATCH(O7,H7:N7,0))</x:f>
        <x:v>Beobachtung / Suche</x:v>
      </x:c>
      <x:c r="Q7" s="22" t="str">
        <x:v>Dreizack erkennen, Löwen zählen und die Toröffnungen in die richtige historische Reihenfolge bringen.</x:v>
      </x:c>
      <x:c r="R7" s="22" t="str">
        <x:v>Hohe Besucherzahl, aber alle Hinweise sind groß.</x:v>
      </x:c>
    </x:row>
    <x:row r="8" ht="44" customHeight="1">
      <x:c r="A8" s="22" t="str">
        <x:v>D1-Q04</x:v>
      </x:c>
      <x:c r="B8" s="22" t="str">
        <x:v>REGULAER</x:v>
      </x:c>
      <x:c r="C8" s="22" t="str">
        <x:v>DAY_1</x:v>
      </x:c>
      <x:c r="D8" s="22" t="str">
        <x:v>Antinoos über Rom</x:v>
      </x:c>
      <x:c r="E8" s="22" t="str">
        <x:v>Obelisco di Antinoo → Fontana della Dea di Roma → Balconata del Pincio</x:v>
      </x:c>
      <x:c r="F8" s="22" t="str">
        <x:v>KAMPF</x:v>
      </x:c>
      <x:c r="G8" s="22" t="n">
        <x:v>5</x:v>
      </x:c>
      <x:c r="H8" s="22" t="n">
        <x:v>4</x:v>
      </x:c>
      <x:c r="I8" s="22" t="n">
        <x:v>3</x:v>
      </x:c>
      <x:c r="J8" s="22" t="n">
        <x:v>3</x:v>
      </x:c>
      <x:c r="K8" s="22" t="n">
        <x:v>1</x:v>
      </x:c>
      <x:c r="L8" s="22" t="n">
        <x:v>3</x:v>
      </x:c>
      <x:c r="M8" s="22" t="n">
        <x:v>5</x:v>
      </x:c>
      <x:c r="N8" s="22" t="n">
        <x:v>0</x:v>
      </x:c>
      <x:c r="O8" s="22" t="n">
        <x:f>MAX(H8:N8)</x:f>
        <x:v>5</x:v>
      </x:c>
      <x:c r="P8" s="22" t="str">
        <x:f>INDEX($H$4:$N$4,1,MATCH(O8,H8:N8,0))</x:f>
        <x:v>Kampf</x:v>
      </x:c>
      <x:c r="Q8" s="22" t="str">
        <x:v>Zeichen und Figuren zuordnen; die korrekte Deutung schwächt den Schatten des Antinoos.</x:v>
      </x:c>
      <x:c r="R8" s="22" t="str">
        <x:v>Parkzugang und Tageszeit beachten.</x:v>
      </x:c>
    </x:row>
    <x:row r="9" ht="44" customHeight="1">
      <x:c r="A9" s="22" t="str">
        <x:v>D1-Q05</x:v>
      </x:c>
      <x:c r="B9" s="22" t="str">
        <x:v>REGULAER</x:v>
      </x:c>
      <x:c r="C9" s="22" t="str">
        <x:v>DAY_1</x:v>
      </x:c>
      <x:c r="D9" s="22" t="str">
        <x:v>Die steinerne Barke</x:v>
      </x:c>
      <x:c r="E9" s="22" t="str">
        <x:v>Spanischer Platz</x:v>
      </x:c>
      <x:c r="F9" s="22" t="str">
        <x:v>BEOBACHTUNG_SUCHE</x:v>
      </x:c>
      <x:c r="G9" s="22" t="n">
        <x:v>3</x:v>
      </x:c>
      <x:c r="H9" s="22" t="n">
        <x:v>5</x:v>
      </x:c>
      <x:c r="I9" s="22" t="n">
        <x:v>4</x:v>
      </x:c>
      <x:c r="J9" s="22" t="n">
        <x:v>2</x:v>
      </x:c>
      <x:c r="K9" s="22" t="n">
        <x:v>1</x:v>
      </x:c>
      <x:c r="L9" s="22" t="n">
        <x:v>2</x:v>
      </x:c>
      <x:c r="M9" s="22" t="n">
        <x:v>1</x:v>
      </x:c>
      <x:c r="N9" s="22" t="n">
        <x:v>0</x:v>
      </x:c>
      <x:c r="O9" s="22" t="n">
        <x:f>MAX(H9:N9)</x:f>
        <x:v>5</x:v>
      </x:c>
      <x:c r="P9" s="22" t="str">
        <x:f>INDEX($H$4:$N$4,1,MATCH(O9,H9:N9,0))</x:f>
        <x:v>Beobachtung / Suche</x:v>
      </x:c>
      <x:c r="Q9" s="22" t="str">
        <x:v>Ort erreichen, Großform bestimmen und zwischen vier Objektformen wählen.</x:v>
      </x:c>
      <x:c r="R9" s="22" t="str">
        <x:v>Extreme Menschenmenge; nur die große Bootsform ist robust.</x:v>
      </x:c>
    </x:row>
    <x:row r="10" ht="44" customHeight="1">
      <x:c r="A10" s="22" t="str">
        <x:v>D1-Q06</x:v>
      </x:c>
      <x:c r="B10" s="22" t="str">
        <x:v>REGULAER</x:v>
      </x:c>
      <x:c r="C10" s="22" t="str">
        <x:v>DAY_1</x:v>
      </x:c>
      <x:c r="D10" s="22" t="str">
        <x:v>Berninis Werkstatt</x:v>
      </x:c>
      <x:c r="E10" s="22" t="str">
        <x:v>Piazza Navona → Neptunsbrunnen → Mohrenbrunnen</x:v>
      </x:c>
      <x:c r="F10" s="22" t="str">
        <x:v>ZUORDNUNG_REIHENFOLGE</x:v>
      </x:c>
      <x:c r="G10" s="22" t="n">
        <x:v>5</x:v>
      </x:c>
      <x:c r="H10" s="22" t="n">
        <x:v>4</x:v>
      </x:c>
      <x:c r="I10" s="22" t="n">
        <x:v>3</x:v>
      </x:c>
      <x:c r="J10" s="22" t="n">
        <x:v>5</x:v>
      </x:c>
      <x:c r="K10" s="22" t="n">
        <x:v>2</x:v>
      </x:c>
      <x:c r="L10" s="22" t="n">
        <x:v>4</x:v>
      </x:c>
      <x:c r="M10" s="22" t="n">
        <x:v>2</x:v>
      </x:c>
      <x:c r="N10" s="22" t="n">
        <x:v>0</x:v>
      </x:c>
      <x:c r="O10" s="22" t="n">
        <x:f>MAX(H10:N10)</x:f>
        <x:v>5</x:v>
      </x:c>
      <x:c r="P10" s="22" t="str">
        <x:f>INDEX($H$4:$N$4,1,MATCH(O10,H10:N10,0))</x:f>
        <x:v>Zuordnen / Reihenfolge</x:v>
      </x:c>
      <x:c r="Q10" s="22" t="str">
        <x:v>Brunnen ablaufen, Figurenattribute zuordnen und eine Werkstattentscheidung treffen.</x:v>
      </x:c>
      <x:c r="R10" s="22" t="str">
        <x:v>Menschenmenge; nur große Figurenattribute verwenden.</x:v>
      </x:c>
    </x:row>
    <x:row r="11" ht="44" customHeight="1">
      <x:c r="A11" s="22" t="str">
        <x:v>D1-Q07</x:v>
      </x:c>
      <x:c r="B11" s="22" t="str">
        <x:v>REGULAER</x:v>
      </x:c>
      <x:c r="C11" s="22" t="str">
        <x:v>DAY_1</x:v>
      </x:c>
      <x:c r="D11" s="22" t="str">
        <x:v>Agrippas Zeichen</x:v>
      </x:c>
      <x:c r="E11" s="22" t="str">
        <x:v>Pantheon → Obelisco Macuteo</x:v>
      </x:c>
      <x:c r="F11" s="22" t="str">
        <x:v>KURZTEXT_RAETSEL</x:v>
      </x:c>
      <x:c r="G11" s="22" t="n">
        <x:v>3</x:v>
      </x:c>
      <x:c r="H11" s="22" t="n">
        <x:v>4</x:v>
      </x:c>
      <x:c r="I11" s="22" t="n">
        <x:v>3</x:v>
      </x:c>
      <x:c r="J11" s="22" t="n">
        <x:v>3</x:v>
      </x:c>
      <x:c r="K11" s="22" t="n">
        <x:v>5</x:v>
      </x:c>
      <x:c r="L11" s="22" t="n">
        <x:v>3</x:v>
      </x:c>
      <x:c r="M11" s="22" t="n">
        <x:v>4</x:v>
      </x:c>
      <x:c r="N11" s="22" t="n">
        <x:v>0</x:v>
      </x:c>
      <x:c r="O11" s="22" t="n">
        <x:f>MAX(H11:N11)</x:f>
        <x:v>5</x:v>
      </x:c>
      <x:c r="P11" s="22" t="str">
        <x:f>INDEX($H$4:$N$4,1,MATCH(O11,H11:N11,0))</x:f>
        <x:v>Kurze Texteingabe / Rätsel</x:v>
      </x:c>
      <x:c r="Q11" s="22" t="str">
        <x:v>AGRIPPA als normalisierte Texteingabe erfassen und den Obelisken seinem heutigen Träger zuordnen.</x:v>
      </x:c>
      <x:c r="R11" s="22" t="str">
        <x:v>Pantheon-Außenpunkt und Besucherdichte müssen aktuell bestätigt werden.</x:v>
      </x:c>
    </x:row>
    <x:row r="12" ht="44" customHeight="1">
      <x:c r="A12" s="22" t="str">
        <x:v>D1-Q08</x:v>
      </x:c>
      <x:c r="B12" s="22" t="str">
        <x:v>REGULAER</x:v>
      </x:c>
      <x:c r="C12" s="22" t="str">
        <x:v>DAY_1</x:v>
      </x:c>
      <x:c r="D12" s="22" t="str">
        <x:v>Kaiserbotschaften</x:v>
      </x:c>
      <x:c r="E12" s="22" t="str">
        <x:v>Obelisco di Montecitorio → Mark-Aurel-Säule</x:v>
      </x:c>
      <x:c r="F12" s="22" t="str">
        <x:v>ZUORDNUNG_REIHENFOLGE</x:v>
      </x:c>
      <x:c r="G12" s="22" t="n">
        <x:v>4</x:v>
      </x:c>
      <x:c r="H12" s="22" t="n">
        <x:v>4</x:v>
      </x:c>
      <x:c r="I12" s="22" t="n">
        <x:v>3</x:v>
      </x:c>
      <x:c r="J12" s="22" t="n">
        <x:v>5</x:v>
      </x:c>
      <x:c r="K12" s="22" t="n">
        <x:v>2</x:v>
      </x:c>
      <x:c r="L12" s="22" t="n">
        <x:v>3</x:v>
      </x:c>
      <x:c r="M12" s="22" t="n">
        <x:v>2</x:v>
      </x:c>
      <x:c r="N12" s="22" t="n">
        <x:v>0</x:v>
      </x:c>
      <x:c r="O12" s="22" t="n">
        <x:f>MAX(H12:N12)</x:f>
        <x:v>5</x:v>
      </x:c>
      <x:c r="P12" s="22" t="str">
        <x:f>INDEX($H$4:$N$4,1,MATCH(O12,H12:N12,0))</x:f>
        <x:v>Zuordnen / Reihenfolge</x:v>
      </x:c>
      <x:c r="Q12" s="22" t="str">
        <x:v>Hieroglyphen und Spiralrelief erkennen; Zweck und Bildsprache zuordnen.</x:v>
      </x:c>
      <x:c r="R12" s="22" t="str">
        <x:v>Verkehr und Menschenmenge, Hinweise selbst sind groß.</x:v>
      </x:c>
    </x:row>
    <x:row r="13" ht="44" customHeight="1">
      <x:c r="A13" s="22" t="str">
        <x:v>D1-Q09</x:v>
      </x:c>
      <x:c r="B13" s="22" t="str">
        <x:v>REGULAER</x:v>
      </x:c>
      <x:c r="C13" s="22" t="str">
        <x:v>DAY_1</x:v>
      </x:c>
      <x:c r="D13" s="22" t="str">
        <x:v>Das gebändigte Wasser</x:v>
      </x:c>
      <x:c r="E13" s="22" t="str">
        <x:v>Trevi-Brunnen → Acquedotto Vergine → Tritonenbrunnen</x:v>
      </x:c>
      <x:c r="F13" s="22" t="str">
        <x:v>KAMPF</x:v>
      </x:c>
      <x:c r="G13" s="22" t="n">
        <x:v>5</x:v>
      </x:c>
      <x:c r="H13" s="22" t="n">
        <x:v>4</x:v>
      </x:c>
      <x:c r="I13" s="22" t="n">
        <x:v>3</x:v>
      </x:c>
      <x:c r="J13" s="22" t="n">
        <x:v>3</x:v>
      </x:c>
      <x:c r="K13" s="22" t="n">
        <x:v>1</x:v>
      </x:c>
      <x:c r="L13" s="22" t="n">
        <x:v>3</x:v>
      </x:c>
      <x:c r="M13" s="22" t="n">
        <x:v>5</x:v>
      </x:c>
      <x:c r="N13" s="22" t="n">
        <x:v>0</x:v>
      </x:c>
      <x:c r="O13" s="22" t="n">
        <x:f>MAX(H13:N13)</x:f>
        <x:v>5</x:v>
      </x:c>
      <x:c r="P13" s="22" t="str">
        <x:f>INDEX($H$4:$N$4,1,MATCH(O13,H13:N13,0))</x:f>
        <x:v>Kampf</x:v>
      </x:c>
      <x:c r="Q13" s="22" t="str">
        <x:v>Wasserweg nachvollziehen, große Figuren zählen und den Kanalratten-Gegner stellen.</x:v>
      </x:c>
      <x:c r="R13" s="22" t="str">
        <x:v>Trevi ist extrem voll; die antiken Arkaden sind teilweise verdeckt.</x:v>
      </x:c>
    </x:row>
    <x:row r="14" ht="44" customHeight="1">
      <x:c r="A14" s="22" t="str">
        <x:v>D1-Q10</x:v>
      </x:c>
      <x:c r="B14" s="22" t="str">
        <x:v>REGULAER</x:v>
      </x:c>
      <x:c r="C14" s="22" t="str">
        <x:v>DAY_1</x:v>
      </x:c>
      <x:c r="D14" s="22" t="str">
        <x:v>Macht auf dem Quirinal</x:v>
      </x:c>
      <x:c r="E14" s="22" t="str">
        <x:v>Piazza Scanderbeg → Obelisco del Quirinale → Quirinalspalast</x:v>
      </x:c>
      <x:c r="F14" s="22" t="str">
        <x:v>DIALOG_ENTSCHEIDUNG</x:v>
      </x:c>
      <x:c r="G14" s="22" t="n">
        <x:v>5</x:v>
      </x:c>
      <x:c r="H14" s="22" t="n">
        <x:v>4</x:v>
      </x:c>
      <x:c r="I14" s="22" t="n">
        <x:v>3</x:v>
      </x:c>
      <x:c r="J14" s="22" t="n">
        <x:v>3</x:v>
      </x:c>
      <x:c r="K14" s="22" t="n">
        <x:v>2</x:v>
      </x:c>
      <x:c r="L14" s="22" t="n">
        <x:v>5</x:v>
      </x:c>
      <x:c r="M14" s="22" t="n">
        <x:v>4</x:v>
      </x:c>
      <x:c r="N14" s="22" t="n">
        <x:v>0</x:v>
      </x:c>
      <x:c r="O14" s="22" t="n">
        <x:f>MAX(H14:N14)</x:f>
        <x:v>5</x:v>
      </x:c>
      <x:c r="P14" s="22" t="str">
        <x:f>INDEX($H$4:$N$4,1,MATCH(O14,H14:N14,0))</x:f>
        <x:v>Dialog / Entscheidung</x:v>
      </x:c>
      <x:c r="Q14" s="22" t="str">
        <x:v>Name, Pferdegruppe und heutige Institution erfassen; anschließend Loyalität wählen.</x:v>
      </x:c>
      <x:c r="R14" s="22" t="str">
        <x:v>Scanderbeg-Inschrift ist klein; am Palast Sicherheitsabstand einhalten.</x:v>
      </x:c>
    </x:row>
    <x:row r="15" ht="44" customHeight="1">
      <x:c r="A15" s="22" t="str">
        <x:v>D1-Q11</x:v>
      </x:c>
      <x:c r="B15" s="22" t="str">
        <x:v>REGULAER</x:v>
      </x:c>
      <x:c r="C15" s="22" t="str">
        <x:v>DAY_1</x:v>
      </x:c>
      <x:c r="D15" s="22" t="str">
        <x:v>Zeichen der Unbefleckten</x:v>
      </x:c>
      <x:c r="E15" s="22" t="str">
        <x:v>Colonna dell'Immacolata</x:v>
      </x:c>
      <x:c r="F15" s="22" t="str">
        <x:v>KURZTEXT_RAETSEL</x:v>
      </x:c>
      <x:c r="G15" s="22" t="n">
        <x:v>3</x:v>
      </x:c>
      <x:c r="H15" s="22" t="n">
        <x:v>4</x:v>
      </x:c>
      <x:c r="I15" s="22" t="n">
        <x:v>3</x:v>
      </x:c>
      <x:c r="J15" s="22" t="n">
        <x:v>3</x:v>
      </x:c>
      <x:c r="K15" s="22" t="n">
        <x:v>5</x:v>
      </x:c>
      <x:c r="L15" s="22" t="n">
        <x:v>3</x:v>
      </x:c>
      <x:c r="M15" s="22" t="n">
        <x:v>1</x:v>
      </x:c>
      <x:c r="N15" s="22" t="n">
        <x:v>0</x:v>
      </x:c>
      <x:c r="O15" s="22" t="n">
        <x:f>MAX(H15:N15)</x:f>
        <x:v>5</x:v>
      </x:c>
      <x:c r="P15" s="22" t="str">
        <x:f>INDEX($H$4:$N$4,1,MATCH(O15,H15:N15,0))</x:f>
        <x:v>Kurze Texteingabe / Rätsel</x:v>
      </x:c>
      <x:c r="Q15" s="22" t="str">
        <x:v>Spitzenfigur identifizieren und ihre Bedeutung in einer kurzen Auswahlfrage deuten.</x:v>
      </x:c>
      <x:c r="R15" s="22" t="str">
        <x:v>Menschenmenge, aber klare Silhouette.</x:v>
      </x:c>
    </x:row>
    <x:row r="16" ht="44" customHeight="1">
      <x:c r="A16" s="22" t="str">
        <x:v>D1-Q12</x:v>
      </x:c>
      <x:c r="B16" s="22" t="str">
        <x:v>REGULAER</x:v>
      </x:c>
      <x:c r="C16" s="22" t="str">
        <x:v>DAY_1</x:v>
      </x:c>
      <x:c r="D16" s="22" t="str">
        <x:v>Stimmen der Republik</x:v>
      </x:c>
      <x:c r="E16" s="22" t="str">
        <x:v>Ponte Sisto → Palazzo Farnese → Campo de' Fiori → Largo di Torre Argentina</x:v>
      </x:c>
      <x:c r="F16" s="22" t="str">
        <x:v>DIALOG_ENTSCHEIDUNG</x:v>
      </x:c>
      <x:c r="G16" s="22" t="n">
        <x:v>5</x:v>
      </x:c>
      <x:c r="H16" s="22" t="n">
        <x:v>4</x:v>
      </x:c>
      <x:c r="I16" s="22" t="n">
        <x:v>3</x:v>
      </x:c>
      <x:c r="J16" s="22" t="n">
        <x:v>3</x:v>
      </x:c>
      <x:c r="K16" s="22" t="n">
        <x:v>2</x:v>
      </x:c>
      <x:c r="L16" s="22" t="n">
        <x:v>5</x:v>
      </x:c>
      <x:c r="M16" s="22" t="n">
        <x:v>2</x:v>
      </x:c>
      <x:c r="N16" s="22" t="n">
        <x:v>0</x:v>
      </x:c>
      <x:c r="O16" s="22" t="n">
        <x:f>MAX(H16:N16)</x:f>
        <x:v>5</x:v>
      </x:c>
      <x:c r="P16" s="22" t="str">
        <x:f>INDEX($H$4:$N$4,1,MATCH(O16,H16:N16,0))</x:f>
        <x:v>Dialog / Entscheidung</x:v>
      </x:c>
      <x:c r="Q16" s="22" t="str">
        <x:v>Vier große Hinweise sammeln und am Ende entscheiden, wessen Stimme im Stadtbild dominiert.</x:v>
      </x:c>
      <x:c r="R16" s="22" t="str">
        <x:v>Campo-Marktzeiten, Palazzo-Sicherheitsbereich und Überblick am Largo.</x:v>
      </x:c>
    </x:row>
    <x:row r="17" ht="44" customHeight="1">
      <x:c r="A17" s="22" t="str">
        <x:v>D1-Q13</x:v>
      </x:c>
      <x:c r="B17" s="22" t="str">
        <x:v>REGULAER</x:v>
      </x:c>
      <x:c r="C17" s="22" t="str">
        <x:v>DAY_1</x:v>
      </x:c>
      <x:c r="D17" s="22" t="str">
        <x:v>Roms große Bühne</x:v>
      </x:c>
      <x:c r="E17" s="22" t="str">
        <x:v>Basilica di Sant'Andrea della Valle → Fontana delle Tartarughe → Marcellustheater</x:v>
      </x:c>
      <x:c r="F17" s="22" t="str">
        <x:v>ZUORDNUNG_REIHENFOLGE</x:v>
      </x:c>
      <x:c r="G17" s="22" t="n">
        <x:v>5</x:v>
      </x:c>
      <x:c r="H17" s="22" t="n">
        <x:v>4</x:v>
      </x:c>
      <x:c r="I17" s="22" t="n">
        <x:v>3</x:v>
      </x:c>
      <x:c r="J17" s="22" t="n">
        <x:v>5</x:v>
      </x:c>
      <x:c r="K17" s="22" t="n">
        <x:v>2</x:v>
      </x:c>
      <x:c r="L17" s="22" t="n">
        <x:v>3</x:v>
      </x:c>
      <x:c r="M17" s="22" t="n">
        <x:v>4</x:v>
      </x:c>
      <x:c r="N17" s="22" t="n">
        <x:v>0</x:v>
      </x:c>
      <x:c r="O17" s="22" t="n">
        <x:f>MAX(H17:N17)</x:f>
        <x:v>5</x:v>
      </x:c>
      <x:c r="P17" s="22" t="str">
        <x:f>INDEX($H$4:$N$4,1,MATCH(O17,H17:N17,0))</x:f>
        <x:v>Zuordnen / Reihenfolge</x:v>
      </x:c>
      <x:c r="Q17" s="22" t="str">
        <x:v>Fassadenasymmetrie, Brunnenfiguren und Arkadengeschosse erkennen und zeitlich ordnen.</x:v>
      </x:c>
      <x:c r="R17" s="22" t="str">
        <x:v>Sant’Andrea-Fassadensicht und Schildkröten müssen aktuell bestätigt werden.</x:v>
      </x:c>
    </x:row>
    <x:row r="18" ht="44" customHeight="1">
      <x:c r="A18" s="22" t="str">
        <x:v>D1-Q14</x:v>
      </x:c>
      <x:c r="B18" s="22" t="str">
        <x:v>REGULAER</x:v>
      </x:c>
      <x:c r="C18" s="22" t="str">
        <x:v>DAY_1</x:v>
      </x:c>
      <x:c r="D18" s="22" t="str">
        <x:v>Die steinerne Insel</x:v>
      </x:c>
      <x:c r="E18" s="22" t="str">
        <x:v>Isola Tiberina</x:v>
      </x:c>
      <x:c r="F18" s="22" t="str">
        <x:v>KURZTEXT_RAETSEL</x:v>
      </x:c>
      <x:c r="G18" s="22" t="n">
        <x:v>3</x:v>
      </x:c>
      <x:c r="H18" s="22" t="n">
        <x:v>4</x:v>
      </x:c>
      <x:c r="I18" s="22" t="n">
        <x:v>3</x:v>
      </x:c>
      <x:c r="J18" s="22" t="n">
        <x:v>3</x:v>
      </x:c>
      <x:c r="K18" s="22" t="n">
        <x:v>5</x:v>
      </x:c>
      <x:c r="L18" s="22" t="n">
        <x:v>4</x:v>
      </x:c>
      <x:c r="M18" s="22" t="n">
        <x:v>1</x:v>
      </x:c>
      <x:c r="N18" s="22" t="n">
        <x:v>0</x:v>
      </x:c>
      <x:c r="O18" s="22" t="n">
        <x:f>MAX(H18:N18)</x:f>
        <x:v>5</x:v>
      </x:c>
      <x:c r="P18" s="22" t="str">
        <x:f>INDEX($H$4:$N$4,1,MATCH(O18,H18:N18,0))</x:f>
        <x:v>Kurze Texteingabe / Rätsel</x:v>
      </x:c>
      <x:c r="Q18" s="22" t="str">
        <x:v>Schiffsbug erkennen und die Tempelgeschichte in einem kurzen Rätsel deuten.</x:v>
      </x:c>
      <x:c r="R18" s="22" t="str">
        <x:v>Die Schiffsform ist nur vom richtigen Blickwinkel eindeutig.</x:v>
      </x:c>
    </x:row>
    <x:row r="19" ht="44" customHeight="1">
      <x:c r="A19" s="22" t="str">
        <x:v>D1-Q15</x:v>
      </x:c>
      <x:c r="B19" s="22" t="str">
        <x:v>REGULAER</x:v>
      </x:c>
      <x:c r="C19" s="22" t="str">
        <x:v>DAY_1</x:v>
      </x:c>
      <x:c r="D19" s="22" t="str">
        <x:v>Cecilias Stimmen</x:v>
      </x:c>
      <x:c r="E19" s="22" t="str">
        <x:v>Basilica di Santa Cecilia in Trastevere → Santa Maria in Trastevere</x:v>
      </x:c>
      <x:c r="F19" s="22" t="str">
        <x:v>DIALOG_ENTSCHEIDUNG</x:v>
      </x:c>
      <x:c r="G19" s="22" t="n">
        <x:v>4</x:v>
      </x:c>
      <x:c r="H19" s="22" t="n">
        <x:v>4</x:v>
      </x:c>
      <x:c r="I19" s="22" t="n">
        <x:v>3</x:v>
      </x:c>
      <x:c r="J19" s="22" t="n">
        <x:v>3</x:v>
      </x:c>
      <x:c r="K19" s="22" t="n">
        <x:v>2</x:v>
      </x:c>
      <x:c r="L19" s="22" t="n">
        <x:v>5</x:v>
      </x:c>
      <x:c r="M19" s="22" t="n">
        <x:v>2</x:v>
      </x:c>
      <x:c r="N19" s="22" t="n">
        <x:v>0</x:v>
      </x:c>
      <x:c r="O19" s="22" t="n">
        <x:f>MAX(H19:N19)</x:f>
        <x:v>5</x:v>
      </x:c>
      <x:c r="P19" s="22" t="str">
        <x:f>INDEX($H$4:$N$4,1,MATCH(O19,H19:N19,0))</x:f>
        <x:v>Dialog / Entscheidung</x:v>
      </x:c>
      <x:c r="Q19" s="22" t="str">
        <x:v>Außenhinweise lesen und im Dialog entscheiden, wie Legende und belegte Geschichte getrennt erzählt werden.</x:v>
      </x:c>
      <x:c r="R19" s="22" t="str">
        <x:v>Santa Cecilia muss vollständig vom öffentlichen Außenpunkt funktionieren.</x:v>
      </x:c>
    </x:row>
    <x:row r="20" ht="44" customHeight="1">
      <x:c r="A20" s="22" t="str">
        <x:v>D1-Q16</x:v>
      </x:c>
      <x:c r="B20" s="22" t="str">
        <x:v>REGULAER</x:v>
      </x:c>
      <x:c r="C20" s="22" t="str">
        <x:v>DAY_1</x:v>
      </x:c>
      <x:c r="D20" s="22" t="str">
        <x:v>Republik auf dem Gianicolo</x:v>
      </x:c>
      <x:c r="E20" s="22" t="str">
        <x:v>Gianicolense-Mauern → Mausoleo Ossario Garibaldino → Fontana Dell'Acqua Paola → Monumento a Garibaldi → Monumento ad Anita Garibaldi</x:v>
      </x:c>
      <x:c r="F20" s="22" t="str">
        <x:v>KAMPF</x:v>
      </x:c>
      <x:c r="G20" s="22" t="n">
        <x:v>5</x:v>
      </x:c>
      <x:c r="H20" s="22" t="n">
        <x:v>4</x:v>
      </x:c>
      <x:c r="I20" s="22" t="n">
        <x:v>3</x:v>
      </x:c>
      <x:c r="J20" s="22" t="n">
        <x:v>3</x:v>
      </x:c>
      <x:c r="K20" s="22" t="n">
        <x:v>1</x:v>
      </x:c>
      <x:c r="L20" s="22" t="n">
        <x:v>3</x:v>
      </x:c>
      <x:c r="M20" s="22" t="n">
        <x:v>5</x:v>
      </x:c>
      <x:c r="N20" s="22" t="n">
        <x:v>0</x:v>
      </x:c>
      <x:c r="O20" s="22" t="n">
        <x:f>MAX(H20:N20)</x:f>
        <x:v>5</x:v>
      </x:c>
      <x:c r="P20" s="22" t="str">
        <x:f>INDEX($H$4:$N$4,1,MATCH(O20,H20:N20,0))</x:f>
        <x:v>Kampf</x:v>
      </x:c>
      <x:c r="Q20" s="22" t="str">
        <x:v>Ereignisse und Denkmäler ordnen; am Ende Kampf gegen den Garibaldino der Mauern.</x:v>
      </x:c>
      <x:c r="R20" s="22" t="str">
        <x:v>Steigung und längere Gehstrecke; kein Problem der Eintrittspflicht.</x:v>
      </x:c>
    </x:row>
    <x:row r="21" ht="44" customHeight="1">
      <x:c r="A21" s="22" t="str">
        <x:v>D2-Q01</x:v>
      </x:c>
      <x:c r="B21" s="22" t="str">
        <x:v>REGULAER</x:v>
      </x:c>
      <x:c r="C21" s="22" t="str">
        <x:v>DAY_2</x:v>
      </x:c>
      <x:c r="D21" s="22" t="str">
        <x:v>Stern des Kapitols</x:v>
      </x:c>
      <x:c r="E21" s="22" t="str">
        <x:v>Kapitolsplatz → Giulio Cesare</x:v>
      </x:c>
      <x:c r="F21" s="22" t="str">
        <x:v>ZUORDNUNG_REIHENFOLGE</x:v>
      </x:c>
      <x:c r="G21" s="22" t="n">
        <x:v>4</x:v>
      </x:c>
      <x:c r="H21" s="22" t="n">
        <x:v>4</x:v>
      </x:c>
      <x:c r="I21" s="22" t="n">
        <x:v>3</x:v>
      </x:c>
      <x:c r="J21" s="22" t="n">
        <x:v>5</x:v>
      </x:c>
      <x:c r="K21" s="22" t="n">
        <x:v>2</x:v>
      </x:c>
      <x:c r="L21" s="22" t="n">
        <x:v>4</x:v>
      </x:c>
      <x:c r="M21" s="22" t="n">
        <x:v>2</x:v>
      </x:c>
      <x:c r="N21" s="22" t="n">
        <x:v>0</x:v>
      </x:c>
      <x:c r="O21" s="22" t="n">
        <x:f>MAX(H21:N21)</x:f>
        <x:v>5</x:v>
      </x:c>
      <x:c r="P21" s="22" t="str">
        <x:f>INDEX($H$4:$N$4,1,MATCH(O21,H21:N21,0))</x:f>
        <x:v>Zuordnen / Reihenfolge</x:v>
      </x:c>
      <x:c r="Q21" s="22" t="str">
        <x:v>Muster und Attribut finden und den Aussagen Macht, Erinnerung oder Orientierung zuordnen.</x:v>
      </x:c>
      <x:c r="R21" s="22" t="str">
        <x:v>Caesar-Attribut besitzt nur mittlere Quellen- und Sichtstärke.</x:v>
      </x:c>
    </x:row>
    <x:row r="22" ht="44" customHeight="1">
      <x:c r="A22" s="22" t="str">
        <x:v>D2-Q02</x:v>
      </x:c>
      <x:c r="B22" s="22" t="str">
        <x:v>REGULAER</x:v>
      </x:c>
      <x:c r="C22" s="22" t="str">
        <x:v>DAY_2</x:v>
      </x:c>
      <x:c r="D22" s="22" t="str">
        <x:v>Quadrigen der Einheit</x:v>
      </x:c>
      <x:c r="E22" s="22" t="str">
        <x:v>Nationaldenkmal für Viktor Emanuel II.</x:v>
      </x:c>
      <x:c r="F22" s="22" t="str">
        <x:v>BEOBACHTUNG_SUCHE</x:v>
      </x:c>
      <x:c r="G22" s="22" t="n">
        <x:v>3</x:v>
      </x:c>
      <x:c r="H22" s="22" t="n">
        <x:v>5</x:v>
      </x:c>
      <x:c r="I22" s="22" t="n">
        <x:v>4</x:v>
      </x:c>
      <x:c r="J22" s="22" t="n">
        <x:v>2</x:v>
      </x:c>
      <x:c r="K22" s="22" t="n">
        <x:v>1</x:v>
      </x:c>
      <x:c r="L22" s="22" t="n">
        <x:v>2</x:v>
      </x:c>
      <x:c r="M22" s="22" t="n">
        <x:v>1</x:v>
      </x:c>
      <x:c r="N22" s="22" t="n">
        <x:v>0</x:v>
      </x:c>
      <x:c r="O22" s="22" t="n">
        <x:f>MAX(H22:N22)</x:f>
        <x:v>5</x:v>
      </x:c>
      <x:c r="P22" s="22" t="str">
        <x:f>INDEX($H$4:$N$4,1,MATCH(O22,H22:N22,0))</x:f>
        <x:v>Beobachtung / Suche</x:v>
      </x:c>
      <x:c r="Q22" s="22" t="str">
        <x:v>Großformen zählen und die Epoche des Denkmals zuordnen.</x:v>
      </x:c>
      <x:c r="R22" s="22" t="str">
        <x:v>Menschenmenge; Quadrigen bleiben als Großform sichtbar.</x:v>
      </x:c>
    </x:row>
    <x:row r="23" ht="44" customHeight="1">
      <x:c r="A23" s="22" t="str">
        <x:v>D2-Q03</x:v>
      </x:c>
      <x:c r="B23" s="22" t="str">
        <x:v>REGULAER</x:v>
      </x:c>
      <x:c r="C23" s="22" t="str">
        <x:v>DAY_2</x:v>
      </x:c>
      <x:c r="D23" s="22" t="str">
        <x:v>Arena und Triumph</x:v>
      </x:c>
      <x:c r="E23" s="22" t="str">
        <x:v>Konstantinsbogen → Kolosseum → Ludus Magnus</x:v>
      </x:c>
      <x:c r="F23" s="22" t="str">
        <x:v>KAMPF</x:v>
      </x:c>
      <x:c r="G23" s="22" t="n">
        <x:v>5</x:v>
      </x:c>
      <x:c r="H23" s="22" t="n">
        <x:v>4</x:v>
      </x:c>
      <x:c r="I23" s="22" t="n">
        <x:v>3</x:v>
      </x:c>
      <x:c r="J23" s="22" t="n">
        <x:v>3</x:v>
      </x:c>
      <x:c r="K23" s="22" t="n">
        <x:v>1</x:v>
      </x:c>
      <x:c r="L23" s="22" t="n">
        <x:v>3</x:v>
      </x:c>
      <x:c r="M23" s="22" t="n">
        <x:v>5</x:v>
      </x:c>
      <x:c r="N23" s="22" t="n">
        <x:v>0</x:v>
      </x:c>
      <x:c r="O23" s="22" t="n">
        <x:f>MAX(H23:N23)</x:f>
        <x:v>5</x:v>
      </x:c>
      <x:c r="P23" s="22" t="str">
        <x:f>INDEX($H$4:$N$4,1,MATCH(O23,H23:N23,0))</x:f>
        <x:v>Kampf</x:v>
      </x:c>
      <x:c r="Q23" s="22" t="str">
        <x:v>Durchgänge und Arenaform lesen; daraus eine Taktik gegen den Gladiator ableiten.</x:v>
      </x:c>
      <x:c r="R23" s="22" t="str">
        <x:v>Sehr hohe Besucherzahl; nur Außenräume und Großformen.</x:v>
      </x:c>
    </x:row>
    <x:row r="24" ht="44" customHeight="1">
      <x:c r="A24" s="22" t="str">
        <x:v>D2-Q04</x:v>
      </x:c>
      <x:c r="B24" s="22" t="str">
        <x:v>REGULAER</x:v>
      </x:c>
      <x:c r="C24" s="22" t="str">
        <x:v>DAY_2</x:v>
      </x:c>
      <x:c r="D24" s="22" t="str">
        <x:v>Handel, Götter und Wahrheit</x:v>
      </x:c>
      <x:c r="E24" s="22" t="str">
        <x:v>Mund der Wahrheit → Tempel des Hercules Victor → Arco degli Argentari → Janusbogen</x:v>
      </x:c>
      <x:c r="F24" s="22" t="str">
        <x:v>DIALOG_ENTSCHEIDUNG</x:v>
      </x:c>
      <x:c r="G24" s="22" t="n">
        <x:v>5</x:v>
      </x:c>
      <x:c r="H24" s="22" t="n">
        <x:v>4</x:v>
      </x:c>
      <x:c r="I24" s="22" t="n">
        <x:v>3</x:v>
      </x:c>
      <x:c r="J24" s="22" t="n">
        <x:v>3</x:v>
      </x:c>
      <x:c r="K24" s="22" t="n">
        <x:v>2</x:v>
      </x:c>
      <x:c r="L24" s="22" t="n">
        <x:v>5</x:v>
      </x:c>
      <x:c r="M24" s="22" t="n">
        <x:v>4</x:v>
      </x:c>
      <x:c r="N24" s="22" t="n">
        <x:v>0</x:v>
      </x:c>
      <x:c r="O24" s="22" t="n">
        <x:f>MAX(H24:N24)</x:f>
        <x:v>5</x:v>
      </x:c>
      <x:c r="P24" s="22" t="str">
        <x:f>INDEX($H$4:$N$4,1,MATCH(O24,H24:N24,0))</x:f>
        <x:v>Dialog / Entscheidung</x:v>
      </x:c>
      <x:c r="Q24" s="22" t="str">
        <x:v>Großformen vergleichen und am Ende entscheiden, welche Erklärung historisch, später oder legendär ist.</x:v>
      </x:c>
      <x:c r="R24" s="22" t="str">
        <x:v>Bocca della Verità kann eine lange Warteschlange haben.</x:v>
      </x:c>
    </x:row>
    <x:row r="25" ht="44" customHeight="1">
      <x:c r="A25" s="22" t="str">
        <x:v>D2-Q05</x:v>
      </x:c>
      <x:c r="B25" s="22" t="str">
        <x:v>REGULAER</x:v>
      </x:c>
      <x:c r="C25" s="22" t="str">
        <x:v>DAY_2</x:v>
      </x:c>
      <x:c r="D25" s="22" t="str">
        <x:v>Masken über dem Circus</x:v>
      </x:c>
      <x:c r="E25" s="22" t="str">
        <x:v>Tritonenbrunnen → Belvedere Romolo E Remo → Maskenbrunnen bei Santa Sabina</x:v>
      </x:c>
      <x:c r="F25" s="22" t="str">
        <x:v>ZUORDNUNG_REIHENFOLGE</x:v>
      </x:c>
      <x:c r="G25" s="22" t="n">
        <x:v>5</x:v>
      </x:c>
      <x:c r="H25" s="22" t="n">
        <x:v>4</x:v>
      </x:c>
      <x:c r="I25" s="22" t="n">
        <x:v>3</x:v>
      </x:c>
      <x:c r="J25" s="22" t="n">
        <x:v>5</x:v>
      </x:c>
      <x:c r="K25" s="22" t="n">
        <x:v>2</x:v>
      </x:c>
      <x:c r="L25" s="22" t="n">
        <x:v>3</x:v>
      </x:c>
      <x:c r="M25" s="22" t="n">
        <x:v>4</x:v>
      </x:c>
      <x:c r="N25" s="22" t="n">
        <x:v>0</x:v>
      </x:c>
      <x:c r="O25" s="22" t="n">
        <x:f>MAX(H25:N25)</x:f>
        <x:v>5</x:v>
      </x:c>
      <x:c r="P25" s="22" t="str">
        <x:f>INDEX($H$4:$N$4,1,MATCH(O25,H25:N25,0))</x:f>
        <x:v>Zuordnen / Reihenfolge</x:v>
      </x:c>
      <x:c r="Q25" s="22" t="str">
        <x:v>Tritonen und Maske vergleichen und anschließend Palatin und Aventin richtig zuordnen.</x:v>
      </x:c>
      <x:c r="R25" s="22" t="str">
        <x:v>Kurzer Anstieg; Blickrichtung am Belvedere muss eindeutig sein.</x:v>
      </x:c>
    </x:row>
    <x:row r="26" ht="44" customHeight="1">
      <x:c r="A26" s="22" t="str">
        <x:v>D2-Q06</x:v>
      </x:c>
      <x:c r="B26" s="22" t="str">
        <x:v>REGULAER</x:v>
      </x:c>
      <x:c r="C26" s="22" t="str">
        <x:v>DAY_2</x:v>
      </x:c>
      <x:c r="D26" s="22" t="str">
        <x:v>Das steinerne Schiff</x:v>
      </x:c>
      <x:c r="E26" s="22" t="str">
        <x:v>Fontana della Navicella</x:v>
      </x:c>
      <x:c r="F26" s="22" t="str">
        <x:v>KURZTEXT_RAETSEL</x:v>
      </x:c>
      <x:c r="G26" s="22" t="n">
        <x:v>3</x:v>
      </x:c>
      <x:c r="H26" s="22" t="n">
        <x:v>4</x:v>
      </x:c>
      <x:c r="I26" s="22" t="n">
        <x:v>3</x:v>
      </x:c>
      <x:c r="J26" s="22" t="n">
        <x:v>3</x:v>
      </x:c>
      <x:c r="K26" s="22" t="n">
        <x:v>5</x:v>
      </x:c>
      <x:c r="L26" s="22" t="n">
        <x:v>3</x:v>
      </x:c>
      <x:c r="M26" s="22" t="n">
        <x:v>1</x:v>
      </x:c>
      <x:c r="N26" s="22" t="n">
        <x:v>0</x:v>
      </x:c>
      <x:c r="O26" s="22" t="n">
        <x:f>MAX(H26:N26)</x:f>
        <x:v>5</x:v>
      </x:c>
      <x:c r="P26" s="22" t="str">
        <x:f>INDEX($H$4:$N$4,1,MATCH(O26,H26:N26,0))</x:f>
        <x:v>Kurze Texteingabe / Rätsel</x:v>
      </x:c>
      <x:c r="Q26" s="22" t="str">
        <x:v>Objektform erfassen und eine kurze Deutung auswählen oder eingeben.</x:v>
      </x:c>
      <x:c r="R26" s="22" t="str">
        <x:v>Nur die Großform des Schiffs verwenden.</x:v>
      </x:c>
    </x:row>
    <x:row r="27" ht="44" customHeight="1">
      <x:c r="A27" s="22" t="str">
        <x:v>D2-Q07</x:v>
      </x:c>
      <x:c r="B27" s="22" t="str">
        <x:v>REGULAER</x:v>
      </x:c>
      <x:c r="C27" s="22" t="str">
        <x:v>DAY_2</x:v>
      </x:c>
      <x:c r="D27" s="22" t="str">
        <x:v>Sitz der Kirche</x:v>
      </x:c>
      <x:c r="E27" s="22" t="str">
        <x:v>Lateranbasilika → Lateranischer Obelisk → Porta San Giovanni</x:v>
      </x:c>
      <x:c r="F27" s="22" t="str">
        <x:v>DIALOG_ENTSCHEIDUNG</x:v>
      </x:c>
      <x:c r="G27" s="22" t="n">
        <x:v>5</x:v>
      </x:c>
      <x:c r="H27" s="22" t="n">
        <x:v>4</x:v>
      </x:c>
      <x:c r="I27" s="22" t="n">
        <x:v>3</x:v>
      </x:c>
      <x:c r="J27" s="22" t="n">
        <x:v>3</x:v>
      </x:c>
      <x:c r="K27" s="22" t="n">
        <x:v>2</x:v>
      </x:c>
      <x:c r="L27" s="22" t="n">
        <x:v>5</x:v>
      </x:c>
      <x:c r="M27" s="22" t="n">
        <x:v>2</x:v>
      </x:c>
      <x:c r="N27" s="22" t="n">
        <x:v>0</x:v>
      </x:c>
      <x:c r="O27" s="22" t="n">
        <x:f>MAX(H27:N27)</x:f>
        <x:v>5</x:v>
      </x:c>
      <x:c r="P27" s="22" t="str">
        <x:f>INDEX($H$4:$N$4,1,MATCH(O27,H27:N27,0))</x:f>
        <x:v>Dialog / Entscheidung</x:v>
      </x:c>
      <x:c r="Q27" s="22" t="str">
        <x:v>Drei Großhinweise erfassen und im Dialog geistliche, imperiale und städtische Funktion trennen.</x:v>
      </x:c>
      <x:c r="R27" s="22" t="str">
        <x:v>Menschenmenge und Verkehr, aber robuste Großformen.</x:v>
      </x:c>
    </x:row>
    <x:row r="28" ht="44" customHeight="1">
      <x:c r="A28" s="22" t="str">
        <x:v>D2-Q08</x:v>
      </x:c>
      <x:c r="B28" s="22" t="str">
        <x:v>REGULAER</x:v>
      </x:c>
      <x:c r="C28" s="22" t="str">
        <x:v>DAY_2</x:v>
      </x:c>
      <x:c r="D28" s="22" t="str">
        <x:v>Tore der Aurelianischen Mauer</x:v>
      </x:c>
      <x:c r="E28" s="22" t="str">
        <x:v>Porta Latina → Porta Metronia</x:v>
      </x:c>
      <x:c r="F28" s="22" t="str">
        <x:v>ZUORDNUNG_REIHENFOLGE</x:v>
      </x:c>
      <x:c r="G28" s="22" t="n">
        <x:v>4</x:v>
      </x:c>
      <x:c r="H28" s="22" t="n">
        <x:v>4</x:v>
      </x:c>
      <x:c r="I28" s="22" t="n">
        <x:v>3</x:v>
      </x:c>
      <x:c r="J28" s="22" t="n">
        <x:v>5</x:v>
      </x:c>
      <x:c r="K28" s="22" t="n">
        <x:v>2</x:v>
      </x:c>
      <x:c r="L28" s="22" t="n">
        <x:v>3</x:v>
      </x:c>
      <x:c r="M28" s="22" t="n">
        <x:v>4</x:v>
      </x:c>
      <x:c r="N28" s="22" t="n">
        <x:v>0</x:v>
      </x:c>
      <x:c r="O28" s="22" t="n">
        <x:f>MAX(H28:N28)</x:f>
        <x:v>5</x:v>
      </x:c>
      <x:c r="P28" s="22" t="str">
        <x:f>INDEX($H$4:$N$4,1,MATCH(O28,H28:N28,0))</x:f>
        <x:v>Zuordnen / Reihenfolge</x:v>
      </x:c>
      <x:c r="Q28" s="22" t="str">
        <x:v>Türme und Öffnungszustand erkennen; die beiden Orte nach Wehr- und Verkehrslogik zuordnen.</x:v>
      </x:c>
      <x:c r="R28" s="22" t="str">
        <x:v>Längere Gehstrecke und Verkehrsumfeld an Porta Metronia.</x:v>
      </x:c>
    </x:row>
    <x:row r="29" ht="44" customHeight="1">
      <x:c r="A29" s="22" t="str">
        <x:v>D2-Q09</x:v>
      </x:c>
      <x:c r="B29" s="22" t="str">
        <x:v>REGULAER</x:v>
      </x:c>
      <x:c r="C29" s="22" t="str">
        <x:v>DAY_2</x:v>
      </x:c>
      <x:c r="D29" s="22" t="str">
        <x:v>Schichten des Esquilino</x:v>
      </x:c>
      <x:c r="E29" s="22" t="str">
        <x:v>Basilika Groß Sankt Marien → Obelisco Esquilino → Thermae Traianae</x:v>
      </x:c>
      <x:c r="F29" s="22" t="str">
        <x:v>BEOBACHTUNG_SUCHE</x:v>
      </x:c>
      <x:c r="G29" s="22" t="n">
        <x:v>5</x:v>
      </x:c>
      <x:c r="H29" s="22" t="n">
        <x:v>5</x:v>
      </x:c>
      <x:c r="I29" s="22" t="n">
        <x:v>4</x:v>
      </x:c>
      <x:c r="J29" s="22" t="n">
        <x:v>2</x:v>
      </x:c>
      <x:c r="K29" s="22" t="n">
        <x:v>1</x:v>
      </x:c>
      <x:c r="L29" s="22" t="n">
        <x:v>2</x:v>
      </x:c>
      <x:c r="M29" s="22" t="n">
        <x:v>4</x:v>
      </x:c>
      <x:c r="N29" s="22" t="n">
        <x:v>0</x:v>
      </x:c>
      <x:c r="O29" s="22" t="n">
        <x:f>MAX(H29:N29)</x:f>
        <x:v>5</x:v>
      </x:c>
      <x:c r="P29" s="22" t="str">
        <x:f>INDEX($H$4:$N$4,1,MATCH(O29,H29:N29,0))</x:f>
        <x:v>Beobachtung / Suche</x:v>
      </x:c>
      <x:c r="Q29" s="22" t="str">
        <x:v>Großformen und Material erkennen; Schichten zeitlich ordnen; optionaler Dampfgegner.</x:v>
      </x:c>
      <x:c r="R29" s="22" t="str">
        <x:v>Santa Maria Maggiore ist Bosszone und sehr belebt; Parkzugang zu den Thermen prüfen.</x:v>
      </x:c>
    </x:row>
    <x:row r="30" ht="44" customHeight="1">
      <x:c r="A30" s="22" t="str">
        <x:v>D2-Q10</x:v>
      </x:c>
      <x:c r="B30" s="22" t="str">
        <x:v>REGULAER</x:v>
      </x:c>
      <x:c r="C30" s="22" t="str">
        <x:v>DAY_2</x:v>
      </x:c>
      <x:c r="D30" s="22" t="str">
        <x:v>Wasser über dem Tor</x:v>
      </x:c>
      <x:c r="E30" s="22" t="str">
        <x:v>Porta Maggiore und Aqua Claudia</x:v>
      </x:c>
      <x:c r="F30" s="22" t="str">
        <x:v>KAMPF</x:v>
      </x:c>
      <x:c r="G30" s="22" t="n">
        <x:v>4</x:v>
      </x:c>
      <x:c r="H30" s="22" t="n">
        <x:v>4</x:v>
      </x:c>
      <x:c r="I30" s="22" t="n">
        <x:v>3</x:v>
      </x:c>
      <x:c r="J30" s="22" t="n">
        <x:v>3</x:v>
      </x:c>
      <x:c r="K30" s="22" t="n">
        <x:v>1</x:v>
      </x:c>
      <x:c r="L30" s="22" t="n">
        <x:v>3</x:v>
      </x:c>
      <x:c r="M30" s="22" t="n">
        <x:v>5</x:v>
      </x:c>
      <x:c r="N30" s="22" t="n">
        <x:v>0</x:v>
      </x:c>
      <x:c r="O30" s="22" t="n">
        <x:f>MAX(H30:N30)</x:f>
        <x:v>5</x:v>
      </x:c>
      <x:c r="P30" s="22" t="str">
        <x:f>INDEX($H$4:$N$4,1,MATCH(O30,H30:N30,0))</x:f>
        <x:v>Kampf</x:v>
      </x:c>
      <x:c r="Q30" s="22" t="str">
        <x:v>Bögen und Aquäduktfunktion verbinden; danach kurzer Kampf gegen die Wasserhydra.</x:v>
      </x:c>
      <x:c r="R30" s="22" t="str">
        <x:v>Sicherer Gehwegpunkt im Verkehrsknoten ist zwingend.</x:v>
      </x:c>
    </x:row>
    <x:row r="31" ht="44" customHeight="1">
      <x:c r="A31" s="22" t="str">
        <x:v>M-D1-01</x:v>
      </x:c>
      <x:c r="B31" s="22" t="str">
        <x:v>MEDIA_LOCAL</x:v>
      </x:c>
      <x:c r="C31" s="22" t="str">
        <x:v>DAY_1</x:v>
      </x:c>
      <x:c r="D31" s="22" t="str">
        <x:v>Foto mit Schweizer Gardist</x:v>
      </x:c>
      <x:c r="E31" s="22" t="str">
        <x:v>Petersplatz</x:v>
      </x:c>
      <x:c r="F31" s="22" t="str">
        <x:v>MEDIEN</x:v>
      </x:c>
      <x:c r="G31" s="22" t="n">
        <x:v>3</x:v>
      </x:c>
      <x:c r="H31" s="22" t="n">
        <x:v>2</x:v>
      </x:c>
      <x:c r="I31" s="22" t="n">
        <x:v>0</x:v>
      </x:c>
      <x:c r="J31" s="22" t="n">
        <x:v>1</x:v>
      </x:c>
      <x:c r="K31" s="22" t="n">
        <x:v>0</x:v>
      </x:c>
      <x:c r="L31" s="22" t="n">
        <x:v>4</x:v>
      </x:c>
      <x:c r="M31" s="22" t="n">
        <x:v>0</x:v>
      </x:c>
      <x:c r="N31" s="22" t="n">
        <x:v>5</x:v>
      </x:c>
      <x:c r="O31" s="22" t="n">
        <x:f>MAX(H31:N31)</x:f>
        <x:v>5</x:v>
      </x:c>
      <x:c r="P31" s="22" t="str">
        <x:f>INDEX($H$4:$N$4,1,MATCH(O31,H31:N31,0))</x:f>
        <x:v>Medien</x:v>
      </x:c>
      <x:c r="Q31" s="22" t="str">
        <x:v>Teamfoto mit einem Schweizer Gardisten am Petersplatz.</x:v>
      </x:c>
      <x:c r="R31" s="22" t="str">
        <x:v>Gardist ist nicht garantiert verfügbar; respektvolle Distanz und Menschenmenge.</x:v>
      </x:c>
    </x:row>
    <x:row r="32" ht="44" customHeight="1">
      <x:c r="A32" s="22" t="str">
        <x:v>M-D1-02</x:v>
      </x:c>
      <x:c r="B32" s="22" t="str">
        <x:v>MEDIA_LOCAL</x:v>
      </x:c>
      <x:c r="C32" s="22" t="str">
        <x:v>DAY_1</x:v>
      </x:c>
      <x:c r="D32" s="22" t="str">
        <x:v>Wie ein Engel</x:v>
      </x:c>
      <x:c r="E32" s="22" t="str">
        <x:v>Engelsbrücke</x:v>
      </x:c>
      <x:c r="F32" s="22" t="str">
        <x:v>MEDIEN</x:v>
      </x:c>
      <x:c r="G32" s="22" t="n">
        <x:v>3</x:v>
      </x:c>
      <x:c r="H32" s="22" t="n">
        <x:v>3</x:v>
      </x:c>
      <x:c r="I32" s="22" t="n">
        <x:v>0</x:v>
      </x:c>
      <x:c r="J32" s="22" t="n">
        <x:v>1</x:v>
      </x:c>
      <x:c r="K32" s="22" t="n">
        <x:v>0</x:v>
      </x:c>
      <x:c r="L32" s="22" t="n">
        <x:v>2</x:v>
      </x:c>
      <x:c r="M32" s="22" t="n">
        <x:v>0</x:v>
      </x:c>
      <x:c r="N32" s="22" t="n">
        <x:v>5</x:v>
      </x:c>
      <x:c r="O32" s="22" t="n">
        <x:f>MAX(H32:N32)</x:f>
        <x:v>5</x:v>
      </x:c>
      <x:c r="P32" s="22" t="str">
        <x:f>INDEX($H$4:$N$4,1,MATCH(O32,H32:N32,0))</x:f>
        <x:v>Medien</x:v>
      </x:c>
      <x:c r="Q32" s="22" t="str">
        <x:v>Bewusst offene kreative Fotoaufgabe auf der Engelsbrücke.</x:v>
      </x:c>
      <x:c r="R32" s="22" t="str">
        <x:v>Hohe Besucherzahl und schmale Bewegungsflächen.</x:v>
      </x:c>
    </x:row>
    <x:row r="33" ht="44" customHeight="1">
      <x:c r="A33" s="22" t="str">
        <x:v>M-D1-03</x:v>
      </x:c>
      <x:c r="B33" s="22" t="str">
        <x:v>MEDIA_LOCAL</x:v>
      </x:c>
      <x:c r="C33" s="22" t="str">
        <x:v>DAY_1</x:v>
      </x:c>
      <x:c r="D33" s="22" t="str">
        <x:v>Drei Brunnen, drei Figuren</x:v>
      </x:c>
      <x:c r="E33" s="22" t="str">
        <x:v>Piazza Navona → Neptunsbrunnen → Mohrenbrunnen</x:v>
      </x:c>
      <x:c r="F33" s="22" t="str">
        <x:v>MEDIEN</x:v>
      </x:c>
      <x:c r="G33" s="22" t="n">
        <x:v>3</x:v>
      </x:c>
      <x:c r="H33" s="22" t="n">
        <x:v>5</x:v>
      </x:c>
      <x:c r="I33" s="22" t="n">
        <x:v>1</x:v>
      </x:c>
      <x:c r="J33" s="22" t="n">
        <x:v>4</x:v>
      </x:c>
      <x:c r="K33" s="22" t="n">
        <x:v>0</x:v>
      </x:c>
      <x:c r="L33" s="22" t="n">
        <x:v>2</x:v>
      </x:c>
      <x:c r="M33" s="22" t="n">
        <x:v>0</x:v>
      </x:c>
      <x:c r="N33" s="22" t="n">
        <x:v>5</x:v>
      </x:c>
      <x:c r="O33" s="22" t="n">
        <x:f>MAX(H33:N33)</x:f>
        <x:v>5</x:v>
      </x:c>
      <x:c r="P33" s="22" t="str">
        <x:f>INDEX($H$4:$N$4,1,MATCH(O33,H33:N33,0))</x:f>
        <x:v>Beobachtung / Suche</x:v>
      </x:c>
      <x:c r="Q33" s="22" t="str">
        <x:v>Je eine Figurenpose aus jedem der drei Brunnen der Piazza Navona nachstellen.</x:v>
      </x:c>
      <x:c r="R33" s="22" t="str">
        <x:v>Menschenmenge; nur große Figuren als Vorbild verwenden.</x:v>
      </x:c>
    </x:row>
    <x:row r="34" ht="44" customHeight="1">
      <x:c r="A34" s="22" t="str">
        <x:v>M-LT-01</x:v>
      </x:c>
      <x:c r="B34" s="22" t="str">
        <x:v>MEDIA_LANGZEIT</x:v>
      </x:c>
      <x:c r="C34" s="22" t="str">
        <x:v>BOTH_DAYS</x:v>
      </x:c>
      <x:c r="D34" s="22" t="str">
        <x:v>Roma in zwölf Bildern</x:v>
      </x:c>
      <x:c r="E34" s="22" t="str">
        <x:v>Marcellustheater</x:v>
      </x:c>
      <x:c r="F34" s="22" t="str">
        <x:v>MEDIEN</x:v>
      </x:c>
      <x:c r="G34" s="22" t="n">
        <x:v>4</x:v>
      </x:c>
      <x:c r="H34" s="22" t="n">
        <x:v>3</x:v>
      </x:c>
      <x:c r="I34" s="22" t="n">
        <x:v>0</x:v>
      </x:c>
      <x:c r="J34" s="22" t="n">
        <x:v>3</x:v>
      </x:c>
      <x:c r="K34" s="22" t="n">
        <x:v>2</x:v>
      </x:c>
      <x:c r="L34" s="22" t="n">
        <x:v>5</x:v>
      </x:c>
      <x:c r="M34" s="22" t="n">
        <x:v>1</x:v>
      </x:c>
      <x:c r="N34" s="22" t="n">
        <x:v>5</x:v>
      </x:c>
      <x:c r="O34" s="22" t="n">
        <x:f>MAX(H34:N34)</x:f>
        <x:v>5</x:v>
      </x:c>
      <x:c r="P34" s="22" t="str">
        <x:f>INDEX($H$4:$N$4,1,MATCH(O34,H34:N34,0))</x:f>
        <x:v>Dialog / Entscheidung</x:v>
      </x:c>
      <x:c r="Q34" s="22" t="str">
        <x:v>Maximal zwölf Bilder erzählen eine erkennbare Kurzgeschichte mit sichtbaren Klassenrollen.</x:v>
      </x:c>
      <x:c r="R34" s="22" t="str">
        <x:v>Bewertung benötigt klare Rubrik; darf reguläre Questslots nicht blockieren.</x:v>
      </x:c>
    </x:row>
    <x:row r="35" ht="44" customHeight="1">
      <x:c r="A35" s="22" t="str">
        <x:v>M-D2-01</x:v>
      </x:c>
      <x:c r="B35" s="22" t="str">
        <x:v>MEDIA_LOCAL</x:v>
      </x:c>
      <x:c r="C35" s="22" t="str">
        <x:v>DAY_2</x:v>
      </x:c>
      <x:c r="D35" s="22" t="str">
        <x:v>Streitwagenrennen</x:v>
      </x:c>
      <x:c r="E35" s="22" t="str">
        <x:v>Circus Maximus</x:v>
      </x:c>
      <x:c r="F35" s="22" t="str">
        <x:v>MEDIEN</x:v>
      </x:c>
      <x:c r="G35" s="22" t="n">
        <x:v>4</x:v>
      </x:c>
      <x:c r="H35" s="22" t="n">
        <x:v>3</x:v>
      </x:c>
      <x:c r="I35" s="22" t="n">
        <x:v>0</x:v>
      </x:c>
      <x:c r="J35" s="22" t="n">
        <x:v>4</x:v>
      </x:c>
      <x:c r="K35" s="22" t="n">
        <x:v>0</x:v>
      </x:c>
      <x:c r="L35" s="22" t="n">
        <x:v>3</x:v>
      </x:c>
      <x:c r="M35" s="22" t="n">
        <x:v>2</x:v>
      </x:c>
      <x:c r="N35" s="22" t="n">
        <x:v>5</x:v>
      </x:c>
      <x:c r="O35" s="22" t="n">
        <x:f>MAX(H35:N35)</x:f>
        <x:v>5</x:v>
      </x:c>
      <x:c r="P35" s="22" t="str">
        <x:f>INDEX($H$4:$N$4,1,MATCH(O35,H35:N35,0))</x:f>
        <x:v>Medien</x:v>
      </x:c>
      <x:c r="Q35" s="22" t="str">
        <x:v>Ein Streitwagenrennen als zusammenhängender Akt in exakt fünf Bildern.</x:v>
      </x:c>
      <x:c r="R35" s="22" t="str">
        <x:v>Große offene Fläche; sichere Laufrichtung im Briefing festlegen.</x:v>
      </x:c>
    </x:row>
    <x:row r="36" ht="44" customHeight="1">
      <x:c r="A36" s="22" t="str">
        <x:v>M-D2-02</x:v>
      </x:c>
      <x:c r="B36" s="22" t="str">
        <x:v>MEDIA_LOCAL</x:v>
      </x:c>
      <x:c r="C36" s="22" t="str">
        <x:v>DAY_2</x:v>
      </x:c>
      <x:c r="D36" s="22" t="str">
        <x:v>Gladiatorenkampf</x:v>
      </x:c>
      <x:c r="E36" s="22" t="str">
        <x:v>Kolosseum</x:v>
      </x:c>
      <x:c r="F36" s="22" t="str">
        <x:v>MEDIEN</x:v>
      </x:c>
      <x:c r="G36" s="22" t="n">
        <x:v>3</x:v>
      </x:c>
      <x:c r="H36" s="22" t="n">
        <x:v>3</x:v>
      </x:c>
      <x:c r="I36" s="22" t="n">
        <x:v>0</x:v>
      </x:c>
      <x:c r="J36" s="22" t="n">
        <x:v>2</x:v>
      </x:c>
      <x:c r="K36" s="22" t="n">
        <x:v>0</x:v>
      </x:c>
      <x:c r="L36" s="22" t="n">
        <x:v>3</x:v>
      </x:c>
      <x:c r="M36" s="22" t="n">
        <x:v>4</x:v>
      </x:c>
      <x:c r="N36" s="22" t="n">
        <x:v>5</x:v>
      </x:c>
      <x:c r="O36" s="22" t="n">
        <x:f>MAX(H36:N36)</x:f>
        <x:v>5</x:v>
      </x:c>
      <x:c r="P36" s="22" t="str">
        <x:f>INDEX($H$4:$N$4,1,MATCH(O36,H36:N36,0))</x:f>
        <x:v>Medien</x:v>
      </x:c>
      <x:c r="Q36" s="22" t="str">
        <x:v>Kurze inszenierte Bildserie eines Gladiatorenkampfs vor dem Kolosseum.</x:v>
      </x:c>
      <x:c r="R36" s="22" t="str">
        <x:v>Sehr hohe Besucherzahl; keine reale Kampfbewegung in Engstellen.</x:v>
      </x:c>
    </x:row>
    <x:row r="37" ht="44" customHeight="1">
      <x:c r="A37" s="22" t="str">
        <x:v>M-D2-03</x:v>
      </x:c>
      <x:c r="B37" s="22" t="str">
        <x:v>MEDIA_LOCAL</x:v>
      </x:c>
      <x:c r="C37" s="22" t="str">
        <x:v>DAY_2</x:v>
      </x:c>
      <x:c r="D37" s="22" t="str">
        <x:v>Souvenirreview</x:v>
      </x:c>
      <x:c r="E37" s="22" t="str">
        <x:v>Trajansmärkte</x:v>
      </x:c>
      <x:c r="F37" s="22" t="str">
        <x:v>MEDIEN</x:v>
      </x:c>
      <x:c r="G37" s="22" t="n">
        <x:v>3</x:v>
      </x:c>
      <x:c r="H37" s="22" t="n">
        <x:v>3</x:v>
      </x:c>
      <x:c r="I37" s="22" t="n">
        <x:v>0</x:v>
      </x:c>
      <x:c r="J37" s="22" t="n">
        <x:v>2</x:v>
      </x:c>
      <x:c r="K37" s="22" t="n">
        <x:v>4</x:v>
      </x:c>
      <x:c r="L37" s="22" t="n">
        <x:v>3</x:v>
      </x:c>
      <x:c r="M37" s="22" t="n">
        <x:v>1</x:v>
      </x:c>
      <x:c r="N37" s="22" t="n">
        <x:v>5</x:v>
      </x:c>
      <x:c r="O37" s="22" t="n">
        <x:f>MAX(H37:N37)</x:f>
        <x:v>5</x:v>
      </x:c>
      <x:c r="P37" s="22" t="str">
        <x:f>INDEX($H$4:$N$4,1,MATCH(O37,H37:N37,0))</x:f>
        <x:v>Medien</x:v>
      </x:c>
      <x:c r="Q37" s="22" t="str">
        <x:v>30–60 Sekunden Review eines Souvenirs bis maximal 5 EUR; Kauf kann anderswo erfolgen.</x:v>
      </x:c>
      <x:c r="R37" s="22" t="str">
        <x:v>Kauf darf nicht am Ort vorausgesetzt werden; Außenpunkt eindeutig festlegen.</x:v>
      </x:c>
    </x:row>
    <x:row r="38" ht="44" customHeight="1">
      <x:c r="A38" s="22" t="str">
        <x:v>H-D1-01</x:v>
      </x:c>
      <x:c r="B38" s="22" t="str">
        <x:v>HIDDEN</x:v>
      </x:c>
      <x:c r="C38" s="22" t="str">
        <x:v>DAY_1</x:v>
      </x:c>
      <x:c r="D38" s="22" t="str">
        <x:v>Die Schildkröten wachen</x:v>
      </x:c>
      <x:c r="E38" s="22" t="str">
        <x:v>Fontana delle Tartarughe</x:v>
      </x:c>
      <x:c r="F38" s="22" t="str">
        <x:v>BEOBACHTUNG_SUCHE</x:v>
      </x:c>
      <x:c r="G38" s="22" t="n">
        <x:v>2</x:v>
      </x:c>
      <x:c r="H38" s="22" t="n">
        <x:v>5</x:v>
      </x:c>
      <x:c r="I38" s="22" t="n">
        <x:v>4</x:v>
      </x:c>
      <x:c r="J38" s="22" t="n">
        <x:v>2</x:v>
      </x:c>
      <x:c r="K38" s="22" t="n">
        <x:v>0</x:v>
      </x:c>
      <x:c r="L38" s="22" t="n">
        <x:v>2</x:v>
      </x:c>
      <x:c r="M38" s="22" t="n">
        <x:v>4</x:v>
      </x:c>
      <x:c r="N38" s="22" t="n">
        <x:v>0</x:v>
      </x:c>
      <x:c r="O38" s="22" t="n">
        <x:f>MAX(H38:N38)</x:f>
        <x:v>5</x:v>
      </x:c>
      <x:c r="P38" s="22" t="str">
        <x:f>INDEX($H$4:$N$4,1,MATCH(O38,H38:N38,0))</x:f>
        <x:v>Beobachtung / Suche</x:v>
      </x:c>
      <x:c r="Q38" s="22" t="str">
        <x:v>Eine zusätzliche Beobachtung an den vier Schildkröten löst einen kurzen Wächterkampf aus.</x:v>
      </x:c>
      <x:c r="R38" s="22" t="str">
        <x:v>Aktuelle Sicht der Schildkröten prüfen.</x:v>
      </x:c>
    </x:row>
    <x:row r="39" ht="44" customHeight="1">
      <x:c r="A39" s="22" t="str">
        <x:v>H-D1-02</x:v>
      </x:c>
      <x:c r="B39" s="22" t="str">
        <x:v>HIDDEN</x:v>
      </x:c>
      <x:c r="C39" s="22" t="str">
        <x:v>DAY_1</x:v>
      </x:c>
      <x:c r="D39" s="22" t="str">
        <x:v>Ratte des Aquädukts</x:v>
      </x:c>
      <x:c r="E39" s="22" t="str">
        <x:v>Acquedotto Vergine</x:v>
      </x:c>
      <x:c r="F39" s="22" t="str">
        <x:v>BEOBACHTUNG_SUCHE</x:v>
      </x:c>
      <x:c r="G39" s="22" t="n">
        <x:v>2</x:v>
      </x:c>
      <x:c r="H39" s="22" t="n">
        <x:v>5</x:v>
      </x:c>
      <x:c r="I39" s="22" t="n">
        <x:v>3</x:v>
      </x:c>
      <x:c r="J39" s="22" t="n">
        <x:v>1</x:v>
      </x:c>
      <x:c r="K39" s="22" t="n">
        <x:v>0</x:v>
      </x:c>
      <x:c r="L39" s="22" t="n">
        <x:v>2</x:v>
      </x:c>
      <x:c r="M39" s="22" t="n">
        <x:v>4</x:v>
      </x:c>
      <x:c r="N39" s="22" t="n">
        <x:v>0</x:v>
      </x:c>
      <x:c r="O39" s="22" t="n">
        <x:f>MAX(H39:N39)</x:f>
        <x:v>5</x:v>
      </x:c>
      <x:c r="P39" s="22" t="str">
        <x:f>INDEX($H$4:$N$4,1,MATCH(O39,H39:N39,0))</x:f>
        <x:v>Beobachtung / Suche</x:v>
      </x:c>
      <x:c r="Q39" s="22" t="str">
        <x:v>Wer die verdeckten Arkaden findet, entdeckt die Kanalratte der Aqua Virgo.</x:v>
      </x:c>
      <x:c r="R39" s="22" t="str">
        <x:v>Arkaden sind teilweise verdeckt.</x:v>
      </x:c>
    </x:row>
    <x:row r="40" ht="44" customHeight="1">
      <x:c r="A40" s="22" t="str">
        <x:v>H-D1-03</x:v>
      </x:c>
      <x:c r="B40" s="22" t="str">
        <x:v>HIDDEN</x:v>
      </x:c>
      <x:c r="C40" s="22" t="str">
        <x:v>DAY_1</x:v>
      </x:c>
      <x:c r="D40" s="22" t="str">
        <x:v>Die Satirelli</x:v>
      </x:c>
      <x:c r="E40" s="22" t="str">
        <x:v>Fontana dei Satirelli</x:v>
      </x:c>
      <x:c r="F40" s="22" t="str">
        <x:v>BEOBACHTUNG_SUCHE</x:v>
      </x:c>
      <x:c r="G40" s="22" t="n">
        <x:v>2</x:v>
      </x:c>
      <x:c r="H40" s="22" t="n">
        <x:v>5</x:v>
      </x:c>
      <x:c r="I40" s="22" t="n">
        <x:v>3</x:v>
      </x:c>
      <x:c r="J40" s="22" t="n">
        <x:v>4</x:v>
      </x:c>
      <x:c r="K40" s="22" t="n">
        <x:v>0</x:v>
      </x:c>
      <x:c r="L40" s="22" t="n">
        <x:v>2</x:v>
      </x:c>
      <x:c r="M40" s="22" t="n">
        <x:v>4</x:v>
      </x:c>
      <x:c r="N40" s="22" t="n">
        <x:v>0</x:v>
      </x:c>
      <x:c r="O40" s="22" t="n">
        <x:f>MAX(H40:N40)</x:f>
        <x:v>5</x:v>
      </x:c>
      <x:c r="P40" s="22" t="str">
        <x:f>INDEX($H$4:$N$4,1,MATCH(O40,H40:N40,0))</x:f>
        <x:v>Beobachtung / Suche</x:v>
      </x:c>
      <x:c r="Q40" s="22" t="str">
        <x:v>Die beiden Satyrn öffnen einen kurzen Zuordnungs- oder Begegnungsauftrag.</x:v>
      </x:c>
      <x:c r="R40" s="22" t="str">
        <x:v>Parköffnungszeiten.</x:v>
      </x:c>
    </x:row>
    <x:row r="41" ht="44" customHeight="1">
      <x:c r="A41" s="22" t="str">
        <x:v>H-D2-01</x:v>
      </x:c>
      <x:c r="B41" s="22" t="str">
        <x:v>HIDDEN</x:v>
      </x:c>
      <x:c r="C41" s="22" t="str">
        <x:v>DAY_2</x:v>
      </x:c>
      <x:c r="D41" s="22" t="str">
        <x:v>Wächter der Porta Magica</x:v>
      </x:c>
      <x:c r="E41" s="22" t="str">
        <x:v>Piazza Vittorio Emanuele Secondo</x:v>
      </x:c>
      <x:c r="F41" s="22" t="str">
        <x:v>BEOBACHTUNG_SUCHE</x:v>
      </x:c>
      <x:c r="G41" s="22" t="n">
        <x:v>2</x:v>
      </x:c>
      <x:c r="H41" s="22" t="n">
        <x:v>5</x:v>
      </x:c>
      <x:c r="I41" s="22" t="n">
        <x:v>3</x:v>
      </x:c>
      <x:c r="J41" s="22" t="n">
        <x:v>5</x:v>
      </x:c>
      <x:c r="K41" s="22" t="n">
        <x:v>3</x:v>
      </x:c>
      <x:c r="L41" s="22" t="n">
        <x:v>2</x:v>
      </x:c>
      <x:c r="M41" s="22" t="n">
        <x:v>1</x:v>
      </x:c>
      <x:c r="N41" s="22" t="n">
        <x:v>0</x:v>
      </x:c>
      <x:c r="O41" s="22" t="n">
        <x:f>MAX(H41:N41)</x:f>
        <x:v>5</x:v>
      </x:c>
      <x:c r="P41" s="22" t="str">
        <x:f>INDEX($H$4:$N$4,1,MATCH(O41,H41:N41,0))</x:f>
        <x:v>Beobachtung / Suche</x:v>
      </x:c>
      <x:c r="Q41" s="22" t="str">
        <x:v>Zwei steinerne Wächter führen zu einer kurzen alchemistischen Zuordnung.</x:v>
      </x:c>
      <x:c r="R41" s="22" t="str">
        <x:v>Parkzugang und Sicht der Wächterfiguren.</x:v>
      </x:c>
    </x:row>
    <x:row r="42" ht="44" customHeight="1">
      <x:c r="A42" s="22" t="str">
        <x:v>H-D2-02</x:v>
      </x:c>
      <x:c r="B42" s="22" t="str">
        <x:v>HIDDEN</x:v>
      </x:c>
      <x:c r="C42" s="22" t="str">
        <x:v>DAY_2</x:v>
      </x:c>
      <x:c r="D42" s="22" t="str">
        <x:v>Dantes Windrose</x:v>
      </x:c>
      <x:c r="E42" s="22" t="str">
        <x:v>Piazza Dante</x:v>
      </x:c>
      <x:c r="F42" s="22" t="str">
        <x:v>BEOBACHTUNG_SUCHE</x:v>
      </x:c>
      <x:c r="G42" s="22" t="n">
        <x:v>2</x:v>
      </x:c>
      <x:c r="H42" s="22" t="n">
        <x:v>5</x:v>
      </x:c>
      <x:c r="I42" s="22" t="n">
        <x:v>3</x:v>
      </x:c>
      <x:c r="J42" s="22" t="n">
        <x:v>4</x:v>
      </x:c>
      <x:c r="K42" s="22" t="n">
        <x:v>4</x:v>
      </x:c>
      <x:c r="L42" s="22" t="n">
        <x:v>2</x:v>
      </x:c>
      <x:c r="M42" s="22" t="n">
        <x:v>2</x:v>
      </x:c>
      <x:c r="N42" s="22" t="n">
        <x:v>0</x:v>
      </x:c>
      <x:c r="O42" s="22" t="n">
        <x:f>MAX(H42:N42)</x:f>
        <x:v>5</x:v>
      </x:c>
      <x:c r="P42" s="22" t="str">
        <x:f>INDEX($H$4:$N$4,1,MATCH(O42,H42:N42,0))</x:f>
        <x:v>Beobachtung / Suche</x:v>
      </x:c>
      <x:c r="Q42" s="22" t="str">
        <x:v>Die große Windrose öffnet eine kurze Richtungs- und Textaufgabe.</x:v>
      </x:c>
      <x:c r="R42" s="22" t="str">
        <x:v>Parköffnungszeiten.</x:v>
      </x:c>
    </x:row>
    <x:row r="43" ht="44" customHeight="1">
      <x:c r="A43" s="22" t="str">
        <x:v>B-D1-01</x:v>
      </x:c>
      <x:c r="B43" s="22" t="str">
        <x:v>WORLD_BOSS</x:v>
      </x:c>
      <x:c r="C43" s="22" t="str">
        <x:v>DAY_1</x:v>
      </x:c>
      <x:c r="D43" s="22" t="str">
        <x:v>Il Cannoniere del Gianicolo</x:v>
      </x:c>
      <x:c r="E43" s="22" t="str">
        <x:v>Terrazza del Gianicolo</x:v>
      </x:c>
      <x:c r="F43" s="22" t="str">
        <x:v>KAMPF</x:v>
      </x:c>
      <x:c r="G43" s="22" t="n">
        <x:v>3</x:v>
      </x:c>
      <x:c r="H43" s="22" t="n">
        <x:v>3</x:v>
      </x:c>
      <x:c r="I43" s="22" t="n">
        <x:v>1</x:v>
      </x:c>
      <x:c r="J43" s="22" t="n">
        <x:v>1</x:v>
      </x:c>
      <x:c r="K43" s="22" t="n">
        <x:v>0</x:v>
      </x:c>
      <x:c r="L43" s="22" t="n">
        <x:v>4</x:v>
      </x:c>
      <x:c r="M43" s="22" t="n">
        <x:v>5</x:v>
      </x:c>
      <x:c r="N43" s="22" t="n">
        <x:v>1</x:v>
      </x:c>
      <x:c r="O43" s="22" t="n">
        <x:f>MAX(H43:N43)</x:f>
        <x:v>5</x:v>
      </x:c>
      <x:c r="P43" s="22" t="str">
        <x:f>INDEX($H$4:$N$4,1,MATCH(O43,H43:N43,0))</x:f>
        <x:v>Kampf</x:v>
      </x:c>
      <x:c r="Q43" s="22" t="str">
        <x:v>Tag-1-Finale auf der öffentlichen Terrasse des Gianicolo.</x:v>
      </x:c>
      <x:c r="R43" s="22" t="str">
        <x:v>Menschenmenge und sichere Aufstellfläche aktuell prüfen.</x:v>
      </x:c>
    </x:row>
    <x:row r="44" ht="44" customHeight="1">
      <x:c r="A44" s="23" t="str">
        <x:v>B-D2-01</x:v>
      </x:c>
      <x:c r="B44" s="23" t="str">
        <x:v>WORLD_BOSS</x:v>
      </x:c>
      <x:c r="C44" s="23" t="str">
        <x:v>DAY_2</x:v>
      </x:c>
      <x:c r="D44" s="23" t="str">
        <x:v>Custode della Neve</x:v>
      </x:c>
      <x:c r="E44" s="23" t="str">
        <x:v>Basilika Groß Sankt Marien</x:v>
      </x:c>
      <x:c r="F44" s="23" t="str">
        <x:v>KAMPF</x:v>
      </x:c>
      <x:c r="G44" s="23" t="n">
        <x:v>3</x:v>
      </x:c>
      <x:c r="H44" s="23" t="n">
        <x:v>3</x:v>
      </x:c>
      <x:c r="I44" s="23" t="n">
        <x:v>1</x:v>
      </x:c>
      <x:c r="J44" s="23" t="n">
        <x:v>1</x:v>
      </x:c>
      <x:c r="K44" s="23" t="n">
        <x:v>0</x:v>
      </x:c>
      <x:c r="L44" s="23" t="n">
        <x:v>4</x:v>
      </x:c>
      <x:c r="M44" s="23" t="n">
        <x:v>5</x:v>
      </x:c>
      <x:c r="N44" s="23" t="n">
        <x:v>1</x:v>
      </x:c>
      <x:c r="O44" s="23" t="n">
        <x:f>MAX(H44:N44)</x:f>
        <x:v>5</x:v>
      </x:c>
      <x:c r="P44" s="23" t="str">
        <x:f>INDEX($H$4:$N$4,1,MATCH(O44,H44:N44,0))</x:f>
        <x:v>Kampf</x:v>
      </x:c>
      <x:c r="Q44" s="23" t="str">
        <x:v>Tag-2-Finale vor Santa Maria Maggiore; Schneemotiv ausdrücklich als Legende erzählen.</x:v>
      </x:c>
      <x:c r="R44" s="23" t="str">
        <x:v>Sehr hohe Besucherzahl; sichere Bossfläche muss remote aktuell geprüft werden.</x:v>
      </x:c>
    </x:row>
  </x:sheetData>
  <x:mergeCells>
    <x:mergeCell ref="A1:R1"/>
    <x:mergeCell ref="A2:R2"/>
  </x:mergeCells>
  <x:conditionalFormatting sqref="G5:N44">
    <x:cfRule type="colorScale" priority="1">
      <x:colorScale>
        <x:cfvo type="min"/>
        <x:cfvo type="percentile" val="50"/>
        <x:cfvo type="max"/>
        <x:color rgb="FFF4CCCC"/>
        <x:color rgb="FFFFF0BD"/>
        <x:color rgb="FFD8F0DC"/>
      </x:colorScale>
    </x:cfRule>
  </x:conditionalFormatting>
  <x:pageMargins left="0.7" right="0.7" top="0.75" bottom="0.75" header="0.3" footer="0.3"/>
  <x:tableParts count="1">
    <x:tablePart xmlns:r="http://schemas.openxmlformats.org/officeDocument/2006/relationships" r:id="R814a70650f084d6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4" hidden="0" customWidth="1"/>
    <x:col min="3" max="3" width="11" hidden="0" customWidth="1"/>
    <x:col min="4" max="4" width="9" hidden="0" customWidth="1"/>
    <x:col min="5" max="5" width="33" hidden="0" customWidth="1"/>
    <x:col min="6" max="6" width="28" hidden="0" customWidth="1"/>
    <x:col min="7" max="7" width="22" hidden="0" customWidth="1"/>
    <x:col min="8" max="8" width="30" hidden="0" customWidth="1"/>
    <x:col min="9" max="9" width="12" hidden="0" customWidth="1"/>
    <x:col min="10" max="10" width="12" hidden="0" customWidth="1"/>
    <x:col min="11" max="11" width="10" hidden="0" customWidth="1"/>
    <x:col min="12" max="12" width="26" hidden="0" customWidth="1"/>
    <x:col min="13" max="13" width="48" hidden="0" customWidth="1"/>
    <x:col min="14" max="14" width="55" hidden="0" customWidth="1"/>
    <x:col min="15" max="15" width="22" hidden="0" customWidth="1"/>
    <x:col min="16" max="16" width="45" hidden="0" customWidth="1"/>
    <x:col min="17" max="17" width="42" hidden="0" customWidth="1"/>
    <x:col min="18" max="18" width="18" hidden="0" customWidth="1"/>
    <x:col min="19" max="19" width="20" hidden="0" customWidth="1"/>
    <x:col min="20" max="20" width="55" hidden="0" customWidth="1"/>
    <x:col min="21" max="21" width="28" hidden="0" customWidth="1"/>
  </x:cols>
  <x:sheetData>
    <x:row r="1" ht="30" customHeight="1">
      <x:c r="A1" s="48" t="str">
        <x:v>Via Romae – Ortszuordnung</x:v>
      </x:c>
      <x:c r="B1" s="48"/>
      <x:c r="C1" s="48"/>
      <x:c r="D1" s="48"/>
      <x:c r="E1" s="48"/>
      <x:c r="F1" s="48"/>
      <x:c r="G1" s="48"/>
      <x:c r="H1" s="48"/>
      <x:c r="I1" s="48"/>
      <x:c r="J1" s="48"/>
      <x:c r="K1" s="48"/>
      <x:c r="L1" s="48"/>
      <x:c r="M1" s="48"/>
      <x:c r="N1" s="48"/>
      <x:c r="O1" s="48"/>
      <x:c r="P1" s="48"/>
      <x:c r="Q1" s="48"/>
      <x:c r="R1" s="48"/>
      <x:c r="S1" s="48"/>
      <x:c r="T1" s="48"/>
      <x:c r="U1" s="48"/>
    </x:row>
    <x:row r="2" ht="32" customHeight="1">
      <x:c r="A2" s="49" t="str">
        <x:v>Jede Station mit Reihenfolge, Koordinate, Ortsfrage, Quelle und nachvollziehbarer Distanzschätzung.</x:v>
      </x:c>
      <x:c r="B2" s="49"/>
      <x:c r="C2" s="49"/>
      <x:c r="D2" s="49"/>
      <x:c r="E2" s="49"/>
      <x:c r="F2" s="49"/>
      <x:c r="G2" s="49"/>
      <x:c r="H2" s="49"/>
      <x:c r="I2" s="49"/>
      <x:c r="J2" s="49"/>
      <x:c r="K2" s="49"/>
      <x:c r="L2" s="49"/>
      <x:c r="M2" s="49"/>
      <x:c r="N2" s="49"/>
      <x:c r="O2" s="49"/>
      <x:c r="P2" s="49"/>
      <x:c r="Q2" s="49"/>
      <x:c r="R2" s="49"/>
      <x:c r="S2" s="49"/>
      <x:c r="T2" s="49"/>
      <x:c r="U2" s="49"/>
    </x:row>
    <x:row r="3">
      <x:c r="A3" s="50"/>
      <x:c r="B3" s="50"/>
      <x:c r="C3" s="50"/>
      <x:c r="D3" s="50"/>
      <x:c r="E3" s="50"/>
      <x:c r="F3" s="50"/>
      <x:c r="G3" s="50"/>
      <x:c r="H3" s="50"/>
      <x:c r="I3" s="50"/>
      <x:c r="J3" s="50"/>
      <x:c r="K3" s="50"/>
      <x:c r="L3" s="50"/>
      <x:c r="M3" s="50"/>
      <x:c r="N3" s="50"/>
      <x:c r="O3" s="50"/>
      <x:c r="P3" s="50"/>
      <x:c r="Q3" s="50"/>
      <x:c r="R3" s="50"/>
      <x:c r="S3" s="50"/>
      <x:c r="T3" s="50"/>
      <x:c r="U3" s="50"/>
    </x:row>
    <x:row r="4">
      <x:c r="A4" s="51" t="str">
        <x:v>Quest-ID</x:v>
      </x:c>
      <x:c r="B4" s="51" t="str">
        <x:v>Questtyp</x:v>
      </x:c>
      <x:c r="C4" s="51" t="str">
        <x:v>Tag</x:v>
      </x:c>
      <x:c r="D4" s="51" t="str">
        <x:v>Sequenz</x:v>
      </x:c>
      <x:c r="E4" s="51" t="str">
        <x:v>Kandidaten-ID</x:v>
      </x:c>
      <x:c r="F4" s="51" t="str">
        <x:v>Ort</x:v>
      </x:c>
      <x:c r="G4" s="51" t="str">
        <x:v>Rolle in der Quest</x:v>
      </x:c>
      <x:c r="H4" s="51" t="str">
        <x:v>Cluster</x:v>
      </x:c>
      <x:c r="I4" s="51" t="str">
        <x:v>Breite</x:v>
      </x:c>
      <x:c r="J4" s="51" t="str">
        <x:v>Länge</x:v>
      </x:c>
      <x:c r="K4" s="51" t="str">
        <x:v>Ampel</x:v>
      </x:c>
      <x:c r="L4" s="51" t="str">
        <x:v>Research-Status</x:v>
      </x:c>
      <x:c r="M4" s="51" t="str">
        <x:v>Sichtbarer Hinweis</x:v>
      </x:c>
      <x:c r="N4" s="51" t="str">
        <x:v>Ortsfrage</x:v>
      </x:c>
      <x:c r="O4" s="51" t="str">
        <x:v>Sollantwort</x:v>
      </x:c>
      <x:c r="P4" s="51" t="str">
        <x:v>Primärquelle</x:v>
      </x:c>
      <x:c r="Q4" s="51" t="str">
        <x:v>Google Maps</x:v>
      </x:c>
      <x:c r="R4" s="51" t="str">
        <x:v>Segment Luftlinie (m)</x:v>
      </x:c>
      <x:c r="S4" s="51" t="str">
        <x:v>Gehstrecke geschätzt (m)</x:v>
      </x:c>
      <x:c r="T4" s="51" t="str">
        <x:v>Zugangs-/Fallbacknotiz</x:v>
      </x:c>
      <x:c r="U4" s="51" t="str">
        <x:v>Gegnerbezug</x:v>
      </x:c>
    </x:row>
    <x:row r="5" ht="58" customHeight="1">
      <x:c r="A5" s="21" t="str">
        <x:v>D1-Q01</x:v>
      </x:c>
      <x:c r="B5" s="21" t="str">
        <x:v>REGULAER</x:v>
      </x:c>
      <x:c r="C5" s="21" t="str">
        <x:v>DAY_1</x:v>
      </x:c>
      <x:c r="D5" s="21" t="n">
        <x:v>1</x:v>
      </x:c>
      <x:c r="E5" s="21" t="str">
        <x:v>place_day_1_piazza_san_pietro</x:v>
      </x:c>
      <x:c r="F5" s="21" t="str">
        <x:v>Petersplatz</x:v>
      </x:c>
      <x:c r="G5" s="21" t="str">
        <x:v>START / ERSTER HINWEIS</x:v>
      </x:c>
      <x:c r="H5" s="21" t="str">
        <x:v>D1_VATICANO_PRATI_BORGO</x:v>
      </x:c>
      <x:c r="I5" s="24" t="n">
        <x:v>41.9022286</x:v>
      </x:c>
      <x:c r="J5" s="24" t="n">
        <x:v>12.4573576</x:v>
      </x:c>
      <x:c r="K5" s="21" t="str">
        <x:v>GELB</x:v>
      </x:c>
      <x:c r="L5" s="21" t="str">
        <x:v>GELB_MENSCHENMENGE</x:v>
      </x:c>
      <x:c r="M5" s="21" t="str">
        <x:v>Runde Marmor-Brennpunktmarkierung im Pflaster zwischen Obelisk und Kolonnade; danach Blick auf die großen Säulen.</x:v>
      </x:c>
      <x:c r="N5" s="21" t="str">
        <x:v>Stellt euch auf eine der runden Marmorplatten auf der Querachse des Obelisken und blickt zur Kolonnade. Wie viele Säulenreihen scheinen übrig zu bleiben?</x:v>
      </x:c>
      <x:c r="O5" s="21" t="str">
        <x:v>Eine</x:v>
      </x:c>
      <x:c r="P5" s="21" t="str">
        <x:v>https://www.turismoroma.it/it/luoghi/piazza-san-pietro</x:v>
      </x:c>
      <x:c r="Q5" s="21" t="str">
        <x:v>https://www.google.com/maps/search/?api=1&amp;query=41.9022286,12.4573576</x:v>
      </x:c>
      <x:c r="R5" s="27" t="n">
        <x:f>IF(A5=A4,ROUND(SQRT(POWER((I5-I4)*111000,2)+POWER((J5-J4)*111000*COS(RADIANS((I5+I4)/2)),2)),0),0)</x:f>
        <x:v>0</x:v>
      </x:c>
      <x:c r="S5" s="27" t="n">
        <x:f>ROUND(R5*'Kriterien'!$B$6,0)</x:f>
        <x:v>0</x:v>
      </x:c>
      <x:c r="T5" s="21" t="str">
        <x:v>V03-Punkt; Die Bodenmarkierung muss vor Veröffentlichung auf einem aktuellen Bild eindeutig lokalisiert werden.</x:v>
      </x:c>
      <x:c r="U5" s="21" t="str">
        <x:v>Schatten des Passetto</x:v>
      </x:c>
    </x:row>
    <x:row r="6" ht="58" customHeight="1">
      <x:c r="A6" s="22" t="str">
        <x:v>D1-Q01</x:v>
      </x:c>
      <x:c r="B6" s="22" t="str">
        <x:v>REGULAER</x:v>
      </x:c>
      <x:c r="C6" s="22" t="str">
        <x:v>DAY_1</x:v>
      </x:c>
      <x:c r="D6" s="22" t="n">
        <x:v>2</x:v>
      </x:c>
      <x:c r="E6" s="22" t="str">
        <x:v>place_day_1_passetto_di_borgo</x:v>
      </x:c>
      <x:c r="F6" s="22" t="str">
        <x:v>Passetto di Borgo</x:v>
      </x:c>
      <x:c r="G6" s="22" t="str">
        <x:v>ZWISCHENSTATION</x:v>
      </x:c>
      <x:c r="H6" s="22" t="str">
        <x:v>D1_VATICANO_PRATI_BORGO</x:v>
      </x:c>
      <x:c r="I6" s="25" t="n">
        <x:v>41.9032733</x:v>
      </x:c>
      <x:c r="J6" s="25" t="n">
        <x:v>12.4610723</x:v>
      </x:c>
      <x:c r="K6" s="22" t="str">
        <x:v>GRUEN</x:v>
      </x:c>
      <x:c r="L6" s="22" t="str">
        <x:v>GRUEN_MIT_BLICKPUNKT</x:v>
      </x:c>
      <x:c r="M6" s="22" t="str">
        <x:v>Langer, geschlossener Maueraufbau mit kleinen Öffnungen; vom öffentlichen Straßenraum sichtbar.</x:v>
      </x:c>
      <x:c r="N6" s="22" t="str">
        <x:v>Wo verläuft der befestigte Verbindungsgang des Passetto?</x:v>
      </x:c>
      <x:c r="O6" s="22" t="str">
        <x:v>Auf der Mauer</x:v>
      </x:c>
      <x:c r="P6" s="22" t="str">
        <x:v>https://www.turismoroma.it/en/places/passetto-di-borgo</x:v>
      </x:c>
      <x:c r="Q6" s="22" t="str">
        <x:v>https://www.google.com/maps/search/?api=1&amp;query=41.9032733,12.4610723</x:v>
      </x:c>
      <x:c r="R6" s="28" t="n">
        <x:f>IF(A6=A5,ROUND(SQRT(POWER((I6-I5)*111000,2)+POWER((J6-J5)*111000*COS(RADIANS((I6+I5)/2)),2)),0),0)</x:f>
        <x:v>328</x:v>
      </x:c>
      <x:c r="S6" s="28" t="n">
        <x:f>ROUND(R6*'Kriterien'!$B$6,0)</x:f>
        <x:v>410</x:v>
      </x:c>
      <x:c r="T6" s="22" t="str">
        <x:v>V03-Punkt; Exakten Gehsteig-Blickpunkt im Dossier verwenden; der begehbare Passetto selbst ist nicht erforderlich.</x:v>
      </x:c>
      <x:c r="U6" s="22" t="str">
        <x:v>Schatten des Passetto</x:v>
      </x:c>
    </x:row>
    <x:row r="7" ht="58" customHeight="1">
      <x:c r="A7" s="22" t="str">
        <x:v>D1-Q01</x:v>
      </x:c>
      <x:c r="B7" s="22" t="str">
        <x:v>REGULAER</x:v>
      </x:c>
      <x:c r="C7" s="22" t="str">
        <x:v>DAY_1</x:v>
      </x:c>
      <x:c r="D7" s="22" t="n">
        <x:v>3</x:v>
      </x:c>
      <x:c r="E7" s="22" t="str">
        <x:v>place_day_1_castel_sant_angelo</x:v>
      </x:c>
      <x:c r="F7" s="22" t="str">
        <x:v>Engelsburg</x:v>
      </x:c>
      <x:c r="G7" s="22" t="str">
        <x:v>ABSCHLUSS</x:v>
      </x:c>
      <x:c r="H7" s="22" t="str">
        <x:v>D1_VATICANO_PRATI_BORGO</x:v>
      </x:c>
      <x:c r="I7" s="25" t="n">
        <x:v>41.90262</x:v>
      </x:c>
      <x:c r="J7" s="25" t="n">
        <x:v>12.46686</x:v>
      </x:c>
      <x:c r="K7" s="22" t="str">
        <x:v>GRUEN</x:v>
      </x:c>
      <x:c r="L7" s="22" t="str">
        <x:v>GRUEN_AUSSENPUNKT</x:v>
      </x:c>
      <x:c r="M7" s="22" t="str">
        <x:v>Große geflügelte Bronzefigur auf dem höchsten Punkt, vom öffentlichen Vorplatz sichtbar.</x:v>
      </x:c>
      <x:c r="N7" s="22" t="str">
        <x:v>Welche geflügelte Figur bekrönt die Engelsburg?</x:v>
      </x:c>
      <x:c r="O7" s="22" t="str">
        <x:v>Der Erzengel Michael</x:v>
      </x:c>
      <x:c r="P7" s="22" t="str">
        <x:v>https://www.turismoroma.it/en/places/santangelo-castle</x:v>
      </x:c>
      <x:c r="Q7" s="22" t="str">
        <x:v>https://www.google.com/maps/search/?api=1&amp;query=41.90262,12.46686</x:v>
      </x:c>
      <x:c r="R7" s="28" t="n">
        <x:f>IF(A7=A6,ROUND(SQRT(POWER((I7-I6)*111000,2)+POWER((J7-J6)*111000*COS(RADIANS((I7+I6)/2)),2)),0),0)</x:f>
        <x:v>484</x:v>
      </x:c>
      <x:c r="S7" s="28" t="n">
        <x:f>ROUND(R7*'Kriterien'!$B$6,0)</x:f>
        <x:v>605</x:v>
      </x:c>
      <x:c r="T7" s="22" t="str">
        <x:v>Moved from the monument centroid to the public exterior forecourt at the bridge/castle approach. No ticket or castle entry may be required.; Nur der öffentliche Vorplatz darf als Trigger dienen; kein Eintritt in die Burg.</x:v>
      </x:c>
      <x:c r="U7" s="22" t="str">
        <x:v>Schatten des Passetto</x:v>
      </x:c>
    </x:row>
    <x:row r="8" ht="58" customHeight="1">
      <x:c r="A8" s="22" t="str">
        <x:v>D1-Q02</x:v>
      </x:c>
      <x:c r="B8" s="22" t="str">
        <x:v>REGULAER</x:v>
      </x:c>
      <x:c r="C8" s="22" t="str">
        <x:v>DAY_1</x:v>
      </x:c>
      <x:c r="D8" s="22" t="n">
        <x:v>1</x:v>
      </x:c>
      <x:c r="E8" s="22" t="str">
        <x:v>place_day_1_porta_san_pellegrino</x:v>
      </x:c>
      <x:c r="F8" s="22" t="str">
        <x:v>St.-Pellegrino-Tor</x:v>
      </x:c>
      <x:c r="G8" s="22" t="str">
        <x:v>START / ERSTER HINWEIS</x:v>
      </x:c>
      <x:c r="H8" s="22" t="str">
        <x:v>D1_VATICANO_PRATI_BORGO</x:v>
      </x:c>
      <x:c r="I8" s="25" t="n">
        <x:v>41.903386</x:v>
      </x:c>
      <x:c r="J8" s="25" t="n">
        <x:v>12.4571483</x:v>
      </x:c>
      <x:c r="K8" s="22" t="str">
        <x:v>GELB</x:v>
      </x:c>
      <x:c r="L8" s="22" t="str">
        <x:v>GELB_DETAIL_HOCH</x:v>
      </x:c>
      <x:c r="M8" s="22" t="str">
        <x:v>Großer Torbogen und hoch angebrachtes päpstliches Wappen mit Stiermotiv.</x:v>
      </x:c>
      <x:c r="N8" s="22" t="str">
        <x:v>Welches Tier erkennt ihr im Wappen über dem Torbogen?</x:v>
      </x:c>
      <x:c r="O8" s="22" t="str">
        <x:v>Einen Stier</x:v>
      </x:c>
      <x:c r="P8" s="22" t="str">
        <x:v>https://it.wikipedia.org/wiki/Porta_San_Pellegrino</x:v>
      </x:c>
      <x:c r="Q8" s="22" t="str">
        <x:v>https://www.google.com/maps/search/?api=1&amp;query=41.903386,12.4571483</x:v>
      </x:c>
      <x:c r="R8" s="28" t="n">
        <x:f>IF(A8=A7,ROUND(SQRT(POWER((I8-I7)*111000,2)+POWER((J8-J7)*111000*COS(RADIANS((I8+I7)/2)),2)),0),0)</x:f>
        <x:v>0</x:v>
      </x:c>
      <x:c r="S8" s="28" t="n">
        <x:f>ROUND(R8*'Kriterien'!$B$6,0)</x:f>
        <x:v>0</x:v>
      </x:c>
      <x:c r="T8" s="22" t="str">
        <x:v>V03-Punkt; Der Stier ist relativ hoch angebracht; Antwortgröße auf aktuellen Bildern prüfen.</x:v>
      </x:c>
      <x:c r="U8" s="22" t="str">
        <x:v>Cavalleggero Pontificio</x:v>
      </x:c>
    </x:row>
    <x:row r="9" ht="58" customHeight="1">
      <x:c r="A9" s="22" t="str">
        <x:v>D1-Q02</x:v>
      </x:c>
      <x:c r="B9" s="22" t="str">
        <x:v>REGULAER</x:v>
      </x:c>
      <x:c r="C9" s="22" t="str">
        <x:v>DAY_1</x:v>
      </x:c>
      <x:c r="D9" s="22" t="n">
        <x:v>2</x:v>
      </x:c>
      <x:c r="E9" s="22" t="str">
        <x:v>place_day_1_porta_cavalleggeri</x:v>
      </x:c>
      <x:c r="F9" s="22" t="str">
        <x:v>Porta Cavalleggeri</x:v>
      </x:c>
      <x:c r="G9" s="22" t="str">
        <x:v>ZWISCHENSTATION</x:v>
      </x:c>
      <x:c r="H9" s="22" t="str">
        <x:v>D1_VATICANO_PRATI_BORGO</x:v>
      </x:c>
      <x:c r="I9" s="25" t="n">
        <x:v>41.9003883</x:v>
      </x:c>
      <x:c r="J9" s="25" t="n">
        <x:v>12.4563148</x:v>
      </x:c>
      <x:c r="K9" s="22" t="str">
        <x:v>GELB</x:v>
      </x:c>
      <x:c r="L9" s="22" t="str">
        <x:v>GELB_KLEINER_MAUERREST</x:v>
      </x:c>
      <x:c r="M9" s="22" t="str">
        <x:v>Ein einzelner erhaltener Mauerbogen mit päpstlichen Zeichen nahe dem Vatikan.</x:v>
      </x:c>
      <x:c r="N9" s="22" t="str">
        <x:v>Wie viele historische Hauptbögen sind als Torrest sichtbar?</x:v>
      </x:c>
      <x:c r="O9" s="22" t="str">
        <x:v>Einer</x:v>
      </x:c>
      <x:c r="P9" s="22" t="str">
        <x:v>https://www.openstreetmap.org/node/6205478926</x:v>
      </x:c>
      <x:c r="Q9" s="22" t="str">
        <x:v>https://www.google.com/maps/search/?api=1&amp;query=41.9003883,12.4563148</x:v>
      </x:c>
      <x:c r="R9" s="28" t="n">
        <x:f>IF(A9=A8,ROUND(SQRT(POWER((I9-I8)*111000,2)+POWER((J9-J8)*111000*COS(RADIANS((I9+I8)/2)),2)),0),0)</x:f>
        <x:v>340</x:v>
      </x:c>
      <x:c r="S9" s="28" t="n">
        <x:f>ROUND(R9*'Kriterien'!$B$6,0)</x:f>
        <x:v>425</x:v>
      </x:c>
      <x:c r="T9" s="22" t="str">
        <x:v>V03-Punkt; Als Ersatz für einen zu vollen Petersplatz geeignet; Sichtbarkeit zwischen Verkehr und parkenden Fahrzeugen prüfen.</x:v>
      </x:c>
      <x:c r="U9" s="22" t="str">
        <x:v>Cavalleggero Pontificio</x:v>
      </x:c>
    </x:row>
    <x:row r="10" ht="58" customHeight="1">
      <x:c r="A10" s="22" t="str">
        <x:v>D1-Q02</x:v>
      </x:c>
      <x:c r="B10" s="22" t="str">
        <x:v>REGULAER</x:v>
      </x:c>
      <x:c r="C10" s="22" t="str">
        <x:v>DAY_1</x:v>
      </x:c>
      <x:c r="D10" s="22" t="n">
        <x:v>3</x:v>
      </x:c>
      <x:c r="E10" s="22" t="str">
        <x:v>place_day_1_porta_santo_spirito</x:v>
      </x:c>
      <x:c r="F10" s="22" t="str">
        <x:v>Porta Santo Spirito</x:v>
      </x:c>
      <x:c r="G10" s="22" t="str">
        <x:v>ABSCHLUSS</x:v>
      </x:c>
      <x:c r="H10" s="22" t="str">
        <x:v>D1_VATICANO_PRATI_BORGO</x:v>
      </x:c>
      <x:c r="I10" s="25" t="n">
        <x:v>41.9003045</x:v>
      </x:c>
      <x:c r="J10" s="25" t="n">
        <x:v>12.4615874</x:v>
      </x:c>
      <x:c r="K10" s="22" t="str">
        <x:v>GRUEN</x:v>
      </x:c>
      <x:c r="L10" s="22" t="str">
        <x:v>GRUEN_MIT_BLICKPUNKT</x:v>
      </x:c>
      <x:c r="M10" s="22" t="str">
        <x:v>Großer Mittelbogen, paarweise Säulen und deutlich erkennbare leere Nischen.</x:v>
      </x:c>
      <x:c r="N10" s="22" t="str">
        <x:v>Welche Kombination flankiert den großen mittleren Bogen?</x:v>
      </x:c>
      <x:c r="O10" s="22" t="str">
        <x:v>Dorische Säulen und leere Nischen</x:v>
      </x:c>
      <x:c r="P10" s="22" t="str">
        <x:v>https://www.turismoroma.it/it/luoghi/porta-santo-spirito</x:v>
      </x:c>
      <x:c r="Q10" s="22" t="str">
        <x:v>https://www.google.com/maps/search/?api=1&amp;query=41.9003045,12.4615874</x:v>
      </x:c>
      <x:c r="R10" s="28" t="n">
        <x:f>IF(A10=A9,ROUND(SQRT(POWER((I10-I9)*111000,2)+POWER((J10-J9)*111000*COS(RADIANS((I10+I9)/2)),2)),0),0)</x:f>
        <x:v>436</x:v>
      </x:c>
      <x:c r="S10" s="28" t="n">
        <x:f>ROUND(R10*'Kriterien'!$B$6,0)</x:f>
        <x:v>545</x:v>
      </x:c>
      <x:c r="T10" s="22" t="str">
        <x:v>V03-Punkt; VISUAL_EVIDENCE_NOT_YET_VERIFIED</x:v>
      </x:c>
      <x:c r="U10" s="22" t="str">
        <x:v>Cavalleggero Pontificio</x:v>
      </x:c>
    </x:row>
    <x:row r="11" ht="58" customHeight="1">
      <x:c r="A11" s="22" t="str">
        <x:v>D1-Q03</x:v>
      </x:c>
      <x:c r="B11" s="22" t="str">
        <x:v>REGULAER</x:v>
      </x:c>
      <x:c r="C11" s="22" t="str">
        <x:v>DAY_1</x:v>
      </x:c>
      <x:c r="D11" s="22" t="n">
        <x:v>1</x:v>
      </x:c>
      <x:c r="E11" s="22" t="str">
        <x:v>place_day_1_piazza_del_popolo</x:v>
      </x:c>
      <x:c r="F11" s="22" t="str">
        <x:v>Piazza del Popolo</x:v>
      </x:c>
      <x:c r="G11" s="22" t="str">
        <x:v>START / ERSTER HINWEIS</x:v>
      </x:c>
      <x:c r="H11" s="22" t="str">
        <x:v>D1_POPOLO_PINCIO_SPAGNA</x:v>
      </x:c>
      <x:c r="I11" s="25" t="n">
        <x:v>41.9107491</x:v>
      </x:c>
      <x:c r="J11" s="25" t="n">
        <x:v>12.4763454</x:v>
      </x:c>
      <x:c r="K11" s="22" t="str">
        <x:v>GRUEN</x:v>
      </x:c>
      <x:c r="L11" s="22" t="str">
        <x:v>GRUEN_KONZEPTREIF</x:v>
      </x:c>
      <x:c r="M11" s="22" t="str">
        <x:v>Zwei große Kuppelkirchen am südlichen Platzende und drei radial ausgehende Straßen.</x:v>
      </x:c>
      <x:c r="N11" s="22" t="str">
        <x:v>Wie viele nahezu spiegelbildliche Kuppelkirchen flankieren den Beginn der Via del Corso?</x:v>
      </x:c>
      <x:c r="O11" s="22" t="str">
        <x:v>Zwei</x:v>
      </x:c>
      <x:c r="P11" s="22" t="str">
        <x:v>https://en.wikipedia.org/wiki/Piazza_del_Popolo</x:v>
      </x:c>
      <x:c r="Q11" s="22" t="str">
        <x:v>https://www.google.com/maps/search/?api=1&amp;query=41.9107491,12.4763454</x:v>
      </x:c>
      <x:c r="R11" s="28" t="n">
        <x:f>IF(A11=A10,ROUND(SQRT(POWER((I11-I10)*111000,2)+POWER((J11-J10)*111000*COS(RADIANS((I11+I10)/2)),2)),0),0)</x:f>
        <x:v>0</x:v>
      </x:c>
      <x:c r="S11" s="28" t="n">
        <x:f>ROUND(R11*'Kriterien'!$B$6,0)</x:f>
        <x:v>0</x:v>
      </x:c>
      <x:c r="T11" s="22" t="str">
        <x:v>V03-Punkt; VISUAL_EVIDENCE_NOT_YET_VERIFIED|CROWDING_RISK</x:v>
      </x:c>
      <x:c r="U11" s="22" t="str"/>
    </x:row>
    <x:row r="12" ht="58" customHeight="1">
      <x:c r="A12" s="22" t="str">
        <x:v>D1-Q03</x:v>
      </x:c>
      <x:c r="B12" s="22" t="str">
        <x:v>REGULAER</x:v>
      </x:c>
      <x:c r="C12" s="22" t="str">
        <x:v>DAY_1</x:v>
      </x:c>
      <x:c r="D12" s="22" t="n">
        <x:v>2</x:v>
      </x:c>
      <x:c r="E12" s="22" t="str">
        <x:v>place_day_1_obelisco_flaminio</x:v>
      </x:c>
      <x:c r="F12" s="22" t="str">
        <x:v>Obelisco Flaminio</x:v>
      </x:c>
      <x:c r="G12" s="22" t="str">
        <x:v>ZWISCHENSTATION</x:v>
      </x:c>
      <x:c r="H12" s="22" t="str">
        <x:v>D1_POPOLO_PINCIO_SPAGNA</x:v>
      </x:c>
      <x:c r="I12" s="25" t="n">
        <x:v>41.9107077</x:v>
      </x:c>
      <x:c r="J12" s="25" t="n">
        <x:v>12.4763431</x:v>
      </x:c>
      <x:c r="K12" s="22" t="str">
        <x:v>GRUEN</x:v>
      </x:c>
      <x:c r="L12" s="22" t="str">
        <x:v>GRUEN_KONZEPTREIF</x:v>
      </x:c>
      <x:c r="M12" s="22" t="str">
        <x:v>Vier monumentale Löwenbrunnen unmittelbar um den Sockel.</x:v>
      </x:c>
      <x:c r="N12" s="22" t="str">
        <x:v>Wie viele Löwenbrunnen stehen rund um den Sockel des Obelisken?</x:v>
      </x:c>
      <x:c r="O12" s="22" t="str">
        <x:v>Vier</x:v>
      </x:c>
      <x:c r="P12" s="22" t="str">
        <x:v>https://en.wikipedia.org/wiki/Flaminio_Obelisk</x:v>
      </x:c>
      <x:c r="Q12" s="22" t="str">
        <x:v>https://www.google.com/maps/search/?api=1&amp;query=41.9107077,12.4763431</x:v>
      </x:c>
      <x:c r="R12" s="28" t="n">
        <x:f>IF(A12=A11,ROUND(SQRT(POWER((I12-I11)*111000,2)+POWER((J12-J11)*111000*COS(RADIANS((I12+I11)/2)),2)),0),0)</x:f>
        <x:v>5</x:v>
      </x:c>
      <x:c r="S12" s="28" t="n">
        <x:f>ROUND(R12*'Kriterien'!$B$6,0)</x:f>
        <x:v>6</x:v>
      </x:c>
      <x:c r="T12" s="22" t="str">
        <x:v>V03-Punkt; VISUAL_EVIDENCE_NOT_YET_VERIFIED|CROWDING_RISK</x:v>
      </x:c>
      <x:c r="U12" s="22" t="str"/>
    </x:row>
    <x:row r="13" ht="58" customHeight="1">
      <x:c r="A13" s="22" t="str">
        <x:v>D1-Q03</x:v>
      </x:c>
      <x:c r="B13" s="22" t="str">
        <x:v>REGULAER</x:v>
      </x:c>
      <x:c r="C13" s="22" t="str">
        <x:v>DAY_1</x:v>
      </x:c>
      <x:c r="D13" s="22" t="n">
        <x:v>3</x:v>
      </x:c>
      <x:c r="E13" s="22" t="str">
        <x:v>place_day_1_porta_del_popolo</x:v>
      </x:c>
      <x:c r="F13" s="22" t="str">
        <x:v>Porta del Popolo</x:v>
      </x:c>
      <x:c r="G13" s="22" t="str">
        <x:v>ABSCHLUSS</x:v>
      </x:c>
      <x:c r="H13" s="22" t="str">
        <x:v>D1_POPOLO_PINCIO_SPAGNA</x:v>
      </x:c>
      <x:c r="I13" s="25" t="n">
        <x:v>41.9115252</x:v>
      </x:c>
      <x:c r="J13" s="25" t="n">
        <x:v>12.4759941</x:v>
      </x:c>
      <x:c r="K13" s="22" t="str">
        <x:v>GRUEN</x:v>
      </x:c>
      <x:c r="L13" s="22" t="str">
        <x:v>GRUEN_KONZEPTREIF</x:v>
      </x:c>
      <x:c r="M13" s="22" t="str">
        <x:v>Drei große heutige Öffnungen, davon ein höherer Mittelbogen.</x:v>
      </x:c>
      <x:c r="N13" s="22" t="str">
        <x:v>Wie viele große Durchgänge besitzt die Porta del Popolo heute?</x:v>
      </x:c>
      <x:c r="O13" s="22" t="str">
        <x:v>Drei</x:v>
      </x:c>
      <x:c r="P13" s="22" t="str">
        <x:v>https://en.wikipedia.org/wiki/Porta_del_Popolo</x:v>
      </x:c>
      <x:c r="Q13" s="22" t="str">
        <x:v>https://www.google.com/maps/search/?api=1&amp;query=41.9115252,12.4759941</x:v>
      </x:c>
      <x:c r="R13" s="28" t="n">
        <x:f>IF(A13=A12,ROUND(SQRT(POWER((I13-I12)*111000,2)+POWER((J13-J12)*111000*COS(RADIANS((I13+I12)/2)),2)),0),0)</x:f>
        <x:v>95</x:v>
      </x:c>
      <x:c r="S13" s="28" t="n">
        <x:f>ROUND(R13*'Kriterien'!$B$6,0)</x:f>
        <x:v>119</x:v>
      </x:c>
      <x:c r="T13" s="22" t="str">
        <x:v>V03-Punkt; VISUAL_EVIDENCE_NOT_YET_VERIFIED</x:v>
      </x:c>
      <x:c r="U13" s="22" t="str"/>
    </x:row>
    <x:row r="14" ht="58" customHeight="1">
      <x:c r="A14" s="22" t="str">
        <x:v>D1-Q04</x:v>
      </x:c>
      <x:c r="B14" s="22" t="str">
        <x:v>REGULAER</x:v>
      </x:c>
      <x:c r="C14" s="22" t="str">
        <x:v>DAY_1</x:v>
      </x:c>
      <x:c r="D14" s="22" t="n">
        <x:v>1</x:v>
      </x:c>
      <x:c r="E14" s="22" t="str">
        <x:v>place_day_1_obelisco_di_antinoo</x:v>
      </x:c>
      <x:c r="F14" s="22" t="str">
        <x:v>Obelisco di Antinoo</x:v>
      </x:c>
      <x:c r="G14" s="22" t="str">
        <x:v>START / ERSTER HINWEIS</x:v>
      </x:c>
      <x:c r="H14" s="22" t="str">
        <x:v>D1_POPOLO_PINCIO_SPAGNA</x:v>
      </x:c>
      <x:c r="I14" s="25" t="n">
        <x:v>41.9108092</x:v>
      </x:c>
      <x:c r="J14" s="25" t="n">
        <x:v>12.479749</x:v>
      </x:c>
      <x:c r="K14" s="22" t="str">
        <x:v>GRUEN</x:v>
      </x:c>
      <x:c r="L14" s="22" t="str">
        <x:v>GRUEN_PARKZUGANG</x:v>
      </x:c>
      <x:c r="M14" s="22" t="str">
        <x:v>Hieroglyphen auf allen Schaftseiten und deutliche Obeliskform.</x:v>
      </x:c>
      <x:c r="N14" s="22" t="str">
        <x:v>Welche Art von Schriftzeichen bedeckt den Schaft?</x:v>
      </x:c>
      <x:c r="O14" s="22" t="str">
        <x:v>Hieroglyphen</x:v>
      </x:c>
      <x:c r="P14" s="22" t="str">
        <x:v>https://it.wikipedia.org/wiki/Obelisco_del_Pincio</x:v>
      </x:c>
      <x:c r="Q14" s="22" t="str">
        <x:v>https://www.google.com/maps/search/?api=1&amp;query=41.9108092,12.479749</x:v>
      </x:c>
      <x:c r="R14" s="28" t="n">
        <x:f>IF(A14=A13,ROUND(SQRT(POWER((I14-I13)*111000,2)+POWER((J14-J13)*111000*COS(RADIANS((I14+I13)/2)),2)),0),0)</x:f>
        <x:v>0</x:v>
      </x:c>
      <x:c r="S14" s="28" t="n">
        <x:f>ROUND(R14*'Kriterien'!$B$6,0)</x:f>
        <x:v>0</x:v>
      </x:c>
      <x:c r="T14" s="22" t="str">
        <x:v>V03-Punkt; VISUAL_EVIDENCE_NOT_YET_VERIFIED|CROWDING_RISK</x:v>
      </x:c>
      <x:c r="U14" s="22" t="str">
        <x:v>Ombra di Antinoo</x:v>
      </x:c>
    </x:row>
    <x:row r="15" ht="58" customHeight="1">
      <x:c r="A15" s="22" t="str">
        <x:v>D1-Q04</x:v>
      </x:c>
      <x:c r="B15" s="22" t="str">
        <x:v>REGULAER</x:v>
      </x:c>
      <x:c r="C15" s="22" t="str">
        <x:v>DAY_1</x:v>
      </x:c>
      <x:c r="D15" s="22" t="n">
        <x:v>2</x:v>
      </x:c>
      <x:c r="E15" s="22" t="str">
        <x:v>place_day_1_fontana_della_dea_di_roma</x:v>
      </x:c>
      <x:c r="F15" s="22" t="str">
        <x:v>Fontana della Dea di Roma</x:v>
      </x:c>
      <x:c r="G15" s="22" t="str">
        <x:v>ZWISCHENSTATION</x:v>
      </x:c>
      <x:c r="H15" s="22" t="str">
        <x:v>D1_POPOLO_PINCIO_SPAGNA</x:v>
      </x:c>
      <x:c r="I15" s="25" t="n">
        <x:v>41.9109167</x:v>
      </x:c>
      <x:c r="J15" s="25" t="n">
        <x:v>12.4771784</x:v>
      </x:c>
      <x:c r="K15" s="22" t="str">
        <x:v>GRUEN</x:v>
      </x:c>
      <x:c r="L15" s="22" t="str">
        <x:v>GRUEN_PARKZUGANG</x:v>
      </x:c>
      <x:c r="M15" s="22" t="str">
        <x:v>Zentrale sitzende Göttin und gut erkennbare Wölfin mit Zwillingen im unteren Bereich.</x:v>
      </x:c>
      <x:c r="N15" s="22" t="str">
        <x:v>Welches Tier ist zusammen mit den Zwillingen Romulus und Remus dargestellt?</x:v>
      </x:c>
      <x:c r="O15" s="22" t="str">
        <x:v>Eine Wölfin</x:v>
      </x:c>
      <x:c r="P15" s="22" t="str">
        <x:v>https://www.openstreetmap.org/relation/11496554</x:v>
      </x:c>
      <x:c r="Q15" s="22" t="str">
        <x:v>https://www.google.com/maps/search/?api=1&amp;query=41.9109167,12.4771784</x:v>
      </x:c>
      <x:c r="R15" s="28" t="n">
        <x:f>IF(A15=A14,ROUND(SQRT(POWER((I15-I14)*111000,2)+POWER((J15-J14)*111000*COS(RADIANS((I15+I14)/2)),2)),0),0)</x:f>
        <x:v>213</x:v>
      </x:c>
      <x:c r="S15" s="28" t="n">
        <x:f>ROUND(R15*'Kriterien'!$B$6,0)</x:f>
        <x:v>266</x:v>
      </x:c>
      <x:c r="T15" s="22" t="str">
        <x:v>V03-Punkt; VISUAL_EVIDENCE_NOT_YET_VERIFIED</x:v>
      </x:c>
      <x:c r="U15" s="22" t="str">
        <x:v>Ombra di Antinoo</x:v>
      </x:c>
    </x:row>
    <x:row r="16" ht="58" customHeight="1">
      <x:c r="A16" s="22" t="str">
        <x:v>D1-Q04</x:v>
      </x:c>
      <x:c r="B16" s="22" t="str">
        <x:v>REGULAER</x:v>
      </x:c>
      <x:c r="C16" s="22" t="str">
        <x:v>DAY_1</x:v>
      </x:c>
      <x:c r="D16" s="22" t="n">
        <x:v>3</x:v>
      </x:c>
      <x:c r="E16" s="22" t="str">
        <x:v>place_day_1_balconata_del_pincio</x:v>
      </x:c>
      <x:c r="F16" s="22" t="str">
        <x:v>Balconata del Pincio</x:v>
      </x:c>
      <x:c r="G16" s="22" t="str">
        <x:v>ABSCHLUSS</x:v>
      </x:c>
      <x:c r="H16" s="22" t="str">
        <x:v>D1_POPOLO_PINCIO_SPAGNA</x:v>
      </x:c>
      <x:c r="I16" s="25" t="n">
        <x:v>41.9110905</x:v>
      </x:c>
      <x:c r="J16" s="25" t="n">
        <x:v>12.4779346</x:v>
      </x:c>
      <x:c r="K16" s="22" t="str">
        <x:v>GRUEN</x:v>
      </x:c>
      <x:c r="L16" s="22" t="str">
        <x:v>GRUEN_PARKZUGANG</x:v>
      </x:c>
      <x:c r="M16" s="22" t="str">
        <x:v>Große Balustrade mit unmittelbarem Überblick auf Piazza del Popolo.</x:v>
      </x:c>
      <x:c r="N16" s="22" t="str">
        <x:v>Welcher große Platz liegt direkt unter der Aussichtsterrasse?</x:v>
      </x:c>
      <x:c r="O16" s="22" t="str">
        <x:v>Piazza del Popolo</x:v>
      </x:c>
      <x:c r="P16" s="22" t="str">
        <x:v>https://www.openstreetmap.org/node/649529694</x:v>
      </x:c>
      <x:c r="Q16" s="22" t="str">
        <x:v>https://www.google.com/maps/search/?api=1&amp;query=41.9110905,12.4779346</x:v>
      </x:c>
      <x:c r="R16" s="28" t="n">
        <x:f>IF(A16=A15,ROUND(SQRT(POWER((I16-I15)*111000,2)+POWER((J16-J15)*111000*COS(RADIANS((I16+I15)/2)),2)),0),0)</x:f>
        <x:v>65</x:v>
      </x:c>
      <x:c r="S16" s="28" t="n">
        <x:f>ROUND(R16*'Kriterien'!$B$6,0)</x:f>
        <x:v>81</x:v>
      </x:c>
      <x:c r="T16" s="22" t="str">
        <x:v>V03-Punkt; VISUAL_EVIDENCE_NOT_YET_VERIFIED</x:v>
      </x:c>
      <x:c r="U16" s="22" t="str">
        <x:v>Ombra di Antinoo</x:v>
      </x:c>
    </x:row>
    <x:row r="17" ht="58" customHeight="1">
      <x:c r="A17" s="22" t="str">
        <x:v>D1-Q05</x:v>
      </x:c>
      <x:c r="B17" s="22" t="str">
        <x:v>REGULAER</x:v>
      </x:c>
      <x:c r="C17" s="22" t="str">
        <x:v>DAY_1</x:v>
      </x:c>
      <x:c r="D17" s="22" t="n">
        <x:v>1</x:v>
      </x:c>
      <x:c r="E17" s="22" t="str">
        <x:v>place_day_1_piazza_di_spagna</x:v>
      </x:c>
      <x:c r="F17" s="22" t="str">
        <x:v>Spanischer Platz</x:v>
      </x:c>
      <x:c r="G17" s="22" t="str">
        <x:v>START / ERSTER HINWEIS</x:v>
      </x:c>
      <x:c r="H17" s="22" t="str">
        <x:v>D1_POPOLO_PINCIO_SPAGNA</x:v>
      </x:c>
      <x:c r="I17" s="25" t="n">
        <x:v>41.9056657</x:v>
      </x:c>
      <x:c r="J17" s="25" t="n">
        <x:v>12.4822771</x:v>
      </x:c>
      <x:c r="K17" s="22" t="str">
        <x:v>GRUEN</x:v>
      </x:c>
      <x:c r="L17" s="22" t="str">
        <x:v>GRUEN_MENSCHENMENGE</x:v>
      </x:c>
      <x:c r="M17" s="22" t="str">
        <x:v>Bootsförmiger Brunnen am Fuß der großen Freitreppe.</x:v>
      </x:c>
      <x:c r="N17" s="22" t="str">
        <x:v>Welche Form hat der Brunnen am Fuß der Spanischen Treppe?</x:v>
      </x:c>
      <x:c r="O17" s="22" t="str">
        <x:v>Ein Boot</x:v>
      </x:c>
      <x:c r="P17" s="22" t="str">
        <x:v>https://it.wikipedia.org/wiki/Piazza_di_Spagna</x:v>
      </x:c>
      <x:c r="Q17" s="22" t="str">
        <x:v>https://www.google.com/maps/search/?api=1&amp;query=41.9056657,12.4822771</x:v>
      </x:c>
      <x:c r="R17" s="28" t="n">
        <x:f>IF(A17=A16,ROUND(SQRT(POWER((I17-I16)*111000,2)+POWER((J17-J16)*111000*COS(RADIANS((I17+I16)/2)),2)),0),0)</x:f>
        <x:v>0</x:v>
      </x:c>
      <x:c r="S17" s="28" t="n">
        <x:f>ROUND(R17*'Kriterien'!$B$6,0)</x:f>
        <x:v>0</x:v>
      </x:c>
      <x:c r="T17" s="22" t="str">
        <x:v>V03-Punkt; Die sehr hohe Besucherzahl kann Zähl- und Bodenaufgaben stören; nur Großform verwenden.</x:v>
      </x:c>
      <x:c r="U17" s="22" t="str"/>
    </x:row>
    <x:row r="18" ht="58" customHeight="1">
      <x:c r="A18" s="22" t="str">
        <x:v>D1-Q06</x:v>
      </x:c>
      <x:c r="B18" s="22" t="str">
        <x:v>REGULAER</x:v>
      </x:c>
      <x:c r="C18" s="22" t="str">
        <x:v>DAY_1</x:v>
      </x:c>
      <x:c r="D18" s="22" t="n">
        <x:v>1</x:v>
      </x:c>
      <x:c r="E18" s="22" t="str">
        <x:v>place_day_1_piazza_navona</x:v>
      </x:c>
      <x:c r="F18" s="22" t="str">
        <x:v>Piazza Navona</x:v>
      </x:c>
      <x:c r="G18" s="22" t="str">
        <x:v>START / ERSTER HINWEIS</x:v>
      </x:c>
      <x:c r="H18" s="22" t="str">
        <x:v>D1_NAVONA_PANTHEON</x:v>
      </x:c>
      <x:c r="I18" s="25" t="n">
        <x:v>41.8989256</x:v>
      </x:c>
      <x:c r="J18" s="25" t="n">
        <x:v>12.4730991</x:v>
      </x:c>
      <x:c r="K18" s="22" t="str">
        <x:v>GRUEN</x:v>
      </x:c>
      <x:c r="L18" s="22" t="str">
        <x:v>GRUEN_MENSCHENMENGE</x:v>
      </x:c>
      <x:c r="M18" s="22" t="str">
        <x:v>Drei weit auseinanderliegende Großbrunnen entlang der Platzachse.</x:v>
      </x:c>
      <x:c r="N18" s="22" t="str">
        <x:v>Wie viele große Brunnen liegen entlang der Längsachse der Piazza Navona?</x:v>
      </x:c>
      <x:c r="O18" s="22" t="str">
        <x:v>Drei</x:v>
      </x:c>
      <x:c r="P18" s="22" t="str">
        <x:v>https://it.wikipedia.org/wiki/Piazza_Navona</x:v>
      </x:c>
      <x:c r="Q18" s="22" t="str">
        <x:v>https://www.google.com/maps/search/?api=1&amp;query=41.8989256,12.4730991</x:v>
      </x:c>
      <x:c r="R18" s="28" t="n">
        <x:f>IF(A18=A17,ROUND(SQRT(POWER((I18-I17)*111000,2)+POWER((J18-J17)*111000*COS(RADIANS((I18+I17)/2)),2)),0),0)</x:f>
        <x:v>0</x:v>
      </x:c>
      <x:c r="S18" s="28" t="n">
        <x:f>ROUND(R18*'Kriterien'!$B$6,0)</x:f>
        <x:v>0</x:v>
      </x:c>
      <x:c r="T18" s="22" t="str">
        <x:v>V03-Punkt; Für die Medienquest sind alle drei Brunnen als separate Fotostationen zu markieren.</x:v>
      </x:c>
      <x:c r="U18" s="22" t="str"/>
    </x:row>
    <x:row r="19" ht="58" customHeight="1">
      <x:c r="A19" s="22" t="str">
        <x:v>D1-Q06</x:v>
      </x:c>
      <x:c r="B19" s="22" t="str">
        <x:v>REGULAER</x:v>
      </x:c>
      <x:c r="C19" s="22" t="str">
        <x:v>DAY_1</x:v>
      </x:c>
      <x:c r="D19" s="22" t="n">
        <x:v>2</x:v>
      </x:c>
      <x:c r="E19" s="22" t="str">
        <x:v>place_day_1_fontana_del_nettuno</x:v>
      </x:c>
      <x:c r="F19" s="22" t="str">
        <x:v>Neptunsbrunnen</x:v>
      </x:c>
      <x:c r="G19" s="22" t="str">
        <x:v>ZWISCHENSTATION</x:v>
      </x:c>
      <x:c r="H19" s="22" t="str">
        <x:v>D1_NAVONA_PANTHEON</x:v>
      </x:c>
      <x:c r="I19" s="25" t="n">
        <x:v>41.8997976</x:v>
      </x:c>
      <x:c r="J19" s="25" t="n">
        <x:v>12.4730207</x:v>
      </x:c>
      <x:c r="K19" s="22" t="str">
        <x:v>GRUEN</x:v>
      </x:c>
      <x:c r="L19" s="22" t="str">
        <x:v>GRUEN_KONZEPTREIF</x:v>
      </x:c>
      <x:c r="M19" s="22" t="str">
        <x:v>Große zentrale Neptunfigur im Ringkampf mit einem vielarmigen Meerestier.</x:v>
      </x:c>
      <x:c r="N19" s="22" t="str">
        <x:v>Mit welchem Meerestier ringt Neptun in der zentralen Skulptur?</x:v>
      </x:c>
      <x:c r="O19" s="22" t="str">
        <x:v>Mit einem Oktopus</x:v>
      </x:c>
      <x:c r="P19" s="22" t="str">
        <x:v>https://it.wikipedia.org/wiki/Fontana_del_Nettuno_(Roma)</x:v>
      </x:c>
      <x:c r="Q19" s="22" t="str">
        <x:v>https://www.google.com/maps/search/?api=1&amp;query=41.8997976,12.4730207</x:v>
      </x:c>
      <x:c r="R19" s="28" t="n">
        <x:f>IF(A19=A18,ROUND(SQRT(POWER((I19-I18)*111000,2)+POWER((J19-J18)*111000*COS(RADIANS((I19+I18)/2)),2)),0),0)</x:f>
        <x:v>97</x:v>
      </x:c>
      <x:c r="S19" s="28" t="n">
        <x:f>ROUND(R19*'Kriterien'!$B$6,0)</x:f>
        <x:v>121</x:v>
      </x:c>
      <x:c r="T19" s="22" t="str">
        <x:v>V03-Punkt; VISUAL_EVIDENCE_NOT_YET_VERIFIED|CROWDING_RISK</x:v>
      </x:c>
      <x:c r="U19" s="22" t="str"/>
    </x:row>
    <x:row r="20" ht="58" customHeight="1">
      <x:c r="A20" s="22" t="str">
        <x:v>D1-Q06</x:v>
      </x:c>
      <x:c r="B20" s="22" t="str">
        <x:v>REGULAER</x:v>
      </x:c>
      <x:c r="C20" s="22" t="str">
        <x:v>DAY_1</x:v>
      </x:c>
      <x:c r="D20" s="22" t="n">
        <x:v>3</x:v>
      </x:c>
      <x:c r="E20" s="22" t="str">
        <x:v>place_day_1_fontana_del_moro</x:v>
      </x:c>
      <x:c r="F20" s="22" t="str">
        <x:v>Mohrenbrunnen</x:v>
      </x:c>
      <x:c r="G20" s="22" t="str">
        <x:v>ABSCHLUSS</x:v>
      </x:c>
      <x:c r="H20" s="22" t="str">
        <x:v>D1_NAVONA_PANTHEON</x:v>
      </x:c>
      <x:c r="I20" s="25" t="n">
        <x:v>41.8981115</x:v>
      </x:c>
      <x:c r="J20" s="25" t="n">
        <x:v>12.4731529</x:v>
      </x:c>
      <x:c r="K20" s="22" t="str">
        <x:v>GRUEN</x:v>
      </x:c>
      <x:c r="L20" s="22" t="str">
        <x:v>GRUEN_KONZEPTREIF</x:v>
      </x:c>
      <x:c r="M20" s="22" t="str">
        <x:v>Zentrale männliche Figur mit Delfin; vier Tritonen im unteren Becken.</x:v>
      </x:c>
      <x:c r="N20" s="22" t="str">
        <x:v>Welches Tier hält die zentrale Figur des Mohrenbrunnens fest?</x:v>
      </x:c>
      <x:c r="O20" s="22" t="str">
        <x:v>Einen Delfin</x:v>
      </x:c>
      <x:c r="P20" s="22" t="str">
        <x:v>https://it.wikipedia.org/wiki/Fontana_del_Moro</x:v>
      </x:c>
      <x:c r="Q20" s="22" t="str">
        <x:v>https://www.google.com/maps/search/?api=1&amp;query=41.8981115,12.4731529</x:v>
      </x:c>
      <x:c r="R20" s="28" t="n">
        <x:f>IF(A20=A19,ROUND(SQRT(POWER((I20-I19)*111000,2)+POWER((J20-J19)*111000*COS(RADIANS((I20+I19)/2)),2)),0),0)</x:f>
        <x:v>187</x:v>
      </x:c>
      <x:c r="S20" s="28" t="n">
        <x:f>ROUND(R20*'Kriterien'!$B$6,0)</x:f>
        <x:v>234</x:v>
      </x:c>
      <x:c r="T20" s="22" t="str">
        <x:v>V03-Punkt; VISUAL_EVIDENCE_NOT_YET_VERIFIED|CROWDING_RISK</x:v>
      </x:c>
      <x:c r="U20" s="22" t="str"/>
    </x:row>
    <x:row r="21" ht="58" customHeight="1">
      <x:c r="A21" s="22" t="str">
        <x:v>D1-Q07</x:v>
      </x:c>
      <x:c r="B21" s="22" t="str">
        <x:v>REGULAER</x:v>
      </x:c>
      <x:c r="C21" s="22" t="str">
        <x:v>DAY_1</x:v>
      </x:c>
      <x:c r="D21" s="22" t="n">
        <x:v>1</x:v>
      </x:c>
      <x:c r="E21" s="22" t="str">
        <x:v>place_day_1_pantheon</x:v>
      </x:c>
      <x:c r="F21" s="22" t="str">
        <x:v>Pantheon</x:v>
      </x:c>
      <x:c r="G21" s="22" t="str">
        <x:v>START / ERSTER HINWEIS</x:v>
      </x:c>
      <x:c r="H21" s="22" t="str">
        <x:v>D1_NAVONA_PANTHEON</x:v>
      </x:c>
      <x:c r="I21" s="25" t="n">
        <x:v>41.8986261</x:v>
      </x:c>
      <x:c r="J21" s="25" t="n">
        <x:v>12.4768335</x:v>
      </x:c>
      <x:c r="K21" s="22" t="str">
        <x:v>GRUEN</x:v>
      </x:c>
      <x:c r="L21" s="22" t="str">
        <x:v>GRUEN_AUSSENPUNKT</x:v>
      </x:c>
      <x:c r="M21" s="22" t="str">
        <x:v>Sehr große lateinische Inschrift über dem Portikus; vollständig vom öffentlichen Platz lesbar.</x:v>
      </x:c>
      <x:c r="N21" s="22" t="str">
        <x:v>Welcher Name steht in der obersten Zeile der großen Inschrift über dem Eingang?</x:v>
      </x:c>
      <x:c r="O21" s="22" t="str">
        <x:v>AGRIPPA</x:v>
      </x:c>
      <x:c r="P21" s="22" t="str">
        <x:v>https://www.turismoroma.it/it/luoghi/pantheon</x:v>
      </x:c>
      <x:c r="Q21" s="22" t="str">
        <x:v>https://www.google.com/maps/search/?api=1&amp;query=41.8986261,12.4768335</x:v>
      </x:c>
      <x:c r="R21" s="28" t="n">
        <x:f>IF(A21=A20,ROUND(SQRT(POWER((I21-I20)*111000,2)+POWER((J21-J20)*111000*COS(RADIANS((I21+I20)/2)),2)),0),0)</x:f>
        <x:v>0</x:v>
      </x:c>
      <x:c r="S21" s="28" t="n">
        <x:f>ROUND(R21*'Kriterien'!$B$6,0)</x:f>
        <x:v>0</x:v>
      </x:c>
      <x:c r="T21" s="22" t="str">
        <x:v>V03-Punkt; Trigger auf Piazza della Rotonda legen; kein Eintritt und keine Innenfrage.</x:v>
      </x:c>
      <x:c r="U21" s="22" t="str">
        <x:v>Mummia dell’Iseo</x:v>
      </x:c>
    </x:row>
    <x:row r="22" ht="58" customHeight="1">
      <x:c r="A22" s="22" t="str">
        <x:v>D1-Q07</x:v>
      </x:c>
      <x:c r="B22" s="22" t="str">
        <x:v>REGULAER</x:v>
      </x:c>
      <x:c r="C22" s="22" t="str">
        <x:v>DAY_1</x:v>
      </x:c>
      <x:c r="D22" s="22" t="n">
        <x:v>2</x:v>
      </x:c>
      <x:c r="E22" s="22" t="str">
        <x:v>place_day_1_obelisco_macuteo</x:v>
      </x:c>
      <x:c r="F22" s="22" t="str">
        <x:v>Obelisco Macuteo</x:v>
      </x:c>
      <x:c r="G22" s="22" t="str">
        <x:v>ABSCHLUSS</x:v>
      </x:c>
      <x:c r="H22" s="22" t="str">
        <x:v>D1_NAVONA_PANTHEON</x:v>
      </x:c>
      <x:c r="I22" s="25" t="n">
        <x:v>41.8993124</x:v>
      </x:c>
      <x:c r="J22" s="25" t="n">
        <x:v>12.4767399</x:v>
      </x:c>
      <x:c r="K22" s="22" t="str">
        <x:v>GRUEN</x:v>
      </x:c>
      <x:c r="L22" s="22" t="str">
        <x:v>GRUEN_MENSCHENMENGE</x:v>
      </x:c>
      <x:c r="M22" s="22" t="str">
        <x:v>Obelisk mit Hieroglyphen, der sichtbar aus der Brunnenanlage der Piazza della Rotonda aufragt.</x:v>
      </x:c>
      <x:c r="N22" s="22" t="str">
        <x:v>Auf welchem Bauwerk steht der Obelisco Macuteo heute?</x:v>
      </x:c>
      <x:c r="O22" s="22" t="str">
        <x:v>Auf einem Brunnen</x:v>
      </x:c>
      <x:c r="P22" s="22" t="str">
        <x:v>https://it.wikipedia.org/wiki/Obelisco_del_Pantheon</x:v>
      </x:c>
      <x:c r="Q22" s="22" t="str">
        <x:v>https://www.google.com/maps/search/?api=1&amp;query=41.8993124,12.4767399</x:v>
      </x:c>
      <x:c r="R22" s="28" t="n">
        <x:f>IF(A22=A21,ROUND(SQRT(POWER((I22-I21)*111000,2)+POWER((J22-J21)*111000*COS(RADIANS((I22+I21)/2)),2)),0),0)</x:f>
        <x:v>77</x:v>
      </x:c>
      <x:c r="S22" s="28" t="n">
        <x:f>ROUND(R22*'Kriterien'!$B$6,0)</x:f>
        <x:v>96</x:v>
      </x:c>
      <x:c r="T22" s="22" t="str">
        <x:v>V03-Punkt; VISUAL_EVIDENCE_NOT_YET_VERIFIED</x:v>
      </x:c>
      <x:c r="U22" s="22" t="str">
        <x:v>Mummia dell’Iseo</x:v>
      </x:c>
    </x:row>
    <x:row r="23" ht="58" customHeight="1">
      <x:c r="A23" s="22" t="str">
        <x:v>D1-Q08</x:v>
      </x:c>
      <x:c r="B23" s="22" t="str">
        <x:v>REGULAER</x:v>
      </x:c>
      <x:c r="C23" s="22" t="str">
        <x:v>DAY_1</x:v>
      </x:c>
      <x:c r="D23" s="22" t="n">
        <x:v>1</x:v>
      </x:c>
      <x:c r="E23" s="22" t="str">
        <x:v>place_day_1_obelisco_di_montecitorio</x:v>
      </x:c>
      <x:c r="F23" s="22" t="str">
        <x:v>Obelisco di Montecitorio</x:v>
      </x:c>
      <x:c r="G23" s="22" t="str">
        <x:v>START / ERSTER HINWEIS</x:v>
      </x:c>
      <x:c r="H23" s="22" t="str">
        <x:v>D1_NAVONA_PANTHEON</x:v>
      </x:c>
      <x:c r="I23" s="25" t="n">
        <x:v>41.9006787</x:v>
      </x:c>
      <x:c r="J23" s="25" t="n">
        <x:v>12.4786653</x:v>
      </x:c>
      <x:c r="K23" s="22" t="str">
        <x:v>GRUEN</x:v>
      </x:c>
      <x:c r="L23" s="22" t="str">
        <x:v>GRUEN_KONZEPTREIF</x:v>
      </x:c>
      <x:c r="M23" s="22" t="str">
        <x:v>Monumentaler Schaft mit Hieroglyphen und einer Metallkugel an der Spitze.</x:v>
      </x:c>
      <x:c r="N23" s="22" t="str">
        <x:v>Welche Schriftzeichen bedecken den Schaft des Obelisken?</x:v>
      </x:c>
      <x:c r="O23" s="22" t="str">
        <x:v>Ägyptische Hieroglyphen</x:v>
      </x:c>
      <x:c r="P23" s="22" t="str">
        <x:v>https://it.wikipedia.org/wiki/Obelisco_di_Montecitorio</x:v>
      </x:c>
      <x:c r="Q23" s="22" t="str">
        <x:v>https://www.google.com/maps/search/?api=1&amp;query=41.9006787,12.4786653</x:v>
      </x:c>
      <x:c r="R23" s="28" t="n">
        <x:f>IF(A23=A22,ROUND(SQRT(POWER((I23-I22)*111000,2)+POWER((J23-J22)*111000*COS(RADIANS((I23+I22)/2)),2)),0),0)</x:f>
        <x:v>0</x:v>
      </x:c>
      <x:c r="S23" s="28" t="n">
        <x:f>ROUND(R23*'Kriterien'!$B$6,0)</x:f>
        <x:v>0</x:v>
      </x:c>
      <x:c r="T23" s="22" t="str">
        <x:v>V03-Punkt; VISUAL_EVIDENCE_NOT_YET_VERIFIED|CROWDING_RISK</x:v>
      </x:c>
      <x:c r="U23" s="22" t="str"/>
    </x:row>
    <x:row r="24" ht="58" customHeight="1">
      <x:c r="A24" s="22" t="str">
        <x:v>D1-Q08</x:v>
      </x:c>
      <x:c r="B24" s="22" t="str">
        <x:v>REGULAER</x:v>
      </x:c>
      <x:c r="C24" s="22" t="str">
        <x:v>DAY_1</x:v>
      </x:c>
      <x:c r="D24" s="22" t="n">
        <x:v>2</x:v>
      </x:c>
      <x:c r="E24" s="22" t="str">
        <x:v>place_day_1_colonna_di_marco_aurelio</x:v>
      </x:c>
      <x:c r="F24" s="22" t="str">
        <x:v>Mark-Aurel-Säule</x:v>
      </x:c>
      <x:c r="G24" s="22" t="str">
        <x:v>ABSCHLUSS</x:v>
      </x:c>
      <x:c r="H24" s="22" t="str">
        <x:v>D1_NAVONA_PANTHEON</x:v>
      </x:c>
      <x:c r="I24" s="25" t="n">
        <x:v>41.9008477</x:v>
      </x:c>
      <x:c r="J24" s="25" t="n">
        <x:v>12.4799871</x:v>
      </x:c>
      <x:c r="K24" s="22" t="str">
        <x:v>GRUEN</x:v>
      </x:c>
      <x:c r="L24" s="22" t="str">
        <x:v>GRUEN_KONZEPTREIF</x:v>
      </x:c>
      <x:c r="M24" s="22" t="str">
        <x:v>Breites spiralförmiges Reliefband und große Figur auf der Spitze.</x:v>
      </x:c>
      <x:c r="N24" s="22" t="str">
        <x:v>In welchem Muster läuft das Reliefband um die Säule?</x:v>
      </x:c>
      <x:c r="O24" s="22" t="str">
        <x:v>Spiralförmig</x:v>
      </x:c>
      <x:c r="P24" s="22" t="str">
        <x:v>https://it.wikipedia.org/wiki/Colonna_di_Marco_Aurelio</x:v>
      </x:c>
      <x:c r="Q24" s="22" t="str">
        <x:v>https://www.google.com/maps/search/?api=1&amp;query=41.9008477,12.4799871</x:v>
      </x:c>
      <x:c r="R24" s="28" t="n">
        <x:f>IF(A24=A23,ROUND(SQRT(POWER((I24-I23)*111000,2)+POWER((J24-J23)*111000*COS(RADIANS((I24+I23)/2)),2)),0),0)</x:f>
        <x:v>111</x:v>
      </x:c>
      <x:c r="S24" s="28" t="n">
        <x:f>ROUND(R24*'Kriterien'!$B$6,0)</x:f>
        <x:v>139</x:v>
      </x:c>
      <x:c r="T24" s="22" t="str">
        <x:v>V03-Punkt; VISUAL_EVIDENCE_NOT_YET_VERIFIED</x:v>
      </x:c>
      <x:c r="U24" s="22" t="str"/>
    </x:row>
    <x:row r="25" ht="58" customHeight="1">
      <x:c r="A25" s="22" t="str">
        <x:v>D1-Q09</x:v>
      </x:c>
      <x:c r="B25" s="22" t="str">
        <x:v>REGULAER</x:v>
      </x:c>
      <x:c r="C25" s="22" t="str">
        <x:v>DAY_1</x:v>
      </x:c>
      <x:c r="D25" s="22" t="n">
        <x:v>1</x:v>
      </x:c>
      <x:c r="E25" s="22" t="str">
        <x:v>place_day_1_fontana_di_trevi</x:v>
      </x:c>
      <x:c r="F25" s="22" t="str">
        <x:v>Trevi-Brunnen</x:v>
      </x:c>
      <x:c r="G25" s="22" t="str">
        <x:v>START / ERSTER HINWEIS</x:v>
      </x:c>
      <x:c r="H25" s="22" t="str">
        <x:v>D1_TREVI_QUIRINALE</x:v>
      </x:c>
      <x:c r="I25" s="25" t="n">
        <x:v>41.9009648</x:v>
      </x:c>
      <x:c r="J25" s="25" t="n">
        <x:v>12.4832817</x:v>
      </x:c>
      <x:c r="K25" s="22" t="str">
        <x:v>GELB</x:v>
      </x:c>
      <x:c r="L25" s="22" t="str">
        <x:v>GELB_EXTREME_MENSCHENMENGE</x:v>
      </x:c>
      <x:c r="M25" s="22" t="str">
        <x:v>Zwei große Seepferde vor dem muschelförmigen Wagen der Zentralfigur.</x:v>
      </x:c>
      <x:c r="N25" s="22" t="str">
        <x:v>Wie viele Seepferde ziehen den Wagen der zentralen Figur?</x:v>
      </x:c>
      <x:c r="O25" s="22" t="str">
        <x:v>Zwei</x:v>
      </x:c>
      <x:c r="P25" s="22" t="str">
        <x:v>https://it.wikipedia.org/wiki/Fontana_di_Trevi</x:v>
      </x:c>
      <x:c r="Q25" s="22" t="str">
        <x:v>https://www.google.com/maps/search/?api=1&amp;query=41.9009648,12.4832817</x:v>
      </x:c>
      <x:c r="R25" s="28" t="n">
        <x:f>IF(A25=A24,ROUND(SQRT(POWER((I25-I24)*111000,2)+POWER((J25-J24)*111000*COS(RADIANS((I25+I24)/2)),2)),0),0)</x:f>
        <x:v>0</x:v>
      </x:c>
      <x:c r="S25" s="28" t="n">
        <x:f>ROUND(R25*'Kriterien'!$B$6,0)</x:f>
        <x:v>0</x:v>
      </x:c>
      <x:c r="T25" s="22" t="str">
        <x:v>V03-Punkt; Nur von mehreren Positionen erkennbare Großdetails verwenden; keine Boden- oder Randdetails.</x:v>
      </x:c>
      <x:c r="U25" s="22" t="str">
        <x:v>Ratto dell’Acqua Virgo</x:v>
      </x:c>
    </x:row>
    <x:row r="26" ht="58" customHeight="1">
      <x:c r="A26" s="22" t="str">
        <x:v>D1-Q09</x:v>
      </x:c>
      <x:c r="B26" s="22" t="str">
        <x:v>REGULAER</x:v>
      </x:c>
      <x:c r="C26" s="22" t="str">
        <x:v>DAY_1</x:v>
      </x:c>
      <x:c r="D26" s="22" t="n">
        <x:v>2</x:v>
      </x:c>
      <x:c r="E26" s="22" t="str">
        <x:v>place_day_1_acquedotto_vergine</x:v>
      </x:c>
      <x:c r="F26" s="22" t="str">
        <x:v>Acquedotto Vergine</x:v>
      </x:c>
      <x:c r="G26" s="22" t="str">
        <x:v>ZWISCHENSTATION</x:v>
      </x:c>
      <x:c r="H26" s="22" t="str">
        <x:v>D1_TREVI_QUIRINALE</x:v>
      </x:c>
      <x:c r="I26" s="25" t="n">
        <x:v>41.9026109</x:v>
      </x:c>
      <x:c r="J26" s="25" t="n">
        <x:v>12.4837108</x:v>
      </x:c>
      <x:c r="K26" s="22" t="str">
        <x:v>GELB</x:v>
      </x:c>
      <x:c r="L26" s="22" t="str">
        <x:v>GELB_TEILWEISE_VERDECKT</x:v>
      </x:c>
      <x:c r="M26" s="22" t="str">
        <x:v>Drei teilweise im heutigen Bodenniveau versunkene Travertinarkaden hinter einer Absperrung.</x:v>
      </x:c>
      <x:c r="N26" s="22" t="str">
        <x:v>Wie viele kleinere antike Arkaden sind in der Via del Nazareno nebeneinander erhalten?</x:v>
      </x:c>
      <x:c r="O26" s="22" t="str">
        <x:v>Drei</x:v>
      </x:c>
      <x:c r="P26" s="22" t="str">
        <x:v>https://www.sovraintendenzaroma.it/i_luoghi/roma_antica/monumenti/acquedotto_vergine</x:v>
      </x:c>
      <x:c r="Q26" s="22" t="str">
        <x:v>https://www.google.com/maps/search/?api=1&amp;query=41.9026109,12.4837108</x:v>
      </x:c>
      <x:c r="R26" s="28" t="n">
        <x:f>IF(A26=A25,ROUND(SQRT(POWER((I26-I25)*111000,2)+POWER((J26-J25)*111000*COS(RADIANS((I26+I25)/2)),2)),0),0)</x:f>
        <x:v>186</x:v>
      </x:c>
      <x:c r="S26" s="28" t="n">
        <x:f>ROUND(R26*'Kriterien'!$B$6,0)</x:f>
        <x:v>233</x:v>
      </x:c>
      <x:c r="T26" s="22" t="str">
        <x:v>V03-Punkt; Die Arkaden sind teilweise eingetieft und durch Gitter verdeckt; nur nach aktuellem Sichttest als Pflichtfrage einsetzen.</x:v>
      </x:c>
      <x:c r="U26" s="22" t="str">
        <x:v>Ratto dell’Acqua Virgo</x:v>
      </x:c>
    </x:row>
    <x:row r="27" ht="58" customHeight="1">
      <x:c r="A27" s="22" t="str">
        <x:v>D1-Q09</x:v>
      </x:c>
      <x:c r="B27" s="22" t="str">
        <x:v>REGULAER</x:v>
      </x:c>
      <x:c r="C27" s="22" t="str">
        <x:v>DAY_1</x:v>
      </x:c>
      <x:c r="D27" s="22" t="n">
        <x:v>3</x:v>
      </x:c>
      <x:c r="E27" s="22" t="str">
        <x:v>place_day_1_fontana_del_tritone</x:v>
      </x:c>
      <x:c r="F27" s="22" t="str">
        <x:v>Tritonenbrunnen</x:v>
      </x:c>
      <x:c r="G27" s="22" t="str">
        <x:v>ABSCHLUSS</x:v>
      </x:c>
      <x:c r="H27" s="22" t="str">
        <x:v>D1_TREVI_QUIRINALE</x:v>
      </x:c>
      <x:c r="I27" s="25" t="n">
        <x:v>41.903662</x:v>
      </x:c>
      <x:c r="J27" s="25" t="n">
        <x:v>12.4884786</x:v>
      </x:c>
      <x:c r="K27" s="22" t="str">
        <x:v>GRUEN</x:v>
      </x:c>
      <x:c r="L27" s="22" t="str">
        <x:v>GRUEN_KONZEPTREIF</x:v>
      </x:c>
      <x:c r="M27" s="22" t="str">
        <x:v>Vier große Delfine, Muschelschale, Triton mit Schneckenhorn.</x:v>
      </x:c>
      <x:c r="N27" s="22" t="str">
        <x:v>Wie viele Delfine tragen die große Muschel?</x:v>
      </x:c>
      <x:c r="O27" s="22" t="str">
        <x:v>Vier</x:v>
      </x:c>
      <x:c r="P27" s="22" t="str">
        <x:v>https://it.wikipedia.org/wiki/Fontana_del_Tritone</x:v>
      </x:c>
      <x:c r="Q27" s="22" t="str">
        <x:v>https://www.google.com/maps/search/?api=1&amp;query=41.903662,12.4884786</x:v>
      </x:c>
      <x:c r="R27" s="28" t="n">
        <x:f>IF(A27=A26,ROUND(SQRT(POWER((I27-I26)*111000,2)+POWER((J27-J26)*111000*COS(RADIANS((I27+I26)/2)),2)),0),0)</x:f>
        <x:v>411</x:v>
      </x:c>
      <x:c r="S27" s="28" t="n">
        <x:f>ROUND(R27*'Kriterien'!$B$6,0)</x:f>
        <x:v>514</x:v>
      </x:c>
      <x:c r="T27" s="22" t="str">
        <x:v>V03-Punkt; VISUAL_EVIDENCE_NOT_YET_VERIFIED|CROWDING_RISK</x:v>
      </x:c>
      <x:c r="U27" s="22" t="str">
        <x:v>Ratto dell’Acqua Virgo</x:v>
      </x:c>
    </x:row>
    <x:row r="28" ht="58" customHeight="1">
      <x:c r="A28" s="22" t="str">
        <x:v>D1-Q10</x:v>
      </x:c>
      <x:c r="B28" s="22" t="str">
        <x:v>REGULAER</x:v>
      </x:c>
      <x:c r="C28" s="22" t="str">
        <x:v>DAY_1</x:v>
      </x:c>
      <x:c r="D28" s="22" t="n">
        <x:v>1</x:v>
      </x:c>
      <x:c r="E28" s="22" t="str">
        <x:v>place_day_1_piazza_scanderbeg</x:v>
      </x:c>
      <x:c r="F28" s="22" t="str">
        <x:v>Piazza Scanderbeg</x:v>
      </x:c>
      <x:c r="G28" s="22" t="str">
        <x:v>START / ERSTER HINWEIS</x:v>
      </x:c>
      <x:c r="H28" s="22" t="str">
        <x:v>D1_TREVI_QUIRINALE</x:v>
      </x:c>
      <x:c r="I28" s="25" t="n">
        <x:v>41.9006643</x:v>
      </x:c>
      <x:c r="J28" s="25" t="n">
        <x:v>12.4848288</x:v>
      </x:c>
      <x:c r="K28" s="22" t="str">
        <x:v>GELB</x:v>
      </x:c>
      <x:c r="L28" s="22" t="str">
        <x:v>GELB_KLEINES_FASSADENDETAIL</x:v>
      </x:c>
      <x:c r="M28" s="22" t="str">
        <x:v>Steinernes Porträtrelief mit lesbarem Namen an der Hausfassade.</x:v>
      </x:c>
      <x:c r="N28" s="22" t="str">
        <x:v>Welcher Name steht beim Porträtrelief am Palazzo Scanderbeg?</x:v>
      </x:c>
      <x:c r="O28" s="22" t="str">
        <x:v>Scanderbeg</x:v>
      </x:c>
      <x:c r="P28" s="22" t="str">
        <x:v>https://en.wikipedia.org/wiki/Piazza_Scanderbeg</x:v>
      </x:c>
      <x:c r="Q28" s="22" t="str">
        <x:v>https://www.google.com/maps/search/?api=1&amp;query=41.9006643,12.4848288</x:v>
      </x:c>
      <x:c r="R28" s="28" t="n">
        <x:f>IF(A28=A27,ROUND(SQRT(POWER((I28-I27)*111000,2)+POWER((J28-J27)*111000*COS(RADIANS((I28+I27)/2)),2)),0),0)</x:f>
        <x:v>0</x:v>
      </x:c>
      <x:c r="S28" s="28" t="n">
        <x:f>ROUND(R28*'Kriterien'!$B$6,0)</x:f>
        <x:v>0</x:v>
      </x:c>
      <x:c r="T28" s="22" t="str">
        <x:v>V03-Punkt; VISUAL_EVIDENCE_NOT_YET_VERIFIED</x:v>
      </x:c>
      <x:c r="U28" s="22" t="str">
        <x:v>Corazziere del Colle</x:v>
      </x:c>
    </x:row>
    <x:row r="29" ht="58" customHeight="1">
      <x:c r="A29" s="22" t="str">
        <x:v>D1-Q10</x:v>
      </x:c>
      <x:c r="B29" s="22" t="str">
        <x:v>REGULAER</x:v>
      </x:c>
      <x:c r="C29" s="22" t="str">
        <x:v>DAY_1</x:v>
      </x:c>
      <x:c r="D29" s="22" t="n">
        <x:v>2</x:v>
      </x:c>
      <x:c r="E29" s="22" t="str">
        <x:v>place_day_1_obelisco_del_quirinale</x:v>
      </x:c>
      <x:c r="F29" s="22" t="str">
        <x:v>Obelisco del Quirinale</x:v>
      </x:c>
      <x:c r="G29" s="22" t="str">
        <x:v>ZWISCHENSTATION</x:v>
      </x:c>
      <x:c r="H29" s="22" t="str">
        <x:v>D1_TREVI_QUIRINALE</x:v>
      </x:c>
      <x:c r="I29" s="25" t="n">
        <x:v>41.899064</x:v>
      </x:c>
      <x:c r="J29" s="25" t="n">
        <x:v>12.4866425</x:v>
      </x:c>
      <x:c r="K29" s="22" t="str">
        <x:v>GRUEN</x:v>
      </x:c>
      <x:c r="L29" s="22" t="str">
        <x:v>GRUEN_KONZEPTREIF</x:v>
      </x:c>
      <x:c r="M29" s="22" t="str">
        <x:v>Zwei monumentale Pferdegruppen flankieren den Obelisken.</x:v>
      </x:c>
      <x:c r="N29" s="22" t="str">
        <x:v>Wie viele monumentale Pferde flankieren den Obelisken?</x:v>
      </x:c>
      <x:c r="O29" s="22" t="str">
        <x:v>Zwei</x:v>
      </x:c>
      <x:c r="P29" s="22" t="str">
        <x:v>https://it.wikipedia.org/wiki/Obelisco_del_Quirinale</x:v>
      </x:c>
      <x:c r="Q29" s="22" t="str">
        <x:v>https://www.google.com/maps/search/?api=1&amp;query=41.899064,12.4866425</x:v>
      </x:c>
      <x:c r="R29" s="28" t="n">
        <x:f>IF(A29=A28,ROUND(SQRT(POWER((I29-I28)*111000,2)+POWER((J29-J28)*111000*COS(RADIANS((I29+I28)/2)),2)),0),0)</x:f>
        <x:v>232</x:v>
      </x:c>
      <x:c r="S29" s="28" t="n">
        <x:f>ROUND(R29*'Kriterien'!$B$6,0)</x:f>
        <x:v>290</x:v>
      </x:c>
      <x:c r="T29" s="22" t="str">
        <x:v>V03-Punkt; VISUAL_EVIDENCE_NOT_YET_VERIFIED</x:v>
      </x:c>
      <x:c r="U29" s="22" t="str">
        <x:v>Corazziere del Colle</x:v>
      </x:c>
    </x:row>
    <x:row r="30" ht="58" customHeight="1">
      <x:c r="A30" s="22" t="str">
        <x:v>D1-Q10</x:v>
      </x:c>
      <x:c r="B30" s="22" t="str">
        <x:v>REGULAER</x:v>
      </x:c>
      <x:c r="C30" s="22" t="str">
        <x:v>DAY_1</x:v>
      </x:c>
      <x:c r="D30" s="22" t="n">
        <x:v>3</x:v>
      </x:c>
      <x:c r="E30" s="22" t="str">
        <x:v>place_day_1_palazzo_del_quirinale</x:v>
      </x:c>
      <x:c r="F30" s="22" t="str">
        <x:v>Quirinalspalast</x:v>
      </x:c>
      <x:c r="G30" s="22" t="str">
        <x:v>ABSCHLUSS</x:v>
      </x:c>
      <x:c r="H30" s="22" t="str">
        <x:v>D1_TREVI_QUIRINALE</x:v>
      </x:c>
      <x:c r="I30" s="25" t="n">
        <x:v>41.9006627</x:v>
      </x:c>
      <x:c r="J30" s="25" t="n">
        <x:v>12.4876143</x:v>
      </x:c>
      <x:c r="K30" s="22" t="str">
        <x:v>GRUEN</x:v>
      </x:c>
      <x:c r="L30" s="22" t="str">
        <x:v>GRUEN_SICHERHEITSABSTAND</x:v>
      </x:c>
      <x:c r="M30" s="22" t="str">
        <x:v>Monumentale lange Palastfassade und Hauptportal an der öffentlich zugänglichen Piazza del Quirinale.</x:v>
      </x:c>
      <x:c r="N30" s="22" t="str">
        <x:v>Welche heutige staatliche Institution nutzt den Quirinalspalast?</x:v>
      </x:c>
      <x:c r="O30" s="22" t="str">
        <x:v>Der Präsident der Italienischen Republik</x:v>
      </x:c>
      <x:c r="P30" s="22" t="str">
        <x:v>https://palazzo.quirinale.it/palazzo_en.html</x:v>
      </x:c>
      <x:c r="Q30" s="22" t="str">
        <x:v>https://www.google.com/maps/search/?api=1&amp;query=41.9006627,12.4876143</x:v>
      </x:c>
      <x:c r="R30" s="28" t="n">
        <x:f>IF(A30=A29,ROUND(SQRT(POWER((I30-I29)*111000,2)+POWER((J30-J29)*111000*COS(RADIANS((I30+I29)/2)),2)),0),0)</x:f>
        <x:v>195</x:v>
      </x:c>
      <x:c r="S30" s="28" t="n">
        <x:f>ROUND(R30*'Kriterien'!$B$6,0)</x:f>
        <x:v>244</x:v>
      </x:c>
      <x:c r="T30" s="22" t="str">
        <x:v>V03-Punkt; Keine Annäherung an Wachen oder Eingang verlangen; Trigger auf der freien Platzfläche.</x:v>
      </x:c>
      <x:c r="U30" s="22" t="str">
        <x:v>Corazziere del Colle</x:v>
      </x:c>
    </x:row>
    <x:row r="31" ht="58" customHeight="1">
      <x:c r="A31" s="22" t="str">
        <x:v>D1-Q11</x:v>
      </x:c>
      <x:c r="B31" s="22" t="str">
        <x:v>REGULAER</x:v>
      </x:c>
      <x:c r="C31" s="22" t="str">
        <x:v>DAY_1</x:v>
      </x:c>
      <x:c r="D31" s="22" t="n">
        <x:v>1</x:v>
      </x:c>
      <x:c r="E31" s="22" t="str">
        <x:v>place_day_1_colonna_dell_immacolata</x:v>
      </x:c>
      <x:c r="F31" s="22" t="str">
        <x:v>Colonna dell'Immacolata</x:v>
      </x:c>
      <x:c r="G31" s="22" t="str">
        <x:v>START / ERSTER HINWEIS</x:v>
      </x:c>
      <x:c r="H31" s="22" t="str">
        <x:v>D1_TREVI_QUIRINALE</x:v>
      </x:c>
      <x:c r="I31" s="25" t="n">
        <x:v>41.9049939</x:v>
      </x:c>
      <x:c r="J31" s="25" t="n">
        <x:v>12.482962</x:v>
      </x:c>
      <x:c r="K31" s="22" t="str">
        <x:v>GRUEN</x:v>
      </x:c>
      <x:c r="L31" s="22" t="str">
        <x:v>GRUEN_KONZEPTREIF</x:v>
      </x:c>
      <x:c r="M31" s="22" t="str">
        <x:v>Große Marienstatue auf der Spitze und vier sitzende Sockelfiguren.</x:v>
      </x:c>
      <x:c r="N31" s="22" t="str">
        <x:v>Welche religiöse Figur steht auf der Spitze der Säule?</x:v>
      </x:c>
      <x:c r="O31" s="22" t="str">
        <x:v>Maria</x:v>
      </x:c>
      <x:c r="P31" s="22" t="str">
        <x:v>https://it.wikipedia.org/wiki/Colonna_dell'Immacolata_(Roma)</x:v>
      </x:c>
      <x:c r="Q31" s="22" t="str">
        <x:v>https://www.google.com/maps/search/?api=1&amp;query=41.9049939,12.482962</x:v>
      </x:c>
      <x:c r="R31" s="28" t="n">
        <x:f>IF(A31=A30,ROUND(SQRT(POWER((I31-I30)*111000,2)+POWER((J31-J30)*111000*COS(RADIANS((I31+I30)/2)),2)),0),0)</x:f>
        <x:v>0</x:v>
      </x:c>
      <x:c r="S31" s="28" t="n">
        <x:f>ROUND(R31*'Kriterien'!$B$6,0)</x:f>
        <x:v>0</x:v>
      </x:c>
      <x:c r="T31" s="22" t="str">
        <x:v>V03-Punkt; VISUAL_EVIDENCE_NOT_YET_VERIFIED</x:v>
      </x:c>
      <x:c r="U31" s="22" t="str"/>
    </x:row>
    <x:row r="32" ht="58" customHeight="1">
      <x:c r="A32" s="22" t="str">
        <x:v>D1-Q12</x:v>
      </x:c>
      <x:c r="B32" s="22" t="str">
        <x:v>REGULAER</x:v>
      </x:c>
      <x:c r="C32" s="22" t="str">
        <x:v>DAY_1</x:v>
      </x:c>
      <x:c r="D32" s="22" t="n">
        <x:v>1</x:v>
      </x:c>
      <x:c r="E32" s="22" t="str">
        <x:v>place_day_1_ponte_sisto</x:v>
      </x:c>
      <x:c r="F32" s="22" t="str">
        <x:v>Ponte Sisto</x:v>
      </x:c>
      <x:c r="G32" s="22" t="str">
        <x:v>START / ERSTER HINWEIS</x:v>
      </x:c>
      <x:c r="H32" s="22" t="str">
        <x:v>D1_CAMPO_REGOLA_GHETTO</x:v>
      </x:c>
      <x:c r="I32" s="25" t="n">
        <x:v>41.8923463</x:v>
      </x:c>
      <x:c r="J32" s="25" t="n">
        <x:v>12.4707703</x:v>
      </x:c>
      <x:c r="K32" s="22" t="str">
        <x:v>GRUEN</x:v>
      </x:c>
      <x:c r="L32" s="22" t="str">
        <x:v>GRUEN_MIT_BLICKPUNKT</x:v>
      </x:c>
      <x:c r="M32" s="22" t="str">
        <x:v>Große kreisrunde Öffnung zwischen den beiden mittleren Brückenbögen.</x:v>
      </x:c>
      <x:c r="N32" s="22" t="str">
        <x:v>Welche geometrische Form hat die Öffnung zwischen den beiden mittleren Brückenbögen?</x:v>
      </x:c>
      <x:c r="O32" s="22" t="str">
        <x:v>Einen Kreis</x:v>
      </x:c>
      <x:c r="P32" s="22" t="str">
        <x:v>https://www.turismoroma.it/it/luoghi/ponte-sisto</x:v>
      </x:c>
      <x:c r="Q32" s="22" t="str">
        <x:v>https://www.google.com/maps/search/?api=1&amp;query=41.8923463,12.4707703</x:v>
      </x:c>
      <x:c r="R32" s="28" t="n">
        <x:f>IF(A32=A31,ROUND(SQRT(POWER((I32-I31)*111000,2)+POWER((J32-J31)*111000*COS(RADIANS((I32+I31)/2)),2)),0),0)</x:f>
        <x:v>0</x:v>
      </x:c>
      <x:c r="S32" s="28" t="n">
        <x:f>ROUND(R32*'Kriterien'!$B$6,0)</x:f>
        <x:v>0</x:v>
      </x:c>
      <x:c r="T32" s="22" t="str">
        <x:v>V03-Punkt; VISUAL_EVIDENCE_NOT_YET_VERIFIED</x:v>
      </x:c>
      <x:c r="U32" s="22" t="str"/>
    </x:row>
    <x:row r="33" ht="58" customHeight="1">
      <x:c r="A33" s="22" t="str">
        <x:v>D1-Q12</x:v>
      </x:c>
      <x:c r="B33" s="22" t="str">
        <x:v>REGULAER</x:v>
      </x:c>
      <x:c r="C33" s="22" t="str">
        <x:v>DAY_1</x:v>
      </x:c>
      <x:c r="D33" s="22" t="n">
        <x:v>2</x:v>
      </x:c>
      <x:c r="E33" s="22" t="str">
        <x:v>place_day_1_palazzo_farnese</x:v>
      </x:c>
      <x:c r="F33" s="22" t="str">
        <x:v>Palazzo Farnese</x:v>
      </x:c>
      <x:c r="G33" s="22" t="str">
        <x:v>ZWISCHENSTATION</x:v>
      </x:c>
      <x:c r="H33" s="22" t="str">
        <x:v>D1_CAMPO_REGOLA_GHETTO</x:v>
      </x:c>
      <x:c r="I33" s="25" t="n">
        <x:v>41.8946528</x:v>
      </x:c>
      <x:c r="J33" s="25" t="n">
        <x:v>12.4706818</x:v>
      </x:c>
      <x:c r="K33" s="22" t="str">
        <x:v>GELB</x:v>
      </x:c>
      <x:c r="L33" s="22" t="str">
        <x:v>GELB_SICHERHEITSBEREICH</x:v>
      </x:c>
      <x:c r="M33" s="22" t="str">
        <x:v>Großes päpstliches Wappen über dem Mittelportal und wiederkehrende Lilienmotive.</x:v>
      </x:c>
      <x:c r="N33" s="22" t="str">
        <x:v>Welches heraldische Symbol wiederholt sich im Farnese-Wappen?</x:v>
      </x:c>
      <x:c r="O33" s="22" t="str">
        <x:v>Die Lilie</x:v>
      </x:c>
      <x:c r="P33" s="22" t="str">
        <x:v>https://it.wikipedia.org/wiki/Palazzo_Farnese_(Roma)</x:v>
      </x:c>
      <x:c r="Q33" s="22" t="str">
        <x:v>https://www.google.com/maps/search/?api=1&amp;query=41.8946528,12.4706818</x:v>
      </x:c>
      <x:c r="R33" s="28" t="n">
        <x:f>IF(A33=A32,ROUND(SQRT(POWER((I33-I32)*111000,2)+POWER((J33-J32)*111000*COS(RADIANS((I33+I32)/2)),2)),0),0)</x:f>
        <x:v>256</x:v>
      </x:c>
      <x:c r="S33" s="28" t="n">
        <x:f>ROUND(R33*'Kriterien'!$B$6,0)</x:f>
        <x:v>320</x:v>
      </x:c>
      <x:c r="T33" s="22" t="str">
        <x:v>V03-Punkt; Botschaftsgebäude: keine längere Gruppenblockade direkt vor dem Eingang; gegenüberstehenden Blickpunkt wählen.</x:v>
      </x:c>
      <x:c r="U33" s="22" t="str"/>
    </x:row>
    <x:row r="34" ht="58" customHeight="1">
      <x:c r="A34" s="22" t="str">
        <x:v>D1-Q12</x:v>
      </x:c>
      <x:c r="B34" s="22" t="str">
        <x:v>REGULAER</x:v>
      </x:c>
      <x:c r="C34" s="22" t="str">
        <x:v>DAY_1</x:v>
      </x:c>
      <x:c r="D34" s="22" t="n">
        <x:v>3</x:v>
      </x:c>
      <x:c r="E34" s="22" t="str">
        <x:v>place_day_1_campo_de_fiori</x:v>
      </x:c>
      <x:c r="F34" s="22" t="str">
        <x:v>Campo de' Fiori</x:v>
      </x:c>
      <x:c r="G34" s="22" t="str">
        <x:v>ZWISCHENSTATION</x:v>
      </x:c>
      <x:c r="H34" s="22" t="str">
        <x:v>D1_CAMPO_REGOLA_GHETTO</x:v>
      </x:c>
      <x:c r="I34" s="25" t="n">
        <x:v>41.8955725</x:v>
      </x:c>
      <x:c r="J34" s="25" t="n">
        <x:v>12.4721223</x:v>
      </x:c>
      <x:c r="K34" s="22" t="str">
        <x:v>GRUEN</x:v>
      </x:c>
      <x:c r="L34" s="22" t="str">
        <x:v>GRUEN_MIT_MARKTRISIKO</x:v>
      </x:c>
      <x:c r="M34" s="22" t="str">
        <x:v>Monumentale dunkle Bronzefigur; geschlossenes Buch direkt unter den gekreuzten Händen.</x:v>
      </x:c>
      <x:c r="N34" s="22" t="str">
        <x:v>Welchen Gegenstand hält Giordano Bruno unter seinen gekreuzten Händen?</x:v>
      </x:c>
      <x:c r="O34" s="22" t="str">
        <x:v>Ein geschlossenes Buch</x:v>
      </x:c>
      <x:c r="P34" s="22" t="str">
        <x:v>https://www.sovraintendenzaroma.it/i_luoghi/roma_medioevale_e_moderna/monumenti/monumento_a_giordano_bruno</x:v>
      </x:c>
      <x:c r="Q34" s="22" t="str">
        <x:v>https://www.google.com/maps/search/?api=1&amp;query=41.8955725,12.4721223</x:v>
      </x:c>
      <x:c r="R34" s="28" t="n">
        <x:f>IF(A34=A33,ROUND(SQRT(POWER((I34-I33)*111000,2)+POWER((J34-J33)*111000*COS(RADIANS((I34+I33)/2)),2)),0),0)</x:f>
        <x:v>157</x:v>
      </x:c>
      <x:c r="S34" s="28" t="n">
        <x:f>ROUND(R34*'Kriterien'!$B$6,0)</x:f>
        <x:v>196</x:v>
      </x:c>
      <x:c r="T34" s="22" t="str">
        <x:v>V03-Punkt; Am Vormittag kann der Markt die Sockelsicht einschränken; Aufgabe auf die große Figur beschränken.</x:v>
      </x:c>
      <x:c r="U34" s="22" t="str"/>
    </x:row>
    <x:row r="35" ht="58" customHeight="1">
      <x:c r="A35" s="22" t="str">
        <x:v>D1-Q12</x:v>
      </x:c>
      <x:c r="B35" s="22" t="str">
        <x:v>REGULAER</x:v>
      </x:c>
      <x:c r="C35" s="22" t="str">
        <x:v>DAY_1</x:v>
      </x:c>
      <x:c r="D35" s="22" t="n">
        <x:v>4</x:v>
      </x:c>
      <x:c r="E35" s="22" t="str">
        <x:v>place_day_1_largo_di_torre_argentina</x:v>
      </x:c>
      <x:c r="F35" s="22" t="str">
        <x:v>Largo di Torre Argentina</x:v>
      </x:c>
      <x:c r="G35" s="22" t="str">
        <x:v>ABSCHLUSS</x:v>
      </x:c>
      <x:c r="H35" s="22" t="str">
        <x:v>D1_CAMPO_REGOLA_GHETTO</x:v>
      </x:c>
      <x:c r="I35" s="25" t="n">
        <x:v>41.8953968</x:v>
      </x:c>
      <x:c r="J35" s="25" t="n">
        <x:v>12.4768864</x:v>
      </x:c>
      <x:c r="K35" s="22" t="str">
        <x:v>GELB</x:v>
      </x:c>
      <x:c r="L35" s="22" t="str">
        <x:v>GELB_ZAEHLPERSPEKTIVE</x:v>
      </x:c>
      <x:c r="M35" s="22" t="str">
        <x:v>Vier klar getrennte Tempelkomplexe im tiefer liegenden Areal.</x:v>
      </x:c>
      <x:c r="N35" s="22" t="str">
        <x:v>Wie viele republikanische Tempel sind im Areal zusammengefasst?</x:v>
      </x:c>
      <x:c r="O35" s="22" t="str">
        <x:v>Vier</x:v>
      </x:c>
      <x:c r="P35" s="22" t="str">
        <x:v>https://it.wikipedia.org/wiki/Largo_di_Torre_Argentina</x:v>
      </x:c>
      <x:c r="Q35" s="22" t="str">
        <x:v>https://www.google.com/maps/search/?api=1&amp;query=41.8953968,12.4768864</x:v>
      </x:c>
      <x:c r="R35" s="28" t="n">
        <x:f>IF(A35=A34,ROUND(SQRT(POWER((I35-I34)*111000,2)+POWER((J35-J34)*111000*COS(RADIANS((I35+I34)/2)),2)),0),0)</x:f>
        <x:v>394</x:v>
      </x:c>
      <x:c r="S35" s="28" t="n">
        <x:f>ROUND(R35*'Kriterien'!$B$6,0)</x:f>
        <x:v>493</x:v>
      </x:c>
      <x:c r="T35" s="22" t="str">
        <x:v>V03-Punkt; Trigger auf öffentlichen Gehweg legen; kein Betreten des inzwischen zugänglichen, aber zeitgebundenen Areals.</x:v>
      </x:c>
      <x:c r="U35" s="22" t="str"/>
    </x:row>
    <x:row r="36" ht="58" customHeight="1">
      <x:c r="A36" s="22" t="str">
        <x:v>D1-Q13</x:v>
      </x:c>
      <x:c r="B36" s="22" t="str">
        <x:v>REGULAER</x:v>
      </x:c>
      <x:c r="C36" s="22" t="str">
        <x:v>DAY_1</x:v>
      </x:c>
      <x:c r="D36" s="22" t="n">
        <x:v>1</x:v>
      </x:c>
      <x:c r="E36" s="22" t="str">
        <x:v>place_day_1_basilica_di_sant_andrea_della_valle</x:v>
      </x:c>
      <x:c r="F36" s="22" t="str">
        <x:v>Basilica di Sant'Andrea della Valle</x:v>
      </x:c>
      <x:c r="G36" s="22" t="str">
        <x:v>START / ERSTER HINWEIS</x:v>
      </x:c>
      <x:c r="H36" s="22" t="str">
        <x:v>D1_CAMPO_REGOLA_GHETTO</x:v>
      </x:c>
      <x:c r="I36" s="25" t="n">
        <x:v>41.8960034</x:v>
      </x:c>
      <x:c r="J36" s="25" t="n">
        <x:v>12.4743329</x:v>
      </x:c>
      <x:c r="K36" s="22" t="str">
        <x:v>GELB</x:v>
      </x:c>
      <x:c r="L36" s="22" t="str">
        <x:v>GELB_FASSADENSICHT</x:v>
      </x:c>
      <x:c r="M36" s="22" t="str">
        <x:v>Einzelne große Engelsfigur auf der linken Fassadenseite, wenn man vor der Kirche steht.</x:v>
      </x:c>
      <x:c r="N36" s="22" t="str">
        <x:v>Auf welcher Seite der Fassade sitzt die einzelne große Engelsfigur?</x:v>
      </x:c>
      <x:c r="O36" s="22" t="str">
        <x:v>Links</x:v>
      </x:c>
      <x:c r="P36" s="22" t="str">
        <x:v>https://it.wikipedia.org/wiki/Basilica_di_Sant'Andrea_della_Valle</x:v>
      </x:c>
      <x:c r="Q36" s="22" t="str">
        <x:v>https://www.google.com/maps/search/?api=1&amp;query=41.8960034,12.4743329</x:v>
      </x:c>
      <x:c r="R36" s="28" t="n">
        <x:f>IF(A36=A35,ROUND(SQRT(POWER((I36-I35)*111000,2)+POWER((J36-J35)*111000*COS(RADIANS((I36+I35)/2)),2)),0),0)</x:f>
        <x:v>0</x:v>
      </x:c>
      <x:c r="S36" s="28" t="n">
        <x:f>ROUND(R36*'Kriterien'!$B$6,0)</x:f>
        <x:v>0</x:v>
      </x:c>
      <x:c r="T36" s="22" t="str">
        <x:v>V03-Punkt; Nur Außenfassade; die Kuppelfresken und Innenkunst dürfen nicht Teil der Pflichtaufgabe sein.</x:v>
      </x:c>
      <x:c r="U36" s="22" t="str">
        <x:v>Custode delle Tartarughe</x:v>
      </x:c>
    </x:row>
    <x:row r="37" ht="58" customHeight="1">
      <x:c r="A37" s="22" t="str">
        <x:v>D1-Q13</x:v>
      </x:c>
      <x:c r="B37" s="22" t="str">
        <x:v>REGULAER</x:v>
      </x:c>
      <x:c r="C37" s="22" t="str">
        <x:v>DAY_1</x:v>
      </x:c>
      <x:c r="D37" s="22" t="n">
        <x:v>2</x:v>
      </x:c>
      <x:c r="E37" s="22" t="str">
        <x:v>place_day_1_fontana_delle_tartarughe</x:v>
      </x:c>
      <x:c r="F37" s="22" t="str">
        <x:v>Fontana delle Tartarughe</x:v>
      </x:c>
      <x:c r="G37" s="22" t="str">
        <x:v>ZWISCHENSTATION</x:v>
      </x:c>
      <x:c r="H37" s="22" t="str">
        <x:v>D1_TREVI_QUIRINALE</x:v>
      </x:c>
      <x:c r="I37" s="25" t="n">
        <x:v>41.893782</x:v>
      </x:c>
      <x:c r="J37" s="25" t="n">
        <x:v>12.477456</x:v>
      </x:c>
      <x:c r="K37" s="22" t="str">
        <x:v>GRUEN</x:v>
      </x:c>
      <x:c r="L37" s="22" t="str">
        <x:v>GRUEN_KONZEPTREIF</x:v>
      </x:c>
      <x:c r="M37" s="22" t="str">
        <x:v>Vier deutlich sichtbare Schildkröten am Rand des oberen Beckens.</x:v>
      </x:c>
      <x:c r="N37" s="22" t="str">
        <x:v>Wie viele Schildkröten klettern zum oberen Becken?</x:v>
      </x:c>
      <x:c r="O37" s="22" t="str">
        <x:v>Vier</x:v>
      </x:c>
      <x:c r="P37" s="22" t="str">
        <x:v>https://www.turismoroma.it/it/luoghi/fontana-delle-tartarughe</x:v>
      </x:c>
      <x:c r="Q37" s="22" t="str">
        <x:v>https://www.google.com/maps/search/?api=1&amp;query=41.893782,12.477456</x:v>
      </x:c>
      <x:c r="R37" s="28" t="n">
        <x:f>IF(A37=A36,ROUND(SQRT(POWER((I37-I36)*111000,2)+POWER((J37-J36)*111000*COS(RADIANS((I37+I36)/2)),2)),0),0)</x:f>
        <x:v>357</x:v>
      </x:c>
      <x:c r="S37" s="28" t="n">
        <x:f>ROUND(R37*'Kriterien'!$B$6,0)</x:f>
        <x:v>446</x:v>
      </x:c>
      <x:c r="T37" s="22" t="str">
        <x:v>Corrected an erroneous OSM-derived point to the official Turismo Roma coordinate in Piazza Mattei.; VISUAL_EVIDENCE_NOT_YET_VERIFIED</x:v>
      </x:c>
      <x:c r="U37" s="22" t="str">
        <x:v>Custode delle Tartarughe</x:v>
      </x:c>
    </x:row>
    <x:row r="38" ht="58" customHeight="1">
      <x:c r="A38" s="22" t="str">
        <x:v>D1-Q13</x:v>
      </x:c>
      <x:c r="B38" s="22" t="str">
        <x:v>REGULAER</x:v>
      </x:c>
      <x:c r="C38" s="22" t="str">
        <x:v>DAY_1</x:v>
      </x:c>
      <x:c r="D38" s="22" t="n">
        <x:v>3</x:v>
      </x:c>
      <x:c r="E38" s="22" t="str">
        <x:v>place_day_1_teatro_di_marcello</x:v>
      </x:c>
      <x:c r="F38" s="22" t="str">
        <x:v>Marcellustheater</x:v>
      </x:c>
      <x:c r="G38" s="22" t="str">
        <x:v>ABSCHLUSS</x:v>
      </x:c>
      <x:c r="H38" s="22" t="str">
        <x:v>D1_CAMPO_REGOLA_GHETTO</x:v>
      </x:c>
      <x:c r="I38" s="25" t="n">
        <x:v>41.892202</x:v>
      </x:c>
      <x:c r="J38" s="25" t="n">
        <x:v>12.479938</x:v>
      </x:c>
      <x:c r="K38" s="22" t="str">
        <x:v>GRUEN</x:v>
      </x:c>
      <x:c r="L38" s="22" t="str">
        <x:v>GRUEN_AUSSENPUNKT</x:v>
      </x:c>
      <x:c r="M38" s="22" t="str">
        <x:v>Zwei übereinanderliegende antike Arkadenebenen unter einem späteren Wohnpalast.</x:v>
      </x:c>
      <x:c r="N38" s="22" t="str">
        <x:v>Wie viele übereinanderliegende antike Arkadengeschosse sind von außen klar sichtbar?</x:v>
      </x:c>
      <x:c r="O38" s="22" t="str">
        <x:v>Zwei</x:v>
      </x:c>
      <x:c r="P38" s="22" t="str">
        <x:v>https://www.turismoroma.it/it/luoghi/teatro-di-marcello</x:v>
      </x:c>
      <x:c r="Q38" s="22" t="str">
        <x:v>https://www.google.com/maps/search/?api=1&amp;query=41.892202,12.479938</x:v>
      </x:c>
      <x:c r="R38" s="28" t="n">
        <x:f>IF(A38=A37,ROUND(SQRT(POWER((I38-I37)*111000,2)+POWER((J38-J37)*111000*COS(RADIANS((I38+I37)/2)),2)),0),0)</x:f>
        <x:v>270</x:v>
      </x:c>
      <x:c r="S38" s="28" t="n">
        <x:f>ROUND(R38*'Kriterien'!$B$6,0)</x:f>
        <x:v>338</x:v>
      </x:c>
      <x:c r="T38" s="22" t="str">
        <x:v>V03-Punkt; Offizieller Fußweg erlaubt Außenbesichtigung; Medienquest-Pickup ohne Zugang zu Innenräumen.</x:v>
      </x:c>
      <x:c r="U38" s="22" t="str">
        <x:v>Custode delle Tartarughe</x:v>
      </x:c>
    </x:row>
    <x:row r="39" ht="58" customHeight="1">
      <x:c r="A39" s="22" t="str">
        <x:v>D1-Q14</x:v>
      </x:c>
      <x:c r="B39" s="22" t="str">
        <x:v>REGULAER</x:v>
      </x:c>
      <x:c r="C39" s="22" t="str">
        <x:v>DAY_1</x:v>
      </x:c>
      <x:c r="D39" s="22" t="n">
        <x:v>1</x:v>
      </x:c>
      <x:c r="E39" s="22" t="str">
        <x:v>place_day_1_isola_tiberina</x:v>
      </x:c>
      <x:c r="F39" s="22" t="str">
        <x:v>Isola Tiberina</x:v>
      </x:c>
      <x:c r="G39" s="22" t="str">
        <x:v>START / ERSTER HINWEIS</x:v>
      </x:c>
      <x:c r="H39" s="22" t="str">
        <x:v>D1_CAMPO_REGOLA_GHETTO</x:v>
      </x:c>
      <x:c r="I39" s="25" t="n">
        <x:v>41.8896365</x:v>
      </x:c>
      <x:c r="J39" s="25" t="n">
        <x:v>12.4792342</x:v>
      </x:c>
      <x:c r="K39" s="22" t="str">
        <x:v>GELB</x:v>
      </x:c>
      <x:c r="L39" s="22" t="str">
        <x:v>GELB_SICHTWINKEL</x:v>
      </x:c>
      <x:c r="M39" s="22" t="str">
        <x:v>Travertinreste einer Schiffsspitze und Asklepios-Relief am östlichen Inselende.</x:v>
      </x:c>
      <x:c r="N39" s="22" t="str">
        <x:v>Welche Form ahmt die antike Travertinverkleidung an der Inselspitze nach?</x:v>
      </x:c>
      <x:c r="O39" s="22" t="str">
        <x:v>Den Bug eines Schiffes</x:v>
      </x:c>
      <x:c r="P39" s="22" t="str">
        <x:v>https://www.openstreetmap.org/node/4798313727</x:v>
      </x:c>
      <x:c r="Q39" s="22" t="str">
        <x:v>https://www.google.com/maps/search/?api=1&amp;query=41.8896365,12.4792342</x:v>
      </x:c>
      <x:c r="R39" s="28" t="n">
        <x:f>IF(A39=A38,ROUND(SQRT(POWER((I39-I38)*111000,2)+POWER((J39-J38)*111000*COS(RADIANS((I39+I38)/2)),2)),0),0)</x:f>
        <x:v>0</x:v>
      </x:c>
      <x:c r="S39" s="28" t="n">
        <x:f>ROUND(R39*'Kriterien'!$B$6,0)</x:f>
        <x:v>0</x:v>
      </x:c>
      <x:c r="T39" s="22" t="str">
        <x:v>V03-Punkt; Nur verwenden, wenn der genaue öffentliche Blickpunkt und die freie Sicht auf die Travertinreste bestätigt sind.</x:v>
      </x:c>
      <x:c r="U39" s="22" t="str"/>
    </x:row>
    <x:row r="40" ht="58" customHeight="1">
      <x:c r="A40" s="22" t="str">
        <x:v>D1-Q15</x:v>
      </x:c>
      <x:c r="B40" s="22" t="str">
        <x:v>REGULAER</x:v>
      </x:c>
      <x:c r="C40" s="22" t="str">
        <x:v>DAY_1</x:v>
      </x:c>
      <x:c r="D40" s="22" t="n">
        <x:v>1</x:v>
      </x:c>
      <x:c r="E40" s="22" t="str">
        <x:v>place_day_1_basilica_di_santa_cecilia_in_trastevere</x:v>
      </x:c>
      <x:c r="F40" s="22" t="str">
        <x:v>Basilica di Santa Cecilia in Trastevere</x:v>
      </x:c>
      <x:c r="G40" s="22" t="str">
        <x:v>START / ERSTER HINWEIS</x:v>
      </x:c>
      <x:c r="H40" s="22" t="str">
        <x:v>D1_TRASTEVERE_TIBER_ISLAND</x:v>
      </x:c>
      <x:c r="I40" s="25" t="n">
        <x:v>41.8875608</x:v>
      </x:c>
      <x:c r="J40" s="25" t="n">
        <x:v>12.4758567</x:v>
      </x:c>
      <x:c r="K40" s="22" t="str">
        <x:v>GELB</x:v>
      </x:c>
      <x:c r="L40" s="22" t="str">
        <x:v>GELB_KLASSENANKER_OHNE_INNENHOF</x:v>
      </x:c>
      <x:c r="M40" s="22" t="str">
        <x:v>Kirchenname und Widmung am äußeren Zugang; Innenhofbrunnen nur optional, weil der Hof zeitabhängig sein kann.</x:v>
      </x:c>
      <x:c r="N40" s="22" t="str">
        <x:v>Welche Kunst wird traditionell von der hier verehrten heiligen Cecilia beschützt?</x:v>
      </x:c>
      <x:c r="O40" s="22" t="str">
        <x:v>Die Musik</x:v>
      </x:c>
      <x:c r="P40" s="22" t="str">
        <x:v>https://it.wikipedia.org/wiki/Basilica_di_Santa_Cecilia_in_Trastevere</x:v>
      </x:c>
      <x:c r="Q40" s="22" t="str">
        <x:v>https://www.google.com/maps/search/?api=1&amp;query=41.8875608,12.4758567</x:v>
      </x:c>
      <x:c r="R40" s="28" t="n">
        <x:f>IF(A40=A39,ROUND(SQRT(POWER((I40-I39)*111000,2)+POWER((J40-J39)*111000*COS(RADIANS((I40+I39)/2)),2)),0),0)</x:f>
        <x:v>0</x:v>
      </x:c>
      <x:c r="S40" s="28" t="n">
        <x:f>ROUND(R40*'Kriterien'!$B$6,0)</x:f>
        <x:v>0</x:v>
      </x:c>
      <x:c r="T40" s="22" t="str">
        <x:v>V03-Punkt; Für die Kleriker-Klassengeschichte nur Außenpunkt vor dem Tor nutzen; der vorhandene Punkt im Hof ist zu versetzen.</x:v>
      </x:c>
      <x:c r="U40" s="22" t="str"/>
    </x:row>
    <x:row r="41" ht="58" customHeight="1">
      <x:c r="A41" s="22" t="str">
        <x:v>D1-Q15</x:v>
      </x:c>
      <x:c r="B41" s="22" t="str">
        <x:v>REGULAER</x:v>
      </x:c>
      <x:c r="C41" s="22" t="str">
        <x:v>DAY_1</x:v>
      </x:c>
      <x:c r="D41" s="22" t="n">
        <x:v>2</x:v>
      </x:c>
      <x:c r="E41" s="22" t="str">
        <x:v>place_day_1_basilica_di_santa_maria_in_trastevere</x:v>
      </x:c>
      <x:c r="F41" s="22" t="str">
        <x:v>Santa Maria in Trastevere</x:v>
      </x:c>
      <x:c r="G41" s="22" t="str">
        <x:v>ABSCHLUSS</x:v>
      </x:c>
      <x:c r="H41" s="22" t="str">
        <x:v>D1_TRASTEVERE_TIBER_ISLAND</x:v>
      </x:c>
      <x:c r="I41" s="25" t="n">
        <x:v>41.8894264</x:v>
      </x:c>
      <x:c r="J41" s="25" t="n">
        <x:v>12.4694941</x:v>
      </x:c>
      <x:c r="K41" s="22" t="str">
        <x:v>GRUEN</x:v>
      </x:c>
      <x:c r="L41" s="22" t="str">
        <x:v>GRUEN_AUSSENPUNKT</x:v>
      </x:c>
      <x:c r="M41" s="22" t="str">
        <x:v>Großes goldenes Mosaik hoch an der Fassade; vom Platz sichtbar.</x:v>
      </x:c>
      <x:c r="N41" s="22" t="str">
        <x:v>Welche zwei Hauptfiguren sitzen im Zentrum des großen Fassadenmosaiks?</x:v>
      </x:c>
      <x:c r="O41" s="22" t="str">
        <x:v>Maria und Christus</x:v>
      </x:c>
      <x:c r="P41" s="22" t="str">
        <x:v>https://it.wikipedia.org/wiki/Basilica_di_Santa_Maria_in_Trastevere</x:v>
      </x:c>
      <x:c r="Q41" s="22" t="str">
        <x:v>https://www.google.com/maps/search/?api=1&amp;query=41.8894264,12.4694941</x:v>
      </x:c>
      <x:c r="R41" s="28" t="n">
        <x:f>IF(A41=A40,ROUND(SQRT(POWER((I41-I40)*111000,2)+POWER((J41-J40)*111000*COS(RADIANS((I41+I40)/2)),2)),0),0)</x:f>
        <x:v>565</x:v>
      </x:c>
      <x:c r="S41" s="28" t="n">
        <x:f>ROUND(R41*'Kriterien'!$B$6,0)</x:f>
        <x:v>706</x:v>
      </x:c>
      <x:c r="T41" s="22" t="str">
        <x:v>V03-Punkt; VISUAL_EVIDENCE_NOT_YET_VERIFIED|EXTERIOR_VANTAGE_POINT_REQUIRED|INTERIOR_AND_OPENING_HOURS_MUST_NOT_BE_REQUIRED|CROWDING_RISK</x:v>
      </x:c>
      <x:c r="U41" s="22" t="str"/>
    </x:row>
    <x:row r="42" ht="58" customHeight="1">
      <x:c r="A42" s="22" t="str">
        <x:v>D1-Q16</x:v>
      </x:c>
      <x:c r="B42" s="22" t="str">
        <x:v>REGULAER</x:v>
      </x:c>
      <x:c r="C42" s="22" t="str">
        <x:v>DAY_1</x:v>
      </x:c>
      <x:c r="D42" s="22" t="n">
        <x:v>1</x:v>
      </x:c>
      <x:c r="E42" s="22" t="str">
        <x:v>place_day_1_mura_gianicolensi_2</x:v>
      </x:c>
      <x:c r="F42" s="22" t="str">
        <x:v>Gianicolense-Mauern</x:v>
      </x:c>
      <x:c r="G42" s="22" t="str">
        <x:v>START / ERSTER HINWEIS</x:v>
      </x:c>
      <x:c r="H42" s="22" t="str">
        <x:v>D1_GIANICOLO</x:v>
      </x:c>
      <x:c r="I42" s="25" t="n">
        <x:v>41.8869765</x:v>
      </x:c>
      <x:c r="J42" s="25" t="n">
        <x:v>12.4616301</x:v>
      </x:c>
      <x:c r="K42" s="22" t="str">
        <x:v>GRUEN</x:v>
      </x:c>
      <x:c r="L42" s="22" t="str">
        <x:v>GRUEN_MIT_GEWEGPUNKT</x:v>
      </x:c>
      <x:c r="M42" s="22" t="str">
        <x:v>Langer massiver Mauerabschnitt mit Schieß- und Verteidigungsformen.</x:v>
      </x:c>
      <x:c r="N42" s="22" t="str">
        <x:v>Aus welchem Material besteht der sichtbare Hauptkörper der Mauer überwiegend?</x:v>
      </x:c>
      <x:c r="O42" s="22" t="str">
        <x:v>Aus Ziegelmauerwerk</x:v>
      </x:c>
      <x:c r="P42" s="22" t="str">
        <x:v>https://turismoroma.it/es/node/31555</x:v>
      </x:c>
      <x:c r="Q42" s="22" t="str">
        <x:v>https://www.google.com/maps/search/?api=1&amp;query=41.8869765,12.4616301</x:v>
      </x:c>
      <x:c r="R42" s="28" t="n">
        <x:f>IF(A42=A41,ROUND(SQRT(POWER((I42-I41)*111000,2)+POWER((J42-J41)*111000*COS(RADIANS((I42+I41)/2)),2)),0),0)</x:f>
        <x:v>0</x:v>
      </x:c>
      <x:c r="S42" s="28" t="n">
        <x:f>ROUND(R42*'Kriterien'!$B$6,0)</x:f>
        <x:v>0</x:v>
      </x:c>
      <x:c r="T42" s="22" t="str">
        <x:v>V03-Punkt; VISUAL_EVIDENCE_NOT_YET_VERIFIED</x:v>
      </x:c>
      <x:c r="U42" s="22" t="str">
        <x:v>Garibaldino delle Mura</x:v>
      </x:c>
    </x:row>
    <x:row r="43" ht="58" customHeight="1">
      <x:c r="A43" s="22" t="str">
        <x:v>D1-Q16</x:v>
      </x:c>
      <x:c r="B43" s="22" t="str">
        <x:v>REGULAER</x:v>
      </x:c>
      <x:c r="C43" s="22" t="str">
        <x:v>DAY_1</x:v>
      </x:c>
      <x:c r="D43" s="22" t="n">
        <x:v>2</x:v>
      </x:c>
      <x:c r="E43" s="22" t="str">
        <x:v>place_day_1_mausoleo_ossario_garibaldino</x:v>
      </x:c>
      <x:c r="F43" s="22" t="str">
        <x:v>Mausoleo Ossario Garibaldino</x:v>
      </x:c>
      <x:c r="G43" s="22" t="str">
        <x:v>ZWISCHENSTATION</x:v>
      </x:c>
      <x:c r="H43" s="22" t="str">
        <x:v>D1_TRASTEVERE_TIBER_ISLAND</x:v>
      </x:c>
      <x:c r="I43" s="25" t="n">
        <x:v>41.8881928</x:v>
      </x:c>
      <x:c r="J43" s="25" t="n">
        <x:v>12.4656132</x:v>
      </x:c>
      <x:c r="K43" s="22" t="str">
        <x:v>GRUEN</x:v>
      </x:c>
      <x:c r="L43" s="22" t="str">
        <x:v>GRUEN_KONZEPTREIF</x:v>
      </x:c>
      <x:c r="M43" s="22" t="str">
        <x:v>Symmetrischer Zentralbau mit vier großen offenen Bögen.</x:v>
      </x:c>
      <x:c r="N43" s="22" t="str">
        <x:v>Wie viele offene Bogenfronten umgeben den zentralen Teil des Ossariums?</x:v>
      </x:c>
      <x:c r="O43" s="22" t="str">
        <x:v>Vier</x:v>
      </x:c>
      <x:c r="P43" s="22" t="str">
        <x:v>https://it.wikipedia.org/wiki/Mausoleo_Ossario_Garibaldino</x:v>
      </x:c>
      <x:c r="Q43" s="22" t="str">
        <x:v>https://www.google.com/maps/search/?api=1&amp;query=41.8881928,12.4656132</x:v>
      </x:c>
      <x:c r="R43" s="28" t="n">
        <x:f>IF(A43=A42,ROUND(SQRT(POWER((I43-I42)*111000,2)+POWER((J43-J42)*111000*COS(RADIANS((I43+I42)/2)),2)),0),0)</x:f>
        <x:v>356</x:v>
      </x:c>
      <x:c r="S43" s="28" t="n">
        <x:f>ROUND(R43*'Kriterien'!$B$6,0)</x:f>
        <x:v>445</x:v>
      </x:c>
      <x:c r="T43" s="22" t="str">
        <x:v>V03-Punkt; VISUAL_EVIDENCE_NOT_YET_VERIFIED</x:v>
      </x:c>
      <x:c r="U43" s="22" t="str">
        <x:v>Garibaldino delle Mura</x:v>
      </x:c>
    </x:row>
    <x:row r="44" ht="58" customHeight="1">
      <x:c r="A44" s="22" t="str">
        <x:v>D1-Q16</x:v>
      </x:c>
      <x:c r="B44" s="22" t="str">
        <x:v>REGULAER</x:v>
      </x:c>
      <x:c r="C44" s="22" t="str">
        <x:v>DAY_1</x:v>
      </x:c>
      <x:c r="D44" s="22" t="n">
        <x:v>3</x:v>
      </x:c>
      <x:c r="E44" s="22" t="str">
        <x:v>place_day_1_fontana_dell_acqua_paola</x:v>
      </x:c>
      <x:c r="F44" s="22" t="str">
        <x:v>Fontana Dell'Acqua Paola</x:v>
      </x:c>
      <x:c r="G44" s="22" t="str">
        <x:v>ZWISCHENSTATION</x:v>
      </x:c>
      <x:c r="H44" s="22" t="str">
        <x:v>D1_GIANICOLO</x:v>
      </x:c>
      <x:c r="I44" s="25" t="n">
        <x:v>41.8888192</x:v>
      </x:c>
      <x:c r="J44" s="25" t="n">
        <x:v>12.4642423</x:v>
      </x:c>
      <x:c r="K44" s="22" t="str">
        <x:v>GRUEN</x:v>
      </x:c>
      <x:c r="L44" s="22" t="str">
        <x:v>GRUEN_KONZEPTREIF</x:v>
      </x:c>
      <x:c r="M44" s="22" t="str">
        <x:v>Fünf weithin sichtbare Bogenfelder in der Hauptfassade.</x:v>
      </x:c>
      <x:c r="N44" s="22" t="str">
        <x:v>Wie viele große Bogenöffnungen gliedern die Hauptfassade?</x:v>
      </x:c>
      <x:c r="O44" s="22" t="str">
        <x:v>Fünf</x:v>
      </x:c>
      <x:c r="P44" s="22" t="str">
        <x:v>https://it.wikipedia.org/wiki/Fontana_dell'Acqua_Paola</x:v>
      </x:c>
      <x:c r="Q44" s="22" t="str">
        <x:v>https://www.google.com/maps/search/?api=1&amp;query=41.8888192,12.4642423</x:v>
      </x:c>
      <x:c r="R44" s="28" t="n">
        <x:f>IF(A44=A43,ROUND(SQRT(POWER((I44-I43)*111000,2)+POWER((J44-J43)*111000*COS(RADIANS((I44+I43)/2)),2)),0),0)</x:f>
        <x:v>133</x:v>
      </x:c>
      <x:c r="S44" s="28" t="n">
        <x:f>ROUND(R44*'Kriterien'!$B$6,0)</x:f>
        <x:v>166</x:v>
      </x:c>
      <x:c r="T44" s="22" t="str">
        <x:v>V03-Punkt; VISUAL_EVIDENCE_NOT_YET_VERIFIED|CROWDING_RISK</x:v>
      </x:c>
      <x:c r="U44" s="22" t="str">
        <x:v>Garibaldino delle Mura</x:v>
      </x:c>
    </x:row>
    <x:row r="45" ht="58" customHeight="1">
      <x:c r="A45" s="22" t="str">
        <x:v>D1-Q16</x:v>
      </x:c>
      <x:c r="B45" s="22" t="str">
        <x:v>REGULAER</x:v>
      </x:c>
      <x:c r="C45" s="22" t="str">
        <x:v>DAY_1</x:v>
      </x:c>
      <x:c r="D45" s="22" t="n">
        <x:v>4</x:v>
      </x:c>
      <x:c r="E45" s="22" t="str">
        <x:v>place_day_1_monumento_a_garibaldi</x:v>
      </x:c>
      <x:c r="F45" s="22" t="str">
        <x:v>Monumento a Garibaldi</x:v>
      </x:c>
      <x:c r="G45" s="22" t="str">
        <x:v>ZWISCHENSTATION</x:v>
      </x:c>
      <x:c r="H45" s="22" t="str">
        <x:v>D1_GIANICOLO</x:v>
      </x:c>
      <x:c r="I45" s="25" t="n">
        <x:v>41.8914637</x:v>
      </x:c>
      <x:c r="J45" s="25" t="n">
        <x:v>12.4607686</x:v>
      </x:c>
      <x:c r="K45" s="22" t="str">
        <x:v>GRUEN</x:v>
      </x:c>
      <x:c r="L45" s="22" t="str">
        <x:v>GRUEN_KONZEPTREIF</x:v>
      </x:c>
      <x:c r="M45" s="22" t="str">
        <x:v>Große Reiterfigur auf hohem Sockel.</x:v>
      </x:c>
      <x:c r="N45" s="22" t="str">
        <x:v>Auf welchem Tier sitzt Giuseppe Garibaldi?</x:v>
      </x:c>
      <x:c r="O45" s="22" t="str">
        <x:v>Auf einem Pferd</x:v>
      </x:c>
      <x:c r="P45" s="22" t="str">
        <x:v>https://it.wikipedia.org/wiki/Monumento_a_Giuseppe_Garibaldi_(Roma)</x:v>
      </x:c>
      <x:c r="Q45" s="22" t="str">
        <x:v>https://www.google.com/maps/search/?api=1&amp;query=41.8914637,12.4607686</x:v>
      </x:c>
      <x:c r="R45" s="28" t="n">
        <x:f>IF(A45=A44,ROUND(SQRT(POWER((I45-I44)*111000,2)+POWER((J45-J44)*111000*COS(RADIANS((I45+I44)/2)),2)),0),0)</x:f>
        <x:v>411</x:v>
      </x:c>
      <x:c r="S45" s="28" t="n">
        <x:f>ROUND(R45*'Kriterien'!$B$6,0)</x:f>
        <x:v>514</x:v>
      </x:c>
      <x:c r="T45" s="22" t="str">
        <x:v>V03-Punkt; VISUAL_EVIDENCE_NOT_YET_VERIFIED</x:v>
      </x:c>
      <x:c r="U45" s="22" t="str">
        <x:v>Garibaldino delle Mura</x:v>
      </x:c>
    </x:row>
    <x:row r="46" ht="58" customHeight="1">
      <x:c r="A46" s="22" t="str">
        <x:v>D1-Q16</x:v>
      </x:c>
      <x:c r="B46" s="22" t="str">
        <x:v>REGULAER</x:v>
      </x:c>
      <x:c r="C46" s="22" t="str">
        <x:v>DAY_1</x:v>
      </x:c>
      <x:c r="D46" s="22" t="n">
        <x:v>5</x:v>
      </x:c>
      <x:c r="E46" s="22" t="str">
        <x:v>place_day_1_monumento_ad_anita_garibaldi</x:v>
      </x:c>
      <x:c r="F46" s="22" t="str">
        <x:v>Monumento ad Anita Garibaldi</x:v>
      </x:c>
      <x:c r="G46" s="22" t="str">
        <x:v>ABSCHLUSS</x:v>
      </x:c>
      <x:c r="H46" s="22" t="str">
        <x:v>D1_GIANICOLO</x:v>
      </x:c>
      <x:c r="I46" s="25" t="n">
        <x:v>41.8934109</x:v>
      </x:c>
      <x:c r="J46" s="25" t="n">
        <x:v>12.460117</x:v>
      </x:c>
      <x:c r="K46" s="22" t="str">
        <x:v>GRUEN</x:v>
      </x:c>
      <x:c r="L46" s="22" t="str">
        <x:v>GRUEN_KONZEPTREIF</x:v>
      </x:c>
      <x:c r="M46" s="22" t="str">
        <x:v>Große Reiterfigur mit deutlich erhobener Handwaffe.</x:v>
      </x:c>
      <x:c r="N46" s="22" t="str">
        <x:v>Welche Waffe hält Anita Garibaldi in der erhobenen Hand?</x:v>
      </x:c>
      <x:c r="O46" s="22" t="str">
        <x:v>Eine Pistole</x:v>
      </x:c>
      <x:c r="P46" s="22" t="str">
        <x:v>https://it.wikipedia.org/wiki/Monumento_ad_Anita_Garibaldi</x:v>
      </x:c>
      <x:c r="Q46" s="22" t="str">
        <x:v>https://www.google.com/maps/search/?api=1&amp;query=41.8934109,12.460117</x:v>
      </x:c>
      <x:c r="R46" s="28" t="n">
        <x:f>IF(A46=A45,ROUND(SQRT(POWER((I46-I45)*111000,2)+POWER((J46-J45)*111000*COS(RADIANS((I46+I45)/2)),2)),0),0)</x:f>
        <x:v>223</x:v>
      </x:c>
      <x:c r="S46" s="28" t="n">
        <x:f>ROUND(R46*'Kriterien'!$B$6,0)</x:f>
        <x:v>279</x:v>
      </x:c>
      <x:c r="T46" s="22" t="str">
        <x:v>V03-Punkt; VISUAL_EVIDENCE_NOT_YET_VERIFIED</x:v>
      </x:c>
      <x:c r="U46" s="22" t="str">
        <x:v>Garibaldino delle Mura</x:v>
      </x:c>
    </x:row>
    <x:row r="47" ht="58" customHeight="1">
      <x:c r="A47" s="22" t="str">
        <x:v>D2-Q01</x:v>
      </x:c>
      <x:c r="B47" s="22" t="str">
        <x:v>REGULAER</x:v>
      </x:c>
      <x:c r="C47" s="22" t="str">
        <x:v>DAY_2</x:v>
      </x:c>
      <x:c r="D47" s="22" t="n">
        <x:v>1</x:v>
      </x:c>
      <x:c r="E47" s="22" t="str">
        <x:v>place_day_2_piazza_del_campidoglio</x:v>
      </x:c>
      <x:c r="F47" s="22" t="str">
        <x:v>Kapitolsplatz</x:v>
      </x:c>
      <x:c r="G47" s="22" t="str">
        <x:v>START / ERSTER HINWEIS</x:v>
      </x:c>
      <x:c r="H47" s="22" t="str">
        <x:v>D2_CAMPIDOGLIO_FORI_TRAIANEI</x:v>
      </x:c>
      <x:c r="I47" s="25" t="n">
        <x:v>41.8932288</x:v>
      </x:c>
      <x:c r="J47" s="25" t="n">
        <x:v>12.4829654</x:v>
      </x:c>
      <x:c r="K47" s="22" t="str">
        <x:v>GRUEN</x:v>
      </x:c>
      <x:c r="L47" s="22" t="str">
        <x:v>GRUEN_KONZEPTREIF</x:v>
      </x:c>
      <x:c r="M47" s="22" t="str">
        <x:v>Großes hell-dunkles Sternoval im Pflaster um die Reiterstatue.</x:v>
      </x:c>
      <x:c r="N47" s="22" t="str">
        <x:v>Welches geometrische Motiv prägt das Pflaster rund um die Reiterstatue?</x:v>
      </x:c>
      <x:c r="O47" s="22" t="str">
        <x:v>Ein Stern in einem Oval</x:v>
      </x:c>
      <x:c r="P47" s="22" t="str">
        <x:v>https://it.wikipedia.org/wiki/Piazza_del_Campidoglio</x:v>
      </x:c>
      <x:c r="Q47" s="22" t="str">
        <x:v>https://www.google.com/maps/search/?api=1&amp;query=41.8932288,12.4829654</x:v>
      </x:c>
      <x:c r="R47" s="28" t="n">
        <x:f>IF(A47=A46,ROUND(SQRT(POWER((I47-I46)*111000,2)+POWER((J47-J46)*111000*COS(RADIANS((I47+I46)/2)),2)),0),0)</x:f>
        <x:v>0</x:v>
      </x:c>
      <x:c r="S47" s="28" t="n">
        <x:f>ROUND(R47*'Kriterien'!$B$6,0)</x:f>
        <x:v>0</x:v>
      </x:c>
      <x:c r="T47" s="22" t="str">
        <x:v>V03-Punkt; VISUAL_EVIDENCE_NOT_YET_VERIFIED|CROWDING_RISK</x:v>
      </x:c>
      <x:c r="U47" s="22" t="str"/>
    </x:row>
    <x:row r="48" ht="58" customHeight="1">
      <x:c r="A48" s="22" t="str">
        <x:v>D2-Q01</x:v>
      </x:c>
      <x:c r="B48" s="22" t="str">
        <x:v>REGULAER</x:v>
      </x:c>
      <x:c r="C48" s="22" t="str">
        <x:v>DAY_2</x:v>
      </x:c>
      <x:c r="D48" s="22" t="n">
        <x:v>2</x:v>
      </x:c>
      <x:c r="E48" s="22" t="str">
        <x:v>place_day_2_giulio_cesare</x:v>
      </x:c>
      <x:c r="F48" s="22" t="str">
        <x:v>Giulio Cesare</x:v>
      </x:c>
      <x:c r="G48" s="22" t="str">
        <x:v>ABSCHLUSS</x:v>
      </x:c>
      <x:c r="H48" s="22" t="str">
        <x:v>D2_CAMPIDOGLIO_FORI_TRAIANEI</x:v>
      </x:c>
      <x:c r="I48" s="25" t="n">
        <x:v>41.8939965</x:v>
      </x:c>
      <x:c r="J48" s="25" t="n">
        <x:v>12.4853829</x:v>
      </x:c>
      <x:c r="K48" s="22" t="str">
        <x:v>GELB</x:v>
      </x:c>
      <x:c r="L48" s="22" t="str">
        <x:v>GELB_QUELLENLAGE</x:v>
      </x:c>
      <x:c r="M48" s="22" t="str">
        <x:v>Lebensgroße Bronze mit deutlich sichtbarer Schriftrolle in der linken Hand.</x:v>
      </x:c>
      <x:c r="N48" s="22" t="str">
        <x:v>Welchen Gegenstand hält Caesar in der linken Hand?</x:v>
      </x:c>
      <x:c r="O48" s="22" t="str">
        <x:v>Eine Schriftrolle</x:v>
      </x:c>
      <x:c r="P48" s="22" t="str">
        <x:v>https://www.openstreetmap.org/node/7239169954</x:v>
      </x:c>
      <x:c r="Q48" s="22" t="str">
        <x:v>https://www.google.com/maps/search/?api=1&amp;query=41.8939965,12.4853829</x:v>
      </x:c>
      <x:c r="R48" s="28" t="n">
        <x:f>IF(A48=A47,ROUND(SQRT(POWER((I48-I47)*111000,2)+POWER((J48-J47)*111000*COS(RADIANS((I48+I47)/2)),2)),0),0)</x:f>
        <x:v>217</x:v>
      </x:c>
      <x:c r="S48" s="28" t="n">
        <x:f>ROUND(R48*'Kriterien'!$B$6,0)</x:f>
        <x:v>271</x:v>
      </x:c>
      <x:c r="T48" s="22" t="str">
        <x:v>V03-Punkt; Für die konkrete moderne Statue ist zusätzlich ein kommunaler Inventareintrag wünschenswert.</x:v>
      </x:c>
      <x:c r="U48" s="22" t="str"/>
    </x:row>
    <x:row r="49" ht="58" customHeight="1">
      <x:c r="A49" s="22" t="str">
        <x:v>D2-Q02</x:v>
      </x:c>
      <x:c r="B49" s="22" t="str">
        <x:v>REGULAER</x:v>
      </x:c>
      <x:c r="C49" s="22" t="str">
        <x:v>DAY_2</x:v>
      </x:c>
      <x:c r="D49" s="22" t="n">
        <x:v>1</x:v>
      </x:c>
      <x:c r="E49" s="22" t="str">
        <x:v>place_day_2_altare_della_patria</x:v>
      </x:c>
      <x:c r="F49" s="22" t="str">
        <x:v>Nationaldenkmal für Viktor Emanuel II.</x:v>
      </x:c>
      <x:c r="G49" s="22" t="str">
        <x:v>START / ERSTER HINWEIS</x:v>
      </x:c>
      <x:c r="H49" s="22" t="str">
        <x:v>D2_CAMPIDOGLIO_FORI_TRAIANEI</x:v>
      </x:c>
      <x:c r="I49" s="25" t="n">
        <x:v>41.8947045</x:v>
      </x:c>
      <x:c r="J49" s="25" t="n">
        <x:v>12.4831835</x:v>
      </x:c>
      <x:c r="K49" s="22" t="str">
        <x:v>GRUEN</x:v>
      </x:c>
      <x:c r="L49" s="22" t="str">
        <x:v>GRUEN_MENSCHENMENGE</x:v>
      </x:c>
      <x:c r="M49" s="22" t="str">
        <x:v>Zwei monumentale Quadrigen auf den oberen Enden des Bauwerks.</x:v>
      </x:c>
      <x:c r="N49" s="22" t="str">
        <x:v>Wie viele große Quadrigen stehen auf den beiden oberen Enden des Nationaldenkmals?</x:v>
      </x:c>
      <x:c r="O49" s="22" t="str">
        <x:v>Zwei</x:v>
      </x:c>
      <x:c r="P49" s="22" t="str">
        <x:v>https://vive.cultura.gov.it/</x:v>
      </x:c>
      <x:c r="Q49" s="22" t="str">
        <x:v>https://www.google.com/maps/search/?api=1&amp;query=41.8947045,12.4831835</x:v>
      </x:c>
      <x:c r="R49" s="28" t="n">
        <x:f>IF(A49=A48,ROUND(SQRT(POWER((I49-I48)*111000,2)+POWER((J49-J48)*111000*COS(RADIANS((I49+I48)/2)),2)),0),0)</x:f>
        <x:v>0</x:v>
      </x:c>
      <x:c r="S49" s="28" t="n">
        <x:f>ROUND(R49*'Kriterien'!$B$6,0)</x:f>
        <x:v>0</x:v>
      </x:c>
      <x:c r="T49" s="22" t="str">
        <x:v>V03-Punkt; Nur Außenansicht; keine Terrasse oder Museumseintritt verlangen.</x:v>
      </x:c>
      <x:c r="U49" s="22" t="str"/>
    </x:row>
    <x:row r="50" ht="58" customHeight="1">
      <x:c r="A50" s="22" t="str">
        <x:v>D2-Q03</x:v>
      </x:c>
      <x:c r="B50" s="22" t="str">
        <x:v>REGULAER</x:v>
      </x:c>
      <x:c r="C50" s="22" t="str">
        <x:v>DAY_2</x:v>
      </x:c>
      <x:c r="D50" s="22" t="n">
        <x:v>1</x:v>
      </x:c>
      <x:c r="E50" s="22" t="str">
        <x:v>place_day_2_arco_di_costantino</x:v>
      </x:c>
      <x:c r="F50" s="22" t="str">
        <x:v>Konstantinsbogen</x:v>
      </x:c>
      <x:c r="G50" s="22" t="str">
        <x:v>START / ERSTER HINWEIS</x:v>
      </x:c>
      <x:c r="H50" s="22" t="str">
        <x:v>D2_FORUM_COLOSSEO</x:v>
      </x:c>
      <x:c r="I50" s="25" t="n">
        <x:v>41.8897623</x:v>
      </x:c>
      <x:c r="J50" s="25" t="n">
        <x:v>12.4906668</x:v>
      </x:c>
      <x:c r="K50" s="22" t="str">
        <x:v>GRUEN</x:v>
      </x:c>
      <x:c r="L50" s="22" t="str">
        <x:v>GRUEN_AUSSENPUNKT</x:v>
      </x:c>
      <x:c r="M50" s="22" t="str">
        <x:v>Drei monumentale Durchgänge, vom öffentlichen Bereich beim Kolosseum sichtbar.</x:v>
      </x:c>
      <x:c r="N50" s="22" t="str">
        <x:v>Wie viele Durchgänge besitzt der Konstantinsbogen?</x:v>
      </x:c>
      <x:c r="O50" s="22" t="str">
        <x:v>Drei</x:v>
      </x:c>
      <x:c r="P50" s="22" t="str">
        <x:v>https://en.wikipedia.org/wiki/Arch_of_Constantine</x:v>
      </x:c>
      <x:c r="Q50" s="22" t="str">
        <x:v>https://www.google.com/maps/search/?api=1&amp;query=41.8897623,12.4906668</x:v>
      </x:c>
      <x:c r="R50" s="28" t="n">
        <x:f>IF(A50=A49,ROUND(SQRT(POWER((I50-I49)*111000,2)+POWER((J50-J49)*111000*COS(RADIANS((I50+I49)/2)),2)),0),0)</x:f>
        <x:v>0</x:v>
      </x:c>
      <x:c r="S50" s="28" t="n">
        <x:f>ROUND(R50*'Kriterien'!$B$6,0)</x:f>
        <x:v>0</x:v>
      </x:c>
      <x:c r="T50" s="22" t="str">
        <x:v>V03-Punkt; VISUAL_EVIDENCE_NOT_YET_VERIFIED|CROWDING_RISK</x:v>
      </x:c>
      <x:c r="U50" s="22" t="str">
        <x:v>Gladiator des Ludus</x:v>
      </x:c>
    </x:row>
    <x:row r="51" ht="58" customHeight="1">
      <x:c r="A51" s="22" t="str">
        <x:v>D2-Q03</x:v>
      </x:c>
      <x:c r="B51" s="22" t="str">
        <x:v>REGULAER</x:v>
      </x:c>
      <x:c r="C51" s="22" t="str">
        <x:v>DAY_2</x:v>
      </x:c>
      <x:c r="D51" s="22" t="n">
        <x:v>2</x:v>
      </x:c>
      <x:c r="E51" s="22" t="str">
        <x:v>place_day_2_colosseo</x:v>
      </x:c>
      <x:c r="F51" s="22" t="str">
        <x:v>Kolosseum</x:v>
      </x:c>
      <x:c r="G51" s="22" t="str">
        <x:v>ZWISCHENSTATION</x:v>
      </x:c>
      <x:c r="H51" s="22" t="str">
        <x:v>D2_FORUM_COLOSSEO</x:v>
      </x:c>
      <x:c r="I51" s="25" t="n">
        <x:v>41.88989</x:v>
      </x:c>
      <x:c r="J51" s="25" t="n">
        <x:v>12.49337</x:v>
      </x:c>
      <x:c r="K51" s="22" t="str">
        <x:v>GRUEN</x:v>
      </x:c>
      <x:c r="L51" s="22" t="str">
        <x:v>GRUEN_AUSSENPUNKT</x:v>
      </x:c>
      <x:c r="M51" s="22" t="str">
        <x:v>Drei große Reihen offener Arkaden an der hohen erhaltenen Außenwand.</x:v>
      </x:c>
      <x:c r="N51" s="22" t="str">
        <x:v>Wie viele übereinanderliegende Reihen offener Arkaden sind an der hohen Außenwand sichtbar?</x:v>
      </x:c>
      <x:c r="O51" s="22" t="str">
        <x:v>Drei</x:v>
      </x:c>
      <x:c r="P51" s="22" t="str">
        <x:v>https://it.wikipedia.org/wiki/Colosseo</x:v>
      </x:c>
      <x:c r="Q51" s="22" t="str">
        <x:v>https://www.google.com/maps/search/?api=1&amp;query=41.88989,12.49337</x:v>
      </x:c>
      <x:c r="R51" s="28" t="n">
        <x:f>IF(A51=A50,ROUND(SQRT(POWER((I51-I50)*111000,2)+POWER((J51-J50)*111000*COS(RADIANS((I51+I50)/2)),2)),0),0)</x:f>
        <x:v>224</x:v>
      </x:c>
      <x:c r="S51" s="28" t="n">
        <x:f>ROUND(R51*'Kriterien'!$B$6,0)</x:f>
        <x:v>280</x:v>
      </x:c>
      <x:c r="T51" s="22" t="str">
        <x:v>Moved from the monument centroid to Piazza del Colosseo for the exterior photoquest. No ticket, queue or archaeological-area entry may be required.; Außenkoordinate verwenden; weder Eintritt noch Sicherheitskontrolle dürfen erforderlich sein.</x:v>
      </x:c>
      <x:c r="U51" s="22" t="str">
        <x:v>Gladiator des Ludus</x:v>
      </x:c>
    </x:row>
    <x:row r="52" ht="58" customHeight="1">
      <x:c r="A52" s="22" t="str">
        <x:v>D2-Q03</x:v>
      </x:c>
      <x:c r="B52" s="22" t="str">
        <x:v>REGULAER</x:v>
      </x:c>
      <x:c r="C52" s="22" t="str">
        <x:v>DAY_2</x:v>
      </x:c>
      <x:c r="D52" s="22" t="n">
        <x:v>3</x:v>
      </x:c>
      <x:c r="E52" s="22" t="str">
        <x:v>place_day_2_ludus_magnus</x:v>
      </x:c>
      <x:c r="F52" s="22" t="str">
        <x:v>Ludus Magnus</x:v>
      </x:c>
      <x:c r="G52" s="22" t="str">
        <x:v>ABSCHLUSS</x:v>
      </x:c>
      <x:c r="H52" s="22" t="str">
        <x:v>D2_FORUM_COLOSSEO</x:v>
      </x:c>
      <x:c r="I52" s="25" t="n">
        <x:v>41.8901133</x:v>
      </x:c>
      <x:c r="J52" s="25" t="n">
        <x:v>12.494955</x:v>
      </x:c>
      <x:c r="K52" s="22" t="str">
        <x:v>GRUEN</x:v>
      </x:c>
      <x:c r="L52" s="22" t="str">
        <x:v>GRUEN_AUSSENPUNKT</x:v>
      </x:c>
      <x:c r="M52" s="22" t="str">
        <x:v>Halb freigelegte ovale Arena unter dem heutigen Straßenniveau.</x:v>
      </x:c>
      <x:c r="N52" s="22" t="str">
        <x:v>Welche Grundform hat die sichtbare Trainingsarena?</x:v>
      </x:c>
      <x:c r="O52" s="22" t="str">
        <x:v>Oval</x:v>
      </x:c>
      <x:c r="P52" s="22" t="str">
        <x:v>https://de.wikipedia.org/wiki/Ludus_Magnus</x:v>
      </x:c>
      <x:c r="Q52" s="22" t="str">
        <x:v>https://www.google.com/maps/search/?api=1&amp;query=41.8901133,12.494955</x:v>
      </x:c>
      <x:c r="R52" s="28" t="n">
        <x:f>IF(A52=A51,ROUND(SQRT(POWER((I52-I51)*111000,2)+POWER((J52-J51)*111000*COS(RADIANS((I52+I51)/2)),2)),0),0)</x:f>
        <x:v>133</x:v>
      </x:c>
      <x:c r="S52" s="28" t="n">
        <x:f>ROUND(R52*'Kriterien'!$B$6,0)</x:f>
        <x:v>166</x:v>
      </x:c>
      <x:c r="T52" s="22" t="str">
        <x:v>V03-Punkt; VISUAL_EVIDENCE_NOT_YET_VERIFIED|EXTERIOR_VANTAGE_POINT_REQUIRED|PAID_INTERIOR_OR_SITE_RISK_USE_EXTERIOR_ONLY|CROWDING_RISK</x:v>
      </x:c>
      <x:c r="U52" s="22" t="str">
        <x:v>Gladiator des Ludus</x:v>
      </x:c>
    </x:row>
    <x:row r="53" ht="58" customHeight="1">
      <x:c r="A53" s="22" t="str">
        <x:v>D2-Q04</x:v>
      </x:c>
      <x:c r="B53" s="22" t="str">
        <x:v>REGULAER</x:v>
      </x:c>
      <x:c r="C53" s="22" t="str">
        <x:v>DAY_2</x:v>
      </x:c>
      <x:c r="D53" s="22" t="n">
        <x:v>1</x:v>
      </x:c>
      <x:c r="E53" s="22" t="str">
        <x:v>place_day_2_bocca_della_verita</x:v>
      </x:c>
      <x:c r="F53" s="22" t="str">
        <x:v>Mund der Wahrheit</x:v>
      </x:c>
      <x:c r="G53" s="22" t="str">
        <x:v>START / ERSTER HINWEIS</x:v>
      </x:c>
      <x:c r="H53" s="22" t="str">
        <x:v>D2_AVENTINO_FORUM_BOARIUM</x:v>
      </x:c>
      <x:c r="I53" s="25" t="n">
        <x:v>41.8882567</x:v>
      </x:c>
      <x:c r="J53" s="25" t="n">
        <x:v>12.4815441</x:v>
      </x:c>
      <x:c r="K53" s="22" t="str">
        <x:v>GELB</x:v>
      </x:c>
      <x:c r="L53" s="22" t="str">
        <x:v>GELB_WARTESCHLANGE</x:v>
      </x:c>
      <x:c r="M53" s="22" t="str">
        <x:v>Großes rundes Steingesicht im äußeren Portikus von Santa Maria in Cosmedin.</x:v>
      </x:c>
      <x:c r="N53" s="22" t="str">
        <x:v>Welcher Gesichtsteil bildet die große zentrale Öffnung?</x:v>
      </x:c>
      <x:c r="O53" s="22" t="str">
        <x:v>Der Mund</x:v>
      </x:c>
      <x:c r="P53" s="22" t="str">
        <x:v>https://it.wikipedia.org/wiki/Bocca_della_Verit%C3%A0</x:v>
      </x:c>
      <x:c r="Q53" s="22" t="str">
        <x:v>https://www.google.com/maps/search/?api=1&amp;query=41.8882567,12.4815441</x:v>
      </x:c>
      <x:c r="R53" s="28" t="n">
        <x:f>IF(A53=A52,ROUND(SQRT(POWER((I53-I52)*111000,2)+POWER((J53-J52)*111000*COS(RADIANS((I53+I52)/2)),2)),0),0)</x:f>
        <x:v>0</x:v>
      </x:c>
      <x:c r="S53" s="28" t="n">
        <x:f>ROUND(R53*'Kriterien'!$B$6,0)</x:f>
        <x:v>0</x:v>
      </x:c>
      <x:c r="T53" s="22" t="str">
        <x:v>V03-Punkt; Nicht verlangen, die Hand hineinzulegen oder die Warteschlange zu betreten; Sicht vom öffentlichen Bereich prüfen.</x:v>
      </x:c>
      <x:c r="U53" s="22" t="str">
        <x:v>Custode di Giano</x:v>
      </x:c>
    </x:row>
    <x:row r="54" ht="58" customHeight="1">
      <x:c r="A54" s="22" t="str">
        <x:v>D2-Q04</x:v>
      </x:c>
      <x:c r="B54" s="22" t="str">
        <x:v>REGULAER</x:v>
      </x:c>
      <x:c r="C54" s="22" t="str">
        <x:v>DAY_2</x:v>
      </x:c>
      <x:c r="D54" s="22" t="n">
        <x:v>2</x:v>
      </x:c>
      <x:c r="E54" s="22" t="str">
        <x:v>place_day_2_tempio_di_ercole_vincitore</x:v>
      </x:c>
      <x:c r="F54" s="22" t="str">
        <x:v>Tempel des Hercules Victor</x:v>
      </x:c>
      <x:c r="G54" s="22" t="str">
        <x:v>ZWISCHENSTATION</x:v>
      </x:c>
      <x:c r="H54" s="22" t="str">
        <x:v>D2_AVENTINO_FORUM_BOARIUM</x:v>
      </x:c>
      <x:c r="I54" s="25" t="n">
        <x:v>41.8887407</x:v>
      </x:c>
      <x:c r="J54" s="25" t="n">
        <x:v>12.4807681</x:v>
      </x:c>
      <x:c r="K54" s="22" t="str">
        <x:v>GRUEN</x:v>
      </x:c>
      <x:c r="L54" s="22" t="str">
        <x:v>GRUEN_AUSSENPUNKT</x:v>
      </x:c>
      <x:c r="M54" s="22" t="str">
        <x:v>Klar erkennbare runde Cella mit umlaufendem Säulenkranz.</x:v>
      </x:c>
      <x:c r="N54" s="22" t="str">
        <x:v>Welche Grundform hat der Tempel?</x:v>
      </x:c>
      <x:c r="O54" s="22" t="str">
        <x:v>Rund</x:v>
      </x:c>
      <x:c r="P54" s="22" t="str">
        <x:v>https://it.wikipedia.org/wiki/Tempio_di_Ercole_Vincitore</x:v>
      </x:c>
      <x:c r="Q54" s="22" t="str">
        <x:v>https://www.google.com/maps/search/?api=1&amp;query=41.8887407,12.4807681</x:v>
      </x:c>
      <x:c r="R54" s="28" t="n">
        <x:f>IF(A54=A53,ROUND(SQRT(POWER((I54-I53)*111000,2)+POWER((J54-J53)*111000*COS(RADIANS((I54+I53)/2)),2)),0),0)</x:f>
        <x:v>84</x:v>
      </x:c>
      <x:c r="S54" s="28" t="n">
        <x:f>ROUND(R54*'Kriterien'!$B$6,0)</x:f>
        <x:v>105</x:v>
      </x:c>
      <x:c r="T54" s="22" t="str">
        <x:v>V03-Punkt; VISUAL_EVIDENCE_NOT_YET_VERIFIED|EXTERIOR_VANTAGE_POINT_REQUIRED|PAID_INTERIOR_OR_SITE_RISK_USE_EXTERIOR_ONLY|CROWDING_RISK</x:v>
      </x:c>
      <x:c r="U54" s="22" t="str">
        <x:v>Custode di Giano</x:v>
      </x:c>
    </x:row>
    <x:row r="55" ht="58" customHeight="1">
      <x:c r="A55" s="22" t="str">
        <x:v>D2-Q04</x:v>
      </x:c>
      <x:c r="B55" s="22" t="str">
        <x:v>REGULAER</x:v>
      </x:c>
      <x:c r="C55" s="22" t="str">
        <x:v>DAY_2</x:v>
      </x:c>
      <x:c r="D55" s="22" t="n">
        <x:v>3</x:v>
      </x:c>
      <x:c r="E55" s="22" t="str">
        <x:v>place_day_2_arco_degli_argentari</x:v>
      </x:c>
      <x:c r="F55" s="22" t="str">
        <x:v>Arco degli Argentari</x:v>
      </x:c>
      <x:c r="G55" s="22" t="str">
        <x:v>ZWISCHENSTATION</x:v>
      </x:c>
      <x:c r="H55" s="22" t="str">
        <x:v>D2_AVENTINO_FORUM_BOARIUM</x:v>
      </x:c>
      <x:c r="I55" s="25" t="n">
        <x:v>41.8894907</x:v>
      </x:c>
      <x:c r="J55" s="25" t="n">
        <x:v>12.4830029</x:v>
      </x:c>
      <x:c r="K55" s="22" t="str">
        <x:v>GRUEN</x:v>
      </x:c>
      <x:c r="L55" s="22" t="str">
        <x:v>GRUEN_KONZEPTREIF</x:v>
      </x:c>
      <x:c r="M55" s="22" t="str">
        <x:v>Gerader oberer Abschluss über engem Durchgang; reiche Reliefs an den Pfeilern.</x:v>
      </x:c>
      <x:c r="N55" s="22" t="str">
        <x:v>Wie ist der obere Abschluss des Durchgangs geformt?</x:v>
      </x:c>
      <x:c r="O55" s="22" t="str">
        <x:v>Gerade, als Architrav</x:v>
      </x:c>
      <x:c r="P55" s="22" t="str">
        <x:v>https://en.wikipedia.org/wiki/Arcus_Argentariorum</x:v>
      </x:c>
      <x:c r="Q55" s="22" t="str">
        <x:v>https://www.google.com/maps/search/?api=1&amp;query=41.8894907,12.4830029</x:v>
      </x:c>
      <x:c r="R55" s="28" t="n">
        <x:f>IF(A55=A54,ROUND(SQRT(POWER((I55-I54)*111000,2)+POWER((J55-J54)*111000*COS(RADIANS((I55+I54)/2)),2)),0),0)</x:f>
        <x:v>203</x:v>
      </x:c>
      <x:c r="S55" s="28" t="n">
        <x:f>ROUND(R55*'Kriterien'!$B$6,0)</x:f>
        <x:v>254</x:v>
      </x:c>
      <x:c r="T55" s="22" t="str">
        <x:v>V03-Punkt; VISUAL_EVIDENCE_NOT_YET_VERIFIED</x:v>
      </x:c>
      <x:c r="U55" s="22" t="str">
        <x:v>Custode di Giano</x:v>
      </x:c>
    </x:row>
    <x:row r="56" ht="58" customHeight="1">
      <x:c r="A56" s="22" t="str">
        <x:v>D2-Q04</x:v>
      </x:c>
      <x:c r="B56" s="22" t="str">
        <x:v>REGULAER</x:v>
      </x:c>
      <x:c r="C56" s="22" t="str">
        <x:v>DAY_2</x:v>
      </x:c>
      <x:c r="D56" s="22" t="n">
        <x:v>4</x:v>
      </x:c>
      <x:c r="E56" s="22" t="str">
        <x:v>place_day_2_arco_di_giano</x:v>
      </x:c>
      <x:c r="F56" s="22" t="str">
        <x:v>Janusbogen</x:v>
      </x:c>
      <x:c r="G56" s="22" t="str">
        <x:v>ABSCHLUSS</x:v>
      </x:c>
      <x:c r="H56" s="22" t="str">
        <x:v>D2_AVENTINO_FORUM_BOARIUM</x:v>
      </x:c>
      <x:c r="I56" s="25" t="n">
        <x:v>41.889353</x:v>
      </x:c>
      <x:c r="J56" s="25" t="n">
        <x:v>12.4827682</x:v>
      </x:c>
      <x:c r="K56" s="22" t="str">
        <x:v>GRUEN</x:v>
      </x:c>
      <x:c r="L56" s="22" t="str">
        <x:v>GRUEN_KONZEPTREIF</x:v>
      </x:c>
      <x:c r="M56" s="22" t="str">
        <x:v>Vier weithin sichtbare Bogenöffnungen auf vier Seiten.</x:v>
      </x:c>
      <x:c r="N56" s="22" t="str">
        <x:v>Nach wie vielen Seiten öffnet sich das Monument mit großen Durchgängen?</x:v>
      </x:c>
      <x:c r="O56" s="22" t="str">
        <x:v>Vier</x:v>
      </x:c>
      <x:c r="P56" s="22" t="str">
        <x:v>https://it.wikipedia.org/wiki/Arco_di_Giano</x:v>
      </x:c>
      <x:c r="Q56" s="22" t="str">
        <x:v>https://www.google.com/maps/search/?api=1&amp;query=41.889353,12.4827682</x:v>
      </x:c>
      <x:c r="R56" s="28" t="n">
        <x:f>IF(A56=A55,ROUND(SQRT(POWER((I56-I55)*111000,2)+POWER((J56-J55)*111000*COS(RADIANS((I56+I55)/2)),2)),0),0)</x:f>
        <x:v>25</x:v>
      </x:c>
      <x:c r="S56" s="28" t="n">
        <x:f>ROUND(R56*'Kriterien'!$B$6,0)</x:f>
        <x:v>31</x:v>
      </x:c>
      <x:c r="T56" s="22" t="str">
        <x:v>V03-Punkt; VISUAL_EVIDENCE_NOT_YET_VERIFIED|CROWDING_RISK</x:v>
      </x:c>
      <x:c r="U56" s="22" t="str">
        <x:v>Custode di Giano</x:v>
      </x:c>
    </x:row>
    <x:row r="57" ht="58" customHeight="1">
      <x:c r="A57" s="22" t="str">
        <x:v>D2-Q05</x:v>
      </x:c>
      <x:c r="B57" s="22" t="str">
        <x:v>REGULAER</x:v>
      </x:c>
      <x:c r="C57" s="22" t="str">
        <x:v>DAY_2</x:v>
      </x:c>
      <x:c r="D57" s="22" t="n">
        <x:v>1</x:v>
      </x:c>
      <x:c r="E57" s="22" t="str">
        <x:v>place_day_2_fontana_dei_tritoni</x:v>
      </x:c>
      <x:c r="F57" s="22" t="str">
        <x:v>Tritonenbrunnen</x:v>
      </x:c>
      <x:c r="G57" s="22" t="str">
        <x:v>START / ERSTER HINWEIS</x:v>
      </x:c>
      <x:c r="H57" s="22" t="str">
        <x:v>D2_AVENTINO_FORUM_BOARIUM</x:v>
      </x:c>
      <x:c r="I57" s="25" t="n">
        <x:v>41.8885236</x:v>
      </x:c>
      <x:c r="J57" s="25" t="n">
        <x:v>12.4812253</x:v>
      </x:c>
      <x:c r="K57" s="22" t="str">
        <x:v>GRUEN</x:v>
      </x:c>
      <x:c r="L57" s="22" t="str">
        <x:v>GRUEN_KONZEPTREIF</x:v>
      </x:c>
      <x:c r="M57" s="22" t="str">
        <x:v>Zwei große Tritonen als Träger einer Muschelschale.</x:v>
      </x:c>
      <x:c r="N57" s="22" t="str">
        <x:v>Wie viele Tritonen tragen die obere Schale?</x:v>
      </x:c>
      <x:c r="O57" s="22" t="str">
        <x:v>Zwei</x:v>
      </x:c>
      <x:c r="P57" s="22" t="str">
        <x:v>https://it.wikipedia.org/wiki/Fontana_dei_Tritoni</x:v>
      </x:c>
      <x:c r="Q57" s="22" t="str">
        <x:v>https://www.google.com/maps/search/?api=1&amp;query=41.8885236,12.4812253</x:v>
      </x:c>
      <x:c r="R57" s="28" t="n">
        <x:f>IF(A57=A56,ROUND(SQRT(POWER((I57-I56)*111000,2)+POWER((J57-J56)*111000*COS(RADIANS((I57+I56)/2)),2)),0),0)</x:f>
        <x:v>0</x:v>
      </x:c>
      <x:c r="S57" s="28" t="n">
        <x:f>ROUND(R57*'Kriterien'!$B$6,0)</x:f>
        <x:v>0</x:v>
      </x:c>
      <x:c r="T57" s="22" t="str">
        <x:v>V03-Punkt; VISUAL_EVIDENCE_NOT_YET_VERIFIED|CROWDING_RISK</x:v>
      </x:c>
      <x:c r="U57" s="22" t="str">
        <x:v>Mascherone dell’Aventino</x:v>
      </x:c>
    </x:row>
    <x:row r="58" ht="58" customHeight="1">
      <x:c r="A58" s="22" t="str">
        <x:v>D2-Q05</x:v>
      </x:c>
      <x:c r="B58" s="22" t="str">
        <x:v>REGULAER</x:v>
      </x:c>
      <x:c r="C58" s="22" t="str">
        <x:v>DAY_2</x:v>
      </x:c>
      <x:c r="D58" s="22" t="n">
        <x:v>2</x:v>
      </x:c>
      <x:c r="E58" s="22" t="str">
        <x:v>place_day_2_belvedere_romolo_e_remo</x:v>
      </x:c>
      <x:c r="F58" s="22" t="str">
        <x:v>Belvedere Romolo E Remo</x:v>
      </x:c>
      <x:c r="G58" s="22" t="str">
        <x:v>ZWISCHENSTATION</x:v>
      </x:c>
      <x:c r="H58" s="22" t="str">
        <x:v>D2_AVENTINO_FORUM_BOARIUM</x:v>
      </x:c>
      <x:c r="I58" s="25" t="n">
        <x:v>41.8856975</x:v>
      </x:c>
      <x:c r="J58" s="25" t="n">
        <x:v>12.484964</x:v>
      </x:c>
      <x:c r="K58" s="22" t="str">
        <x:v>GRUEN</x:v>
      </x:c>
      <x:c r="L58" s="22" t="str">
        <x:v>GRUEN_AUSSICHTSPUNKT</x:v>
      </x:c>
      <x:c r="M58" s="22" t="str">
        <x:v>Freier Panoramablick über die langgestreckte Circus-Senke zum Palatin.</x:v>
      </x:c>
      <x:c r="N58" s="22" t="str">
        <x:v>Welcher Hügel liegt auf der gegenüberliegenden Seite des Circus Maximus?</x:v>
      </x:c>
      <x:c r="O58" s="22" t="str">
        <x:v>Der Palatin</x:v>
      </x:c>
      <x:c r="P58" s="22" t="str">
        <x:v>https://www.rerumromanarum.com/2024/04/belvedere-romolo-e-remo.html</x:v>
      </x:c>
      <x:c r="Q58" s="22" t="str">
        <x:v>https://www.google.com/maps/search/?api=1&amp;query=41.8856975,12.484964</x:v>
      </x:c>
      <x:c r="R58" s="28" t="n">
        <x:f>IF(A58=A57,ROUND(SQRT(POWER((I58-I57)*111000,2)+POWER((J58-J57)*111000*COS(RADIANS((I58+I57)/2)),2)),0),0)</x:f>
        <x:v>440</x:v>
      </x:c>
      <x:c r="S58" s="28" t="n">
        <x:f>ROUND(R58*'Kriterien'!$B$6,0)</x:f>
        <x:v>550</x:v>
      </x:c>
      <x:c r="T58" s="22" t="str">
        <x:v>V03-Punkt; VISUAL_EVIDENCE_NOT_YET_VERIFIED</x:v>
      </x:c>
      <x:c r="U58" s="22" t="str">
        <x:v>Mascherone dell’Aventino</x:v>
      </x:c>
    </x:row>
    <x:row r="59" ht="58" customHeight="1">
      <x:c r="A59" s="22" t="str">
        <x:v>D2-Q05</x:v>
      </x:c>
      <x:c r="B59" s="22" t="str">
        <x:v>REGULAER</x:v>
      </x:c>
      <x:c r="C59" s="22" t="str">
        <x:v>DAY_2</x:v>
      </x:c>
      <x:c r="D59" s="22" t="n">
        <x:v>3</x:v>
      </x:c>
      <x:c r="E59" s="22" t="str">
        <x:v>place_day_2_fontana_del_mascherone_di_santa_sabina</x:v>
      </x:c>
      <x:c r="F59" s="22" t="str">
        <x:v>Maskenbrunnen bei Santa Sabina</x:v>
      </x:c>
      <x:c r="G59" s="22" t="str">
        <x:v>ABSCHLUSS</x:v>
      </x:c>
      <x:c r="H59" s="22" t="str">
        <x:v>D2_AVENTINO_FORUM_BOARIUM</x:v>
      </x:c>
      <x:c r="I59" s="25" t="n">
        <x:v>41.88441</x:v>
      </x:c>
      <x:c r="J59" s="25" t="n">
        <x:v>12.480147</x:v>
      </x:c>
      <x:c r="K59" s="22" t="str">
        <x:v>GRUEN</x:v>
      </x:c>
      <x:c r="L59" s="22" t="str">
        <x:v>GRUEN_KONZEPTREIF</x:v>
      </x:c>
      <x:c r="M59" s="22" t="str">
        <x:v>Großes steinernes Maskengesicht mit Wasserauslass im Mund.</x:v>
      </x:c>
      <x:c r="N59" s="22" t="str">
        <x:v>Aus welchem Gesichtsteil tritt das Wasser?</x:v>
      </x:c>
      <x:c r="O59" s="22" t="str">
        <x:v>Aus dem Mund</x:v>
      </x:c>
      <x:c r="P59" s="22" t="str">
        <x:v>https://turismoroma.it/it/luoghi/fontana-piazza-pietro-d%E2%80%99illiria</x:v>
      </x:c>
      <x:c r="Q59" s="22" t="str">
        <x:v>https://www.google.com/maps/search/?api=1&amp;query=41.88441,12.480147</x:v>
      </x:c>
      <x:c r="R59" s="28" t="n">
        <x:f>IF(A59=A58,ROUND(SQRT(POWER((I59-I58)*111000,2)+POWER((J59-J58)*111000*COS(RADIANS((I59+I58)/2)),2)),0),0)</x:f>
        <x:v>423</x:v>
      </x:c>
      <x:c r="S59" s="28" t="n">
        <x:f>ROUND(R59*'Kriterien'!$B$6,0)</x:f>
        <x:v>529</x:v>
      </x:c>
      <x:c r="T59" s="22" t="str">
        <x:v>V03-Punkt; VISUAL_EVIDENCE_NOT_YET_VERIFIED|CROWDING_RISK</x:v>
      </x:c>
      <x:c r="U59" s="22" t="str">
        <x:v>Mascherone dell’Aventino</x:v>
      </x:c>
    </x:row>
    <x:row r="60" ht="58" customHeight="1">
      <x:c r="A60" s="22" t="str">
        <x:v>D2-Q06</x:v>
      </x:c>
      <x:c r="B60" s="22" t="str">
        <x:v>REGULAER</x:v>
      </x:c>
      <x:c r="C60" s="22" t="str">
        <x:v>DAY_2</x:v>
      </x:c>
      <x:c r="D60" s="22" t="n">
        <x:v>1</x:v>
      </x:c>
      <x:c r="E60" s="22" t="str">
        <x:v>place_day_2_fontana_della_navicella</x:v>
      </x:c>
      <x:c r="F60" s="22" t="str">
        <x:v>Fontana della Navicella</x:v>
      </x:c>
      <x:c r="G60" s="22" t="str">
        <x:v>START / ERSTER HINWEIS</x:v>
      </x:c>
      <x:c r="H60" s="22" t="str">
        <x:v>D2_FORUM_COLOSSEO</x:v>
      </x:c>
      <x:c r="I60" s="25" t="n">
        <x:v>41.8847586</x:v>
      </x:c>
      <x:c r="J60" s="25" t="n">
        <x:v>12.4958638</x:v>
      </x:c>
      <x:c r="K60" s="22" t="str">
        <x:v>GRUEN</x:v>
      </x:c>
      <x:c r="L60" s="22" t="str">
        <x:v>GRUEN_KONZEPTREIF</x:v>
      </x:c>
      <x:c r="M60" s="22" t="str">
        <x:v>Großes steinernes Schiff als zentrales Brunnenobjekt.</x:v>
      </x:c>
      <x:c r="N60" s="22" t="str">
        <x:v>Welche Objektform besitzt die zentrale Skulptur?</x:v>
      </x:c>
      <x:c r="O60" s="22" t="str">
        <x:v>Ein Schiff</x:v>
      </x:c>
      <x:c r="P60" s="22" t="str">
        <x:v>https://it.wikipedia.org/wiki/Fontana_della_Navicella</x:v>
      </x:c>
      <x:c r="Q60" s="22" t="str">
        <x:v>https://www.google.com/maps/search/?api=1&amp;query=41.8847586,12.4958638</x:v>
      </x:c>
      <x:c r="R60" s="28" t="n">
        <x:f>IF(A60=A59,ROUND(SQRT(POWER((I60-I59)*111000,2)+POWER((J60-J59)*111000*COS(RADIANS((I60+I59)/2)),2)),0),0)</x:f>
        <x:v>0</x:v>
      </x:c>
      <x:c r="S60" s="28" t="n">
        <x:f>ROUND(R60*'Kriterien'!$B$6,0)</x:f>
        <x:v>0</x:v>
      </x:c>
      <x:c r="T60" s="22" t="str">
        <x:v>V03-Punkt; VISUAL_EVIDENCE_NOT_YET_VERIFIED</x:v>
      </x:c>
      <x:c r="U60" s="22" t="str"/>
    </x:row>
    <x:row r="61" ht="58" customHeight="1">
      <x:c r="A61" s="22" t="str">
        <x:v>D2-Q07</x:v>
      </x:c>
      <x:c r="B61" s="22" t="str">
        <x:v>REGULAER</x:v>
      </x:c>
      <x:c r="C61" s="22" t="str">
        <x:v>DAY_2</x:v>
      </x:c>
      <x:c r="D61" s="22" t="n">
        <x:v>1</x:v>
      </x:c>
      <x:c r="E61" s="22" t="str">
        <x:v>place_day_2_basilica_di_san_giovanni_in_laterano</x:v>
      </x:c>
      <x:c r="F61" s="22" t="str">
        <x:v>Lateranbasilika</x:v>
      </x:c>
      <x:c r="G61" s="22" t="str">
        <x:v>START / ERSTER HINWEIS</x:v>
      </x:c>
      <x:c r="H61" s="22" t="str">
        <x:v>D2_CELIO_SAN_GIOVANNI</x:v>
      </x:c>
      <x:c r="I61" s="25" t="n">
        <x:v>41.8857617</x:v>
      </x:c>
      <x:c r="J61" s="25" t="n">
        <x:v>12.5055858</x:v>
      </x:c>
      <x:c r="K61" s="22" t="str">
        <x:v>GRUEN</x:v>
      </x:c>
      <x:c r="L61" s="22" t="str">
        <x:v>GRUEN_AUSSENPUNKT</x:v>
      </x:c>
      <x:c r="M61" s="22" t="str">
        <x:v>Sehr große Statuengruppe auf der Dachlinie mit Christus in der Mitte.</x:v>
      </x:c>
      <x:c r="N61" s="22" t="str">
        <x:v>Welche Figur steht im Zentrum der Statuengruppe auf der Hauptfassade?</x:v>
      </x:c>
      <x:c r="O61" s="22" t="str">
        <x:v>Christus</x:v>
      </x:c>
      <x:c r="P61" s="22" t="str">
        <x:v>https://it.wikipedia.org/wiki/Basilica_di_San_Giovanni_in_Laterano</x:v>
      </x:c>
      <x:c r="Q61" s="22" t="str">
        <x:v>https://www.google.com/maps/search/?api=1&amp;query=41.8857617,12.5055858</x:v>
      </x:c>
      <x:c r="R61" s="28" t="n">
        <x:f>IF(A61=A60,ROUND(SQRT(POWER((I61-I60)*111000,2)+POWER((J61-J60)*111000*COS(RADIANS((I61+I60)/2)),2)),0),0)</x:f>
        <x:v>0</x:v>
      </x:c>
      <x:c r="S61" s="28" t="n">
        <x:f>ROUND(R61*'Kriterien'!$B$6,0)</x:f>
        <x:v>0</x:v>
      </x:c>
      <x:c r="T61" s="22" t="str">
        <x:v>V03-Punkt; Nur die Piazza und Außenfassade verwenden; kein Kirchenbesuch.</x:v>
      </x:c>
      <x:c r="U61" s="22" t="str"/>
    </x:row>
    <x:row r="62" ht="58" customHeight="1">
      <x:c r="A62" s="22" t="str">
        <x:v>D2-Q07</x:v>
      </x:c>
      <x:c r="B62" s="22" t="str">
        <x:v>REGULAER</x:v>
      </x:c>
      <x:c r="C62" s="22" t="str">
        <x:v>DAY_2</x:v>
      </x:c>
      <x:c r="D62" s="22" t="n">
        <x:v>2</x:v>
      </x:c>
      <x:c r="E62" s="22" t="str">
        <x:v>place_day_2_obelisco_lateranense</x:v>
      </x:c>
      <x:c r="F62" s="22" t="str">
        <x:v>Lateranischer Obelisk</x:v>
      </x:c>
      <x:c r="G62" s="22" t="str">
        <x:v>ZWISCHENSTATION</x:v>
      </x:c>
      <x:c r="H62" s="22" t="str">
        <x:v>D2_CELIO_SAN_GIOVANNI</x:v>
      </x:c>
      <x:c r="I62" s="25" t="n">
        <x:v>41.886844</x:v>
      </x:c>
      <x:c r="J62" s="25" t="n">
        <x:v>12.5047983</x:v>
      </x:c>
      <x:c r="K62" s="22" t="str">
        <x:v>GRUEN</x:v>
      </x:c>
      <x:c r="L62" s="22" t="str">
        <x:v>GRUEN_KONZEPTREIF</x:v>
      </x:c>
      <x:c r="M62" s="22" t="str">
        <x:v>Sehr hoher Schaft mit deutlich sichtbaren Hieroglyphen.</x:v>
      </x:c>
      <x:c r="N62" s="22" t="str">
        <x:v>Welche Art von Schriftzeichen ist auf dem Obelisken zu sehen?</x:v>
      </x:c>
      <x:c r="O62" s="22" t="str">
        <x:v>Ägyptische Hieroglyphen</x:v>
      </x:c>
      <x:c r="P62" s="22" t="str">
        <x:v>https://it.wikipedia.org/wiki/Obelisco_Lateranense</x:v>
      </x:c>
      <x:c r="Q62" s="22" t="str">
        <x:v>https://www.google.com/maps/search/?api=1&amp;query=41.886844,12.5047983</x:v>
      </x:c>
      <x:c r="R62" s="28" t="n">
        <x:f>IF(A62=A61,ROUND(SQRT(POWER((I62-I61)*111000,2)+POWER((J62-J61)*111000*COS(RADIANS((I62+I61)/2)),2)),0),0)</x:f>
        <x:v>137</x:v>
      </x:c>
      <x:c r="S62" s="28" t="n">
        <x:f>ROUND(R62*'Kriterien'!$B$6,0)</x:f>
        <x:v>171</x:v>
      </x:c>
      <x:c r="T62" s="22" t="str">
        <x:v>V03-Punkt; VISUAL_EVIDENCE_NOT_YET_VERIFIED</x:v>
      </x:c>
      <x:c r="U62" s="22" t="str"/>
    </x:row>
    <x:row r="63" ht="58" customHeight="1">
      <x:c r="A63" s="22" t="str">
        <x:v>D2-Q07</x:v>
      </x:c>
      <x:c r="B63" s="22" t="str">
        <x:v>REGULAER</x:v>
      </x:c>
      <x:c r="C63" s="22" t="str">
        <x:v>DAY_2</x:v>
      </x:c>
      <x:c r="D63" s="22" t="n">
        <x:v>3</x:v>
      </x:c>
      <x:c r="E63" s="22" t="str">
        <x:v>place_day_2_porta_san_giovanni</x:v>
      </x:c>
      <x:c r="F63" s="22" t="str">
        <x:v>Porta San Giovanni</x:v>
      </x:c>
      <x:c r="G63" s="22" t="str">
        <x:v>ABSCHLUSS</x:v>
      </x:c>
      <x:c r="H63" s="22" t="str">
        <x:v>D2_CELIO_SAN_GIOVANNI</x:v>
      </x:c>
      <x:c r="I63" s="25" t="n">
        <x:v>41.8859055</x:v>
      </x:c>
      <x:c r="J63" s="25" t="n">
        <x:v>12.5093343</x:v>
      </x:c>
      <x:c r="K63" s="22" t="str">
        <x:v>GRUEN</x:v>
      </x:c>
      <x:c r="L63" s="22" t="str">
        <x:v>GRUEN_VERKEHRSABSTAND</x:v>
      </x:c>
      <x:c r="M63" s="22" t="str">
        <x:v>Drei große Öffnungen nebeneinander.</x:v>
      </x:c>
      <x:c r="N63" s="22" t="str">
        <x:v>Wie viele große Durchgänge besitzt die Porta San Giovanni?</x:v>
      </x:c>
      <x:c r="O63" s="22" t="str">
        <x:v>Drei</x:v>
      </x:c>
      <x:c r="P63" s="22" t="str">
        <x:v>https://en.wikipedia.org/wiki/Porta_San_Giovanni_(Rome)</x:v>
      </x:c>
      <x:c r="Q63" s="22" t="str">
        <x:v>https://www.google.com/maps/search/?api=1&amp;query=41.8859055,12.5093343</x:v>
      </x:c>
      <x:c r="R63" s="28" t="n">
        <x:f>IF(A63=A62,ROUND(SQRT(POWER((I63-I62)*111000,2)+POWER((J63-J62)*111000*COS(RADIANS((I63+I62)/2)),2)),0),0)</x:f>
        <x:v>389</x:v>
      </x:c>
      <x:c r="S63" s="28" t="n">
        <x:f>ROUND(R63*'Kriterien'!$B$6,0)</x:f>
        <x:v>486</x:v>
      </x:c>
      <x:c r="T63" s="22" t="str">
        <x:v>V03-Punkt; Blickpunkt auf sicherem Gehweg; keine Straßenquerung für die Antwort verlangen.</x:v>
      </x:c>
      <x:c r="U63" s="22" t="str"/>
    </x:row>
    <x:row r="64" ht="58" customHeight="1">
      <x:c r="A64" s="22" t="str">
        <x:v>D2-Q08</x:v>
      </x:c>
      <x:c r="B64" s="22" t="str">
        <x:v>REGULAER</x:v>
      </x:c>
      <x:c r="C64" s="22" t="str">
        <x:v>DAY_2</x:v>
      </x:c>
      <x:c r="D64" s="22" t="n">
        <x:v>1</x:v>
      </x:c>
      <x:c r="E64" s="22" t="str">
        <x:v>place_day_2_porta_latina</x:v>
      </x:c>
      <x:c r="F64" s="22" t="str">
        <x:v>Porta Latina</x:v>
      </x:c>
      <x:c r="G64" s="22" t="str">
        <x:v>START / ERSTER HINWEIS</x:v>
      </x:c>
      <x:c r="H64" s="22" t="str">
        <x:v>D2_CELIO_SAN_GIOVANNI</x:v>
      </x:c>
      <x:c r="I64" s="25" t="n">
        <x:v>41.8765186</x:v>
      </x:c>
      <x:c r="J64" s="25" t="n">
        <x:v>12.5024875</x:v>
      </x:c>
      <x:c r="K64" s="22" t="str">
        <x:v>GRUEN</x:v>
      </x:c>
      <x:c r="L64" s="22" t="str">
        <x:v>GRUEN_KONZEPTREIF</x:v>
      </x:c>
      <x:c r="M64" s="22" t="str">
        <x:v>Ein Torbogen zwischen zwei deutlich runden Türmen.</x:v>
      </x:c>
      <x:c r="N64" s="22" t="str">
        <x:v>Wie viele runde Türme flankieren den Durchgang?</x:v>
      </x:c>
      <x:c r="O64" s="22" t="str">
        <x:v>Zwei</x:v>
      </x:c>
      <x:c r="P64" s="22" t="str">
        <x:v>https://en.wikipedia.org/wiki/Porta_Latina</x:v>
      </x:c>
      <x:c r="Q64" s="22" t="str">
        <x:v>https://www.google.com/maps/search/?api=1&amp;query=41.8765186,12.5024875</x:v>
      </x:c>
      <x:c r="R64" s="28" t="n">
        <x:f>IF(A64=A63,ROUND(SQRT(POWER((I64-I63)*111000,2)+POWER((J64-J63)*111000*COS(RADIANS((I64+I63)/2)),2)),0),0)</x:f>
        <x:v>0</x:v>
      </x:c>
      <x:c r="S64" s="28" t="n">
        <x:f>ROUND(R64*'Kriterien'!$B$6,0)</x:f>
        <x:v>0</x:v>
      </x:c>
      <x:c r="T64" s="22" t="str">
        <x:v>V03-Punkt; VISUAL_EVIDENCE_NOT_YET_VERIFIED</x:v>
      </x:c>
      <x:c r="U64" s="22" t="str">
        <x:v>Scorpione delle Mura</x:v>
      </x:c>
    </x:row>
    <x:row r="65" ht="58" customHeight="1">
      <x:c r="A65" s="22" t="str">
        <x:v>D2-Q08</x:v>
      </x:c>
      <x:c r="B65" s="22" t="str">
        <x:v>REGULAER</x:v>
      </x:c>
      <x:c r="C65" s="22" t="str">
        <x:v>DAY_2</x:v>
      </x:c>
      <x:c r="D65" s="22" t="n">
        <x:v>2</x:v>
      </x:c>
      <x:c r="E65" s="22" t="str">
        <x:v>place_day_2_porta_metronia</x:v>
      </x:c>
      <x:c r="F65" s="22" t="str">
        <x:v>Porta Metronia</x:v>
      </x:c>
      <x:c r="G65" s="22" t="str">
        <x:v>ABSCHLUSS</x:v>
      </x:c>
      <x:c r="H65" s="22" t="str">
        <x:v>D2_CELIO_SAN_GIOVANNI</x:v>
      </x:c>
      <x:c r="I65" s="25" t="n">
        <x:v>41.8823233</x:v>
      </x:c>
      <x:c r="J65" s="25" t="n">
        <x:v>12.4986395</x:v>
      </x:c>
      <x:c r="K65" s="22" t="str">
        <x:v>GELB</x:v>
      </x:c>
      <x:c r="L65" s="22" t="str">
        <x:v>GELB_VERKEHRSUMFELD</x:v>
      </x:c>
      <x:c r="M65" s="22" t="str">
        <x:v>Vermauerter antiker Bogen im massiven Ziegelmauerwerk.</x:v>
      </x:c>
      <x:c r="N65" s="22" t="str">
        <x:v>Ist der historische Torbogen offen oder zugemauert?</x:v>
      </x:c>
      <x:c r="O65" s="22" t="str">
        <x:v>Zugemauert</x:v>
      </x:c>
      <x:c r="P65" s="22" t="str">
        <x:v>https://en.wikipedia.org/wiki/Porta_Metronia</x:v>
      </x:c>
      <x:c r="Q65" s="22" t="str">
        <x:v>https://www.google.com/maps/search/?api=1&amp;query=41.8823233,12.4986395</x:v>
      </x:c>
      <x:c r="R65" s="28" t="n">
        <x:f>IF(A65=A64,ROUND(SQRT(POWER((I65-I64)*111000,2)+POWER((J65-J64)*111000*COS(RADIANS((I65+I64)/2)),2)),0),0)</x:f>
        <x:v>719</x:v>
      </x:c>
      <x:c r="S65" s="28" t="n">
        <x:f>ROUND(R65*'Kriterien'!$B$6,0)</x:f>
        <x:v>899</x:v>
      </x:c>
      <x:c r="T65" s="22" t="str">
        <x:v>V03-Punkt; Frage muss den antiken Bogen eindeutig von modernen Durchbrüchen abgrenzen.</x:v>
      </x:c>
      <x:c r="U65" s="22" t="str">
        <x:v>Scorpione delle Mura</x:v>
      </x:c>
    </x:row>
    <x:row r="66" ht="58" customHeight="1">
      <x:c r="A66" s="22" t="str">
        <x:v>D2-Q09</x:v>
      </x:c>
      <x:c r="B66" s="22" t="str">
        <x:v>REGULAER</x:v>
      </x:c>
      <x:c r="C66" s="22" t="str">
        <x:v>DAY_2</x:v>
      </x:c>
      <x:c r="D66" s="22" t="n">
        <x:v>1</x:v>
      </x:c>
      <x:c r="E66" s="22" t="str">
        <x:v>place_day_2_basilica_di_santa_maria_maggiore</x:v>
      </x:c>
      <x:c r="F66" s="22" t="str">
        <x:v>Basilika Groß Sankt Marien</x:v>
      </x:c>
      <x:c r="G66" s="22" t="str">
        <x:v>START / ERSTER HINWEIS</x:v>
      </x:c>
      <x:c r="H66" s="22" t="str">
        <x:v>D2_SANTA_MARIA_MAGGIORE</x:v>
      </x:c>
      <x:c r="I66" s="25" t="n">
        <x:v>41.89712887126836</x:v>
      </x:c>
      <x:c r="J66" s="25" t="n">
        <x:v>12.499145861948264</x:v>
      </x:c>
      <x:c r="K66" s="22" t="str">
        <x:v>GELB</x:v>
      </x:c>
      <x:c r="L66" s="22" t="str">
        <x:v>GELB_BOSS_MENSCHENMENGE</x:v>
      </x:c>
      <x:c r="M66" s="22" t="str">
        <x:v>Monumentale Fassade mit zentraler oberer Loggia und Marienbezug; großer öffentlicher Platz davor.</x:v>
      </x:c>
      <x:c r="N66" s="22" t="str">
        <x:v>Wie viele große Öffnungen besitzt die zentrale obere Loggia der Hauptfassade?</x:v>
      </x:c>
      <x:c r="O66" s="22" t="str">
        <x:v>Drei</x:v>
      </x:c>
      <x:c r="P66" s="22" t="str">
        <x:v>https://www.turismoroma.it/en/places/piazza-di-santa-maria-maggiore</x:v>
      </x:c>
      <x:c r="Q66" s="22" t="str">
        <x:v>https://www.google.com/maps/search/?api=1&amp;query=41.89712887126836,12.499145861948264</x:v>
      </x:c>
      <x:c r="R66" s="28" t="n">
        <x:f>IF(A66=A65,ROUND(SQRT(POWER((I66-I65)*111000,2)+POWER((J66-J65)*111000*COS(RADIANS((I66+I65)/2)),2)),0),0)</x:f>
        <x:v>0</x:v>
      </x:c>
      <x:c r="S66" s="28" t="n">
        <x:f>ROUND(R66*'Kriterien'!$B$6,0)</x:f>
        <x:v>0</x:v>
      </x:c>
      <x:c r="T66" s="22" t="str">
        <x:v>World-boss staging point placed on Piazza di Santa Maria Maggiore, outside the basilica. No interior access may be required.; Primär Boss-Staging auf dem öffentlichen Platz. Die Loggiazahl muss auf aktuellem Frontalbild nochmals bestätigt werden.</x:v>
      </x:c>
      <x:c r="U66" s="22" t="str">
        <x:v>Vapore delle Terme</x:v>
      </x:c>
    </x:row>
    <x:row r="67" ht="58" customHeight="1">
      <x:c r="A67" s="22" t="str">
        <x:v>D2-Q09</x:v>
      </x:c>
      <x:c r="B67" s="22" t="str">
        <x:v>REGULAER</x:v>
      </x:c>
      <x:c r="C67" s="22" t="str">
        <x:v>DAY_2</x:v>
      </x:c>
      <x:c r="D67" s="22" t="n">
        <x:v>2</x:v>
      </x:c>
      <x:c r="E67" s="22" t="str">
        <x:v>place_day_2_obelisco_esquilino</x:v>
      </x:c>
      <x:c r="F67" s="22" t="str">
        <x:v>Obelisco Esquilino</x:v>
      </x:c>
      <x:c r="G67" s="22" t="str">
        <x:v>ZWISCHENSTATION</x:v>
      </x:c>
      <x:c r="H67" s="22" t="str">
        <x:v>D2_SANTA_MARIA_MAGGIORE</x:v>
      </x:c>
      <x:c r="I67" s="25" t="n">
        <x:v>41.8981766</x:v>
      </x:c>
      <x:c r="J67" s="25" t="n">
        <x:v>12.4975028</x:v>
      </x:c>
      <x:c r="K67" s="22" t="str">
        <x:v>GRUEN</x:v>
      </x:c>
      <x:c r="L67" s="22" t="str">
        <x:v>GRUEN_KONZEPTREIF</x:v>
      </x:c>
      <x:c r="M67" s="22" t="str">
        <x:v>Schlichter Obelisk ohne Hieroglyphen, oben mit Kreuz.</x:v>
      </x:c>
      <x:c r="N67" s="22" t="str">
        <x:v>Welches Symbol krönt die Spitze des Obelisken?</x:v>
      </x:c>
      <x:c r="O67" s="22" t="str">
        <x:v>Ein Kreuz</x:v>
      </x:c>
      <x:c r="P67" s="22" t="str">
        <x:v>https://it.wikipedia.org/wiki/Obelisco_Esquilino</x:v>
      </x:c>
      <x:c r="Q67" s="22" t="str">
        <x:v>https://www.google.com/maps/search/?api=1&amp;query=41.8981766,12.4975028</x:v>
      </x:c>
      <x:c r="R67" s="28" t="n">
        <x:f>IF(A67=A66,ROUND(SQRT(POWER((I67-I66)*111000,2)+POWER((J67-J66)*111000*COS(RADIANS((I67+I66)/2)),2)),0),0)</x:f>
        <x:v>179</x:v>
      </x:c>
      <x:c r="S67" s="28" t="n">
        <x:f>ROUND(R67*'Kriterien'!$B$6,0)</x:f>
        <x:v>224</x:v>
      </x:c>
      <x:c r="T67" s="22" t="str">
        <x:v>V03-Punkt; VISUAL_EVIDENCE_NOT_YET_VERIFIED</x:v>
      </x:c>
      <x:c r="U67" s="22" t="str">
        <x:v>Vapore delle Terme</x:v>
      </x:c>
    </x:row>
    <x:row r="68" ht="58" customHeight="1">
      <x:c r="A68" s="22" t="str">
        <x:v>D2-Q09</x:v>
      </x:c>
      <x:c r="B68" s="22" t="str">
        <x:v>REGULAER</x:v>
      </x:c>
      <x:c r="C68" s="22" t="str">
        <x:v>DAY_2</x:v>
      </x:c>
      <x:c r="D68" s="22" t="n">
        <x:v>3</x:v>
      </x:c>
      <x:c r="E68" s="22" t="str">
        <x:v>place_day_2_thermae_traianae</x:v>
      </x:c>
      <x:c r="F68" s="22" t="str">
        <x:v>Thermae Traianae</x:v>
      </x:c>
      <x:c r="G68" s="22" t="str">
        <x:v>ABSCHLUSS</x:v>
      </x:c>
      <x:c r="H68" s="22" t="str">
        <x:v>D2_MONTI_ESQUILINO</x:v>
      </x:c>
      <x:c r="I68" s="25" t="n">
        <x:v>41.8923984</x:v>
      </x:c>
      <x:c r="J68" s="25" t="n">
        <x:v>12.4972974</x:v>
      </x:c>
      <x:c r="K68" s="22" t="str">
        <x:v>GRUEN</x:v>
      </x:c>
      <x:c r="L68" s="22" t="str">
        <x:v>GRUEN_PARKZUGANG</x:v>
      </x:c>
      <x:c r="M68" s="22" t="str">
        <x:v>Sehr hohe antike Ziegelmauerreste im öffentlichen Park.</x:v>
      </x:c>
      <x:c r="N68" s="22" t="str">
        <x:v>Welches Baumaterial dominiert die sichtbaren Thermenruinen?</x:v>
      </x:c>
      <x:c r="O68" s="22" t="str">
        <x:v>Ziegel</x:v>
      </x:c>
      <x:c r="P68" s="22" t="str">
        <x:v>https://it.wikipedia.org/wiki/Terme_di_Traiano</x:v>
      </x:c>
      <x:c r="Q68" s="22" t="str">
        <x:v>https://www.google.com/maps/search/?api=1&amp;query=41.8923984,12.4972974</x:v>
      </x:c>
      <x:c r="R68" s="28" t="n">
        <x:f>IF(A68=A67,ROUND(SQRT(POWER((I68-I67)*111000,2)+POWER((J68-J67)*111000*COS(RADIANS((I68+I67)/2)),2)),0),0)</x:f>
        <x:v>642</x:v>
      </x:c>
      <x:c r="S68" s="28" t="n">
        <x:f>ROUND(R68*'Kriterien'!$B$6,0)</x:f>
        <x:v>803</x:v>
      </x:c>
      <x:c r="T68" s="22" t="str">
        <x:v>V03-Punkt; VISUAL_EVIDENCE_NOT_YET_VERIFIED|EXTERIOR_VANTAGE_POINT_REQUIRED|PAID_INTERIOR_OR_SITE_RISK_USE_EXTERIOR_ONLY</x:v>
      </x:c>
      <x:c r="U68" s="22" t="str">
        <x:v>Vapore delle Terme</x:v>
      </x:c>
    </x:row>
    <x:row r="69" ht="58" customHeight="1">
      <x:c r="A69" s="22" t="str">
        <x:v>D2-Q10</x:v>
      </x:c>
      <x:c r="B69" s="22" t="str">
        <x:v>REGULAER</x:v>
      </x:c>
      <x:c r="C69" s="22" t="str">
        <x:v>DAY_2</x:v>
      </x:c>
      <x:c r="D69" s="22" t="n">
        <x:v>1</x:v>
      </x:c>
      <x:c r="E69" s="22" t="str">
        <x:v>place_day_2_porta_maggiore_aqua_claudia</x:v>
      </x:c>
      <x:c r="F69" s="22" t="str">
        <x:v>Porta Maggiore und Aqua Claudia</x:v>
      </x:c>
      <x:c r="G69" s="22" t="str">
        <x:v>START / ERSTER HINWEIS</x:v>
      </x:c>
      <x:c r="H69" s="22" t="str">
        <x:v>D2_SANTA_MARIA_MAGGIORE</x:v>
      </x:c>
      <x:c r="I69" s="25" t="n">
        <x:v>41.89118</x:v>
      </x:c>
      <x:c r="J69" s="25" t="n">
        <x:v>12.51572</x:v>
      </x:c>
      <x:c r="K69" s="22" t="str">
        <x:v>GRUEN</x:v>
      </x:c>
      <x:c r="L69" s="22" t="str">
        <x:v>GRUEN_VERKEHRSABSTAND</x:v>
      </x:c>
      <x:c r="M69" s="22" t="str">
        <x:v>Zwei große Durchgänge, darüber mehrere gemauerte Aquäduktkanäle und monumentale Inschriften.</x:v>
      </x:c>
      <x:c r="N69" s="22" t="str">
        <x:v>Wie viele große Durchgänge besitzt der antike Doppelbogen?</x:v>
      </x:c>
      <x:c r="O69" s="22" t="str">
        <x:v>Zwei</x:v>
      </x:c>
      <x:c r="P69" s="22" t="str">
        <x:v>https://www.sovraintendenzaroma.it/i_luoghi/roma_antica/monumenti/porta_maggiore</x:v>
      </x:c>
      <x:c r="Q69" s="22" t="str">
        <x:v>https://www.google.com/maps/search/?api=1&amp;query=41.89118,12.51572</x:v>
      </x:c>
      <x:c r="R69" s="28" t="n">
        <x:f>IF(A69=A68,ROUND(SQRT(POWER((I69-I68)*111000,2)+POWER((J69-J68)*111000*COS(RADIANS((I69+I68)/2)),2)),0),0)</x:f>
        <x:v>0</x:v>
      </x:c>
      <x:c r="S69" s="28" t="n">
        <x:f>ROUND(R69*'Kriterien'!$B$6,0)</x:f>
        <x:v>0</x:v>
      </x:c>
      <x:c r="T69" s="22" t="str">
        <x:v>V03-Punkt; Sicheren Gehwegpunkt festlegen; keine Überquerung des Verkehrsknotens verlangen.</x:v>
      </x:c>
      <x:c r="U69" s="22" t="str">
        <x:v>Idra dell’Aqua Claudia</x:v>
      </x:c>
    </x:row>
    <x:row r="70" ht="58" customHeight="1">
      <x:c r="A70" s="22" t="str">
        <x:v>M-D1-01</x:v>
      </x:c>
      <x:c r="B70" s="22" t="str">
        <x:v>MEDIA_LOCAL</x:v>
      </x:c>
      <x:c r="C70" s="22" t="str">
        <x:v>DAY_1</x:v>
      </x:c>
      <x:c r="D70" s="22" t="n">
        <x:v>1</x:v>
      </x:c>
      <x:c r="E70" s="22" t="str">
        <x:v>place_day_1_piazza_san_pietro</x:v>
      </x:c>
      <x:c r="F70" s="22" t="str">
        <x:v>Petersplatz</x:v>
      </x:c>
      <x:c r="G70" s="22" t="str">
        <x:v>START / ERSTER HINWEIS</x:v>
      </x:c>
      <x:c r="H70" s="22" t="str">
        <x:v>D1_VATICANO_PRATI_BORGO</x:v>
      </x:c>
      <x:c r="I70" s="25" t="n">
        <x:v>41.9022286</x:v>
      </x:c>
      <x:c r="J70" s="25" t="n">
        <x:v>12.4573576</x:v>
      </x:c>
      <x:c r="K70" s="22" t="str">
        <x:v>GELB</x:v>
      </x:c>
      <x:c r="L70" s="22" t="str">
        <x:v>GELB_MENSCHENMENGE</x:v>
      </x:c>
      <x:c r="M70" s="22" t="str">
        <x:v>Runde Marmor-Brennpunktmarkierung im Pflaster zwischen Obelisk und Kolonnade; danach Blick auf die großen Säulen.</x:v>
      </x:c>
      <x:c r="N70" s="22" t="str">
        <x:v>Stellt euch auf eine der runden Marmorplatten auf der Querachse des Obelisken und blickt zur Kolonnade. Wie viele Säulenreihen scheinen übrig zu bleiben?</x:v>
      </x:c>
      <x:c r="O70" s="22" t="str">
        <x:v>Eine</x:v>
      </x:c>
      <x:c r="P70" s="22" t="str">
        <x:v>https://www.turismoroma.it/it/luoghi/piazza-san-pietro</x:v>
      </x:c>
      <x:c r="Q70" s="22" t="str">
        <x:v>https://www.google.com/maps/search/?api=1&amp;query=41.9022286,12.4573576</x:v>
      </x:c>
      <x:c r="R70" s="28" t="n">
        <x:f>IF(A70=A69,ROUND(SQRT(POWER((I70-I69)*111000,2)+POWER((J70-J69)*111000*COS(RADIANS((I70+I69)/2)),2)),0),0)</x:f>
        <x:v>0</x:v>
      </x:c>
      <x:c r="S70" s="28" t="n">
        <x:f>ROUND(R70*'Kriterien'!$B$6,0)</x:f>
        <x:v>0</x:v>
      </x:c>
      <x:c r="T70" s="22" t="str">
        <x:v>V03-Punkt; Die Bodenmarkierung muss vor Veröffentlichung auf einem aktuellen Bild eindeutig lokalisiert werden.</x:v>
      </x:c>
      <x:c r="U70" s="22" t="str"/>
    </x:row>
    <x:row r="71" ht="58" customHeight="1">
      <x:c r="A71" s="22" t="str">
        <x:v>M-D1-02</x:v>
      </x:c>
      <x:c r="B71" s="22" t="str">
        <x:v>MEDIA_LOCAL</x:v>
      </x:c>
      <x:c r="C71" s="22" t="str">
        <x:v>DAY_1</x:v>
      </x:c>
      <x:c r="D71" s="22" t="n">
        <x:v>1</x:v>
      </x:c>
      <x:c r="E71" s="22" t="str">
        <x:v>place_day_1_ponte_sant_angelo</x:v>
      </x:c>
      <x:c r="F71" s="22" t="str">
        <x:v>Engelsbrücke</x:v>
      </x:c>
      <x:c r="G71" s="22" t="str">
        <x:v>START / ERSTER HINWEIS</x:v>
      </x:c>
      <x:c r="H71" s="22" t="str">
        <x:v>D1_VATICANO_PRATI_BORGO</x:v>
      </x:c>
      <x:c r="I71" s="25" t="n">
        <x:v>41.9018932</x:v>
      </x:c>
      <x:c r="J71" s="25" t="n">
        <x:v>12.4664274</x:v>
      </x:c>
      <x:c r="K71" s="22" t="str">
        <x:v>GRUEN</x:v>
      </x:c>
      <x:c r="L71" s="22" t="str">
        <x:v>GRUEN_KONZEPTREIF</x:v>
      </x:c>
      <x:c r="M71" s="22" t="str">
        <x:v>Zehn große Engelsfiguren auf beiden Balustraden; Petrus und Paulus stehen getrennt an den Brückenköpfen.</x:v>
      </x:c>
      <x:c r="N71" s="22" t="str">
        <x:v>Wie viele Engel auf der Brücke tragen Symbole der Passion Christi? Zählt Petrus und Paulus an den Brückenköpfen nicht mit.</x:v>
      </x:c>
      <x:c r="O71" s="22" t="str">
        <x:v>10</x:v>
      </x:c>
      <x:c r="P71" s="22" t="str">
        <x:v>https://www.turismoroma.it/en/places/terrace-castel-santangelo</x:v>
      </x:c>
      <x:c r="Q71" s="22" t="str">
        <x:v>https://www.google.com/maps/search/?api=1&amp;query=41.9018932,12.4664274</x:v>
      </x:c>
      <x:c r="R71" s="28" t="n">
        <x:f>IF(A71=A70,ROUND(SQRT(POWER((I71-I70)*111000,2)+POWER((J71-J70)*111000*COS(RADIANS((I71+I70)/2)),2)),0),0)</x:f>
        <x:v>0</x:v>
      </x:c>
      <x:c r="S71" s="28" t="n">
        <x:f>ROUND(R71*'Kriterien'!$B$6,0)</x:f>
        <x:v>0</x:v>
      </x:c>
      <x:c r="T71" s="22" t="str">
        <x:v>V03-Punkt; VISUAL_EVIDENCE_NOT_YET_VERIFIED|CROWDING_RISK</x:v>
      </x:c>
      <x:c r="U71" s="22" t="str"/>
    </x:row>
    <x:row r="72" ht="58" customHeight="1">
      <x:c r="A72" s="22" t="str">
        <x:v>M-D1-03</x:v>
      </x:c>
      <x:c r="B72" s="22" t="str">
        <x:v>MEDIA_LOCAL</x:v>
      </x:c>
      <x:c r="C72" s="22" t="str">
        <x:v>DAY_1</x:v>
      </x:c>
      <x:c r="D72" s="22" t="n">
        <x:v>1</x:v>
      </x:c>
      <x:c r="E72" s="22" t="str">
        <x:v>place_day_1_piazza_navona</x:v>
      </x:c>
      <x:c r="F72" s="22" t="str">
        <x:v>Piazza Navona</x:v>
      </x:c>
      <x:c r="G72" s="22" t="str">
        <x:v>START / ERSTER HINWEIS</x:v>
      </x:c>
      <x:c r="H72" s="22" t="str">
        <x:v>D1_NAVONA_PANTHEON</x:v>
      </x:c>
      <x:c r="I72" s="25" t="n">
        <x:v>41.8989256</x:v>
      </x:c>
      <x:c r="J72" s="25" t="n">
        <x:v>12.4730991</x:v>
      </x:c>
      <x:c r="K72" s="22" t="str">
        <x:v>GRUEN</x:v>
      </x:c>
      <x:c r="L72" s="22" t="str">
        <x:v>GRUEN_MENSCHENMENGE</x:v>
      </x:c>
      <x:c r="M72" s="22" t="str">
        <x:v>Drei weit auseinanderliegende Großbrunnen entlang der Platzachse.</x:v>
      </x:c>
      <x:c r="N72" s="22" t="str">
        <x:v>Wie viele große Brunnen liegen entlang der Längsachse der Piazza Navona?</x:v>
      </x:c>
      <x:c r="O72" s="22" t="str">
        <x:v>Drei</x:v>
      </x:c>
      <x:c r="P72" s="22" t="str">
        <x:v>https://it.wikipedia.org/wiki/Piazza_Navona</x:v>
      </x:c>
      <x:c r="Q72" s="22" t="str">
        <x:v>https://www.google.com/maps/search/?api=1&amp;query=41.8989256,12.4730991</x:v>
      </x:c>
      <x:c r="R72" s="28" t="n">
        <x:f>IF(A72=A71,ROUND(SQRT(POWER((I72-I71)*111000,2)+POWER((J72-J71)*111000*COS(RADIANS((I72+I71)/2)),2)),0),0)</x:f>
        <x:v>0</x:v>
      </x:c>
      <x:c r="S72" s="28" t="n">
        <x:f>ROUND(R72*'Kriterien'!$B$6,0)</x:f>
        <x:v>0</x:v>
      </x:c>
      <x:c r="T72" s="22" t="str">
        <x:v>V03-Punkt; Für die Medienquest sind alle drei Brunnen als separate Fotostationen zu markieren.</x:v>
      </x:c>
      <x:c r="U72" s="22" t="str"/>
    </x:row>
    <x:row r="73" ht="58" customHeight="1">
      <x:c r="A73" s="22" t="str">
        <x:v>M-D1-03</x:v>
      </x:c>
      <x:c r="B73" s="22" t="str">
        <x:v>MEDIA_LOCAL</x:v>
      </x:c>
      <x:c r="C73" s="22" t="str">
        <x:v>DAY_1</x:v>
      </x:c>
      <x:c r="D73" s="22" t="n">
        <x:v>2</x:v>
      </x:c>
      <x:c r="E73" s="22" t="str">
        <x:v>place_day_1_fontana_del_nettuno</x:v>
      </x:c>
      <x:c r="F73" s="22" t="str">
        <x:v>Neptunsbrunnen</x:v>
      </x:c>
      <x:c r="G73" s="22" t="str">
        <x:v>ZWISCHENSTATION</x:v>
      </x:c>
      <x:c r="H73" s="22" t="str">
        <x:v>D1_NAVONA_PANTHEON</x:v>
      </x:c>
      <x:c r="I73" s="25" t="n">
        <x:v>41.8997976</x:v>
      </x:c>
      <x:c r="J73" s="25" t="n">
        <x:v>12.4730207</x:v>
      </x:c>
      <x:c r="K73" s="22" t="str">
        <x:v>GRUEN</x:v>
      </x:c>
      <x:c r="L73" s="22" t="str">
        <x:v>GRUEN_KONZEPTREIF</x:v>
      </x:c>
      <x:c r="M73" s="22" t="str">
        <x:v>Große zentrale Neptunfigur im Ringkampf mit einem vielarmigen Meerestier.</x:v>
      </x:c>
      <x:c r="N73" s="22" t="str">
        <x:v>Mit welchem Meerestier ringt Neptun in der zentralen Skulptur?</x:v>
      </x:c>
      <x:c r="O73" s="22" t="str">
        <x:v>Mit einem Oktopus</x:v>
      </x:c>
      <x:c r="P73" s="22" t="str">
        <x:v>https://it.wikipedia.org/wiki/Fontana_del_Nettuno_(Roma)</x:v>
      </x:c>
      <x:c r="Q73" s="22" t="str">
        <x:v>https://www.google.com/maps/search/?api=1&amp;query=41.8997976,12.4730207</x:v>
      </x:c>
      <x:c r="R73" s="28" t="n">
        <x:f>IF(A73=A72,ROUND(SQRT(POWER((I73-I72)*111000,2)+POWER((J73-J72)*111000*COS(RADIANS((I73+I72)/2)),2)),0),0)</x:f>
        <x:v>97</x:v>
      </x:c>
      <x:c r="S73" s="28" t="n">
        <x:f>ROUND(R73*'Kriterien'!$B$6,0)</x:f>
        <x:v>121</x:v>
      </x:c>
      <x:c r="T73" s="22" t="str">
        <x:v>V03-Punkt; VISUAL_EVIDENCE_NOT_YET_VERIFIED|CROWDING_RISK</x:v>
      </x:c>
      <x:c r="U73" s="22" t="str"/>
    </x:row>
    <x:row r="74" ht="58" customHeight="1">
      <x:c r="A74" s="22" t="str">
        <x:v>M-D1-03</x:v>
      </x:c>
      <x:c r="B74" s="22" t="str">
        <x:v>MEDIA_LOCAL</x:v>
      </x:c>
      <x:c r="C74" s="22" t="str">
        <x:v>DAY_1</x:v>
      </x:c>
      <x:c r="D74" s="22" t="n">
        <x:v>3</x:v>
      </x:c>
      <x:c r="E74" s="22" t="str">
        <x:v>place_day_1_fontana_del_moro</x:v>
      </x:c>
      <x:c r="F74" s="22" t="str">
        <x:v>Mohrenbrunnen</x:v>
      </x:c>
      <x:c r="G74" s="22" t="str">
        <x:v>ABSCHLUSS</x:v>
      </x:c>
      <x:c r="H74" s="22" t="str">
        <x:v>D1_NAVONA_PANTHEON</x:v>
      </x:c>
      <x:c r="I74" s="25" t="n">
        <x:v>41.8981115</x:v>
      </x:c>
      <x:c r="J74" s="25" t="n">
        <x:v>12.4731529</x:v>
      </x:c>
      <x:c r="K74" s="22" t="str">
        <x:v>GRUEN</x:v>
      </x:c>
      <x:c r="L74" s="22" t="str">
        <x:v>GRUEN_KONZEPTREIF</x:v>
      </x:c>
      <x:c r="M74" s="22" t="str">
        <x:v>Zentrale männliche Figur mit Delfin; vier Tritonen im unteren Becken.</x:v>
      </x:c>
      <x:c r="N74" s="22" t="str">
        <x:v>Welches Tier hält die zentrale Figur des Mohrenbrunnens fest?</x:v>
      </x:c>
      <x:c r="O74" s="22" t="str">
        <x:v>Einen Delfin</x:v>
      </x:c>
      <x:c r="P74" s="22" t="str">
        <x:v>https://it.wikipedia.org/wiki/Fontana_del_Moro</x:v>
      </x:c>
      <x:c r="Q74" s="22" t="str">
        <x:v>https://www.google.com/maps/search/?api=1&amp;query=41.8981115,12.4731529</x:v>
      </x:c>
      <x:c r="R74" s="28" t="n">
        <x:f>IF(A74=A73,ROUND(SQRT(POWER((I74-I73)*111000,2)+POWER((J74-J73)*111000*COS(RADIANS((I74+I73)/2)),2)),0),0)</x:f>
        <x:v>187</x:v>
      </x:c>
      <x:c r="S74" s="28" t="n">
        <x:f>ROUND(R74*'Kriterien'!$B$6,0)</x:f>
        <x:v>234</x:v>
      </x:c>
      <x:c r="T74" s="22" t="str">
        <x:v>V03-Punkt; VISUAL_EVIDENCE_NOT_YET_VERIFIED|CROWDING_RISK</x:v>
      </x:c>
      <x:c r="U74" s="22" t="str"/>
    </x:row>
    <x:row r="75" ht="58" customHeight="1">
      <x:c r="A75" s="22" t="str">
        <x:v>M-LT-01</x:v>
      </x:c>
      <x:c r="B75" s="22" t="str">
        <x:v>MEDIA_LANGZEIT</x:v>
      </x:c>
      <x:c r="C75" s="22" t="str">
        <x:v>BOTH_DAYS</x:v>
      </x:c>
      <x:c r="D75" s="22" t="n">
        <x:v>1</x:v>
      </x:c>
      <x:c r="E75" s="22" t="str">
        <x:v>place_day_1_teatro_di_marcello</x:v>
      </x:c>
      <x:c r="F75" s="22" t="str">
        <x:v>Marcellustheater</x:v>
      </x:c>
      <x:c r="G75" s="22" t="str">
        <x:v>START / ERSTER HINWEIS</x:v>
      </x:c>
      <x:c r="H75" s="22" t="str">
        <x:v>D1_CAMPO_REGOLA_GHETTO</x:v>
      </x:c>
      <x:c r="I75" s="25" t="n">
        <x:v>41.892202</x:v>
      </x:c>
      <x:c r="J75" s="25" t="n">
        <x:v>12.479938</x:v>
      </x:c>
      <x:c r="K75" s="22" t="str">
        <x:v>GRUEN</x:v>
      </x:c>
      <x:c r="L75" s="22" t="str">
        <x:v>GRUEN_AUSSENPUNKT</x:v>
      </x:c>
      <x:c r="M75" s="22" t="str">
        <x:v>Zwei übereinanderliegende antike Arkadenebenen unter einem späteren Wohnpalast.</x:v>
      </x:c>
      <x:c r="N75" s="22" t="str">
        <x:v>Wie viele übereinanderliegende antike Arkadengeschosse sind von außen klar sichtbar?</x:v>
      </x:c>
      <x:c r="O75" s="22" t="str">
        <x:v>Zwei</x:v>
      </x:c>
      <x:c r="P75" s="22" t="str">
        <x:v>https://www.turismoroma.it/it/luoghi/teatro-di-marcello</x:v>
      </x:c>
      <x:c r="Q75" s="22" t="str">
        <x:v>https://www.google.com/maps/search/?api=1&amp;query=41.892202,12.479938</x:v>
      </x:c>
      <x:c r="R75" s="28" t="n">
        <x:f>IF(A75=A74,ROUND(SQRT(POWER((I75-I74)*111000,2)+POWER((J75-J74)*111000*COS(RADIANS((I75+I74)/2)),2)),0),0)</x:f>
        <x:v>0</x:v>
      </x:c>
      <x:c r="S75" s="28" t="n">
        <x:f>ROUND(R75*'Kriterien'!$B$6,0)</x:f>
        <x:v>0</x:v>
      </x:c>
      <x:c r="T75" s="22" t="str">
        <x:v>V03-Punkt; Offizieller Fußweg erlaubt Außenbesichtigung; Medienquest-Pickup ohne Zugang zu Innenräumen.</x:v>
      </x:c>
      <x:c r="U75" s="22" t="str">
        <x:v>Maschera del Dramma</x:v>
      </x:c>
    </x:row>
    <x:row r="76" ht="58" customHeight="1">
      <x:c r="A76" s="22" t="str">
        <x:v>M-D2-01</x:v>
      </x:c>
      <x:c r="B76" s="22" t="str">
        <x:v>MEDIA_LOCAL</x:v>
      </x:c>
      <x:c r="C76" s="22" t="str">
        <x:v>DAY_2</x:v>
      </x:c>
      <x:c r="D76" s="22" t="n">
        <x:v>1</x:v>
      </x:c>
      <x:c r="E76" s="22" t="str">
        <x:v>place_day_2_circo_massimo</x:v>
      </x:c>
      <x:c r="F76" s="22" t="str">
        <x:v>Circus Maximus</x:v>
      </x:c>
      <x:c r="G76" s="22" t="str">
        <x:v>START / ERSTER HINWEIS</x:v>
      </x:c>
      <x:c r="H76" s="22" t="str">
        <x:v>D2_AVENTINO_FORUM_BOARIUM</x:v>
      </x:c>
      <x:c r="I76" s="25" t="n">
        <x:v>41.886650681433466</x:v>
      </x:c>
      <x:c r="J76" s="25" t="n">
        <x:v>12.484508661426391</x:v>
      </x:c>
      <x:c r="K76" s="22" t="str">
        <x:v>GRUEN</x:v>
      </x:c>
      <x:c r="L76" s="22" t="str">
        <x:v>GRUEN_MEDIENQUEST</x:v>
      </x:c>
      <x:c r="M76" s="22" t="str">
        <x:v>Sehr große langgestreckte Senke der Rennbahn zwischen zwei Hügeln.</x:v>
      </x:c>
      <x:c r="N76" s="22" t="str">
        <x:v>Zwischen welchen zwei Hügeln liegt der Circus Maximus?</x:v>
      </x:c>
      <x:c r="O76" s="22" t="str">
        <x:v>Palatin und Aventin</x:v>
      </x:c>
      <x:c r="P76" s="22" t="str">
        <x:v>https://www.turismoroma.it/en/places/circus-maximus</x:v>
      </x:c>
      <x:c r="Q76" s="22" t="str">
        <x:v>https://www.google.com/maps/search/?api=1&amp;query=41.886650681433466,12.484508661426391</x:v>
      </x:c>
      <x:c r="R76" s="28" t="n">
        <x:f>IF(A76=A75,ROUND(SQRT(POWER((I76-I75)*111000,2)+POWER((J76-J75)*111000*COS(RADIANS((I76+I75)/2)),2)),0),0)</x:f>
        <x:v>0</x:v>
      </x:c>
      <x:c r="S76" s="28" t="n">
        <x:f>ROUND(R76*'Kriterien'!$B$6,0)</x:f>
        <x:v>0</x:v>
      </x:c>
      <x:c r="T76" s="22" t="str">
        <x:v>Official Turismo Roma coordinate; page states that the site is always open. The photoquest must remain in the freely accessible open area.; Fotoquest Streitwagenrennen: exakt fünf Bilder; Pickup und Upload am selben Außenpunkt im 15-m-Radius.</x:v>
      </x:c>
      <x:c r="U76" s="22" t="str">
        <x:v>Rasender Kutschergeist</x:v>
      </x:c>
    </x:row>
    <x:row r="77" ht="58" customHeight="1">
      <x:c r="A77" s="22" t="str">
        <x:v>M-D2-02</x:v>
      </x:c>
      <x:c r="B77" s="22" t="str">
        <x:v>MEDIA_LOCAL</x:v>
      </x:c>
      <x:c r="C77" s="22" t="str">
        <x:v>DAY_2</x:v>
      </x:c>
      <x:c r="D77" s="22" t="n">
        <x:v>1</x:v>
      </x:c>
      <x:c r="E77" s="22" t="str">
        <x:v>place_day_2_colosseo</x:v>
      </x:c>
      <x:c r="F77" s="22" t="str">
        <x:v>Kolosseum</x:v>
      </x:c>
      <x:c r="G77" s="22" t="str">
        <x:v>START / ERSTER HINWEIS</x:v>
      </x:c>
      <x:c r="H77" s="22" t="str">
        <x:v>D2_FORUM_COLOSSEO</x:v>
      </x:c>
      <x:c r="I77" s="25" t="n">
        <x:v>41.88989</x:v>
      </x:c>
      <x:c r="J77" s="25" t="n">
        <x:v>12.49337</x:v>
      </x:c>
      <x:c r="K77" s="22" t="str">
        <x:v>GRUEN</x:v>
      </x:c>
      <x:c r="L77" s="22" t="str">
        <x:v>GRUEN_AUSSENPUNKT</x:v>
      </x:c>
      <x:c r="M77" s="22" t="str">
        <x:v>Drei große Reihen offener Arkaden an der hohen erhaltenen Außenwand.</x:v>
      </x:c>
      <x:c r="N77" s="22" t="str">
        <x:v>Wie viele übereinanderliegende Reihen offener Arkaden sind an der hohen Außenwand sichtbar?</x:v>
      </x:c>
      <x:c r="O77" s="22" t="str">
        <x:v>Drei</x:v>
      </x:c>
      <x:c r="P77" s="22" t="str">
        <x:v>https://it.wikipedia.org/wiki/Colosseo</x:v>
      </x:c>
      <x:c r="Q77" s="22" t="str">
        <x:v>https://www.google.com/maps/search/?api=1&amp;query=41.88989,12.49337</x:v>
      </x:c>
      <x:c r="R77" s="28" t="n">
        <x:f>IF(A77=A76,ROUND(SQRT(POWER((I77-I76)*111000,2)+POWER((J77-J76)*111000*COS(RADIANS((I77+I76)/2)),2)),0),0)</x:f>
        <x:v>0</x:v>
      </x:c>
      <x:c r="S77" s="28" t="n">
        <x:f>ROUND(R77*'Kriterien'!$B$6,0)</x:f>
        <x:v>0</x:v>
      </x:c>
      <x:c r="T77" s="22" t="str">
        <x:v>Moved from the monument centroid to Piazza del Colosseo for the exterior photoquest. No ticket, queue or archaeological-area entry may be required.; Außenkoordinate verwenden; weder Eintritt noch Sicherheitskontrolle dürfen erforderlich sein.</x:v>
      </x:c>
      <x:c r="U77" s="22" t="str">
        <x:v>Gladiator</x:v>
      </x:c>
    </x:row>
    <x:row r="78" ht="58" customHeight="1">
      <x:c r="A78" s="22" t="str">
        <x:v>M-D2-03</x:v>
      </x:c>
      <x:c r="B78" s="22" t="str">
        <x:v>MEDIA_LOCAL</x:v>
      </x:c>
      <x:c r="C78" s="22" t="str">
        <x:v>DAY_2</x:v>
      </x:c>
      <x:c r="D78" s="22" t="n">
        <x:v>1</x:v>
      </x:c>
      <x:c r="E78" s="22" t="str">
        <x:v>place_day_2_mercati_di_traiano</x:v>
      </x:c>
      <x:c r="F78" s="22" t="str">
        <x:v>Trajansmärkte</x:v>
      </x:c>
      <x:c r="G78" s="22" t="str">
        <x:v>START / ERSTER HINWEIS</x:v>
      </x:c>
      <x:c r="H78" s="22" t="str">
        <x:v>D2_CAMPIDOGLIO_FORI_TRAIANEI</x:v>
      </x:c>
      <x:c r="I78" s="25" t="n">
        <x:v>41.8962514</x:v>
      </x:c>
      <x:c r="J78" s="25" t="n">
        <x:v>12.4860984</x:v>
      </x:c>
      <x:c r="K78" s="22" t="str">
        <x:v>GRUEN</x:v>
      </x:c>
      <x:c r="L78" s="22" t="str">
        <x:v>GRUEN_AUSSENPUNKT</x:v>
      </x:c>
      <x:c r="M78" s="22" t="str">
        <x:v>Mehrgeschossiger Ziegel-Halbkreis mit vielen Bogenöffnungen, vom öffentlichen Bereich Via IV Novembre sichtbar.</x:v>
      </x:c>
      <x:c r="N78" s="22" t="str">
        <x:v>Welche Form beschreibt die große Außenfassade am besten?</x:v>
      </x:c>
      <x:c r="O78" s="22" t="str">
        <x:v>Halbkreisförmig</x:v>
      </x:c>
      <x:c r="P78" s="22" t="str">
        <x:v>https://www.mercatiditraiano.it/en/museo/sede/mercati_di_traiano_storia</x:v>
      </x:c>
      <x:c r="Q78" s="22" t="str">
        <x:v>https://www.google.com/maps/search/?api=1&amp;query=41.8962514,12.4860984</x:v>
      </x:c>
      <x:c r="R78" s="28" t="n">
        <x:f>IF(A78=A77,ROUND(SQRT(POWER((I78-I77)*111000,2)+POWER((J78-J77)*111000*COS(RADIANS((I78+I77)/2)),2)),0),0)</x:f>
        <x:v>0</x:v>
      </x:c>
      <x:c r="S78" s="28" t="n">
        <x:f>ROUND(R78*'Kriterien'!$B$6,0)</x:f>
        <x:v>0</x:v>
      </x:c>
      <x:c r="T78" s="22" t="str">
        <x:v>Videoquest point uses the official Via Quattro Novembre 94 address outside the paid museum. Verify an unobstructed public pavement position before release.; Videoquest ausschließlich am öffentlichen Außenpunkt; Museumseintritt ist nicht Bestandteil.</x:v>
      </x:c>
      <x:c r="U78" s="22" t="str">
        <x:v>Spettro della Taberna</x:v>
      </x:c>
    </x:row>
    <x:row r="79" ht="58" customHeight="1">
      <x:c r="A79" s="22" t="str">
        <x:v>H-D1-01</x:v>
      </x:c>
      <x:c r="B79" s="22" t="str">
        <x:v>HIDDEN</x:v>
      </x:c>
      <x:c r="C79" s="22" t="str">
        <x:v>DAY_1</x:v>
      </x:c>
      <x:c r="D79" s="22" t="n">
        <x:v>1</x:v>
      </x:c>
      <x:c r="E79" s="22" t="str">
        <x:v>place_day_1_fontana_delle_tartarughe</x:v>
      </x:c>
      <x:c r="F79" s="22" t="str">
        <x:v>Fontana delle Tartarughe</x:v>
      </x:c>
      <x:c r="G79" s="22" t="str">
        <x:v>START / ERSTER HINWEIS</x:v>
      </x:c>
      <x:c r="H79" s="22" t="str">
        <x:v>D1_TREVI_QUIRINALE</x:v>
      </x:c>
      <x:c r="I79" s="25" t="n">
        <x:v>41.893782</x:v>
      </x:c>
      <x:c r="J79" s="25" t="n">
        <x:v>12.477456</x:v>
      </x:c>
      <x:c r="K79" s="22" t="str">
        <x:v>GRUEN</x:v>
      </x:c>
      <x:c r="L79" s="22" t="str">
        <x:v>GRUEN_KONZEPTREIF</x:v>
      </x:c>
      <x:c r="M79" s="22" t="str">
        <x:v>Vier deutlich sichtbare Schildkröten am Rand des oberen Beckens.</x:v>
      </x:c>
      <x:c r="N79" s="22" t="str">
        <x:v>Wie viele Schildkröten klettern zum oberen Becken?</x:v>
      </x:c>
      <x:c r="O79" s="22" t="str">
        <x:v>Vier</x:v>
      </x:c>
      <x:c r="P79" s="22" t="str">
        <x:v>https://www.turismoroma.it/it/luoghi/fontana-delle-tartarughe</x:v>
      </x:c>
      <x:c r="Q79" s="22" t="str">
        <x:v>https://www.google.com/maps/search/?api=1&amp;query=41.893782,12.477456</x:v>
      </x:c>
      <x:c r="R79" s="28" t="n">
        <x:f>IF(A79=A78,ROUND(SQRT(POWER((I79-I78)*111000,2)+POWER((J79-J78)*111000*COS(RADIANS((I79+I78)/2)),2)),0),0)</x:f>
        <x:v>0</x:v>
      </x:c>
      <x:c r="S79" s="28" t="n">
        <x:f>ROUND(R79*'Kriterien'!$B$6,0)</x:f>
        <x:v>0</x:v>
      </x:c>
      <x:c r="T79" s="22" t="str">
        <x:v>Corrected an erroneous OSM-derived point to the official Turismo Roma coordinate in Piazza Mattei.; VISUAL_EVIDENCE_NOT_YET_VERIFIED</x:v>
      </x:c>
      <x:c r="U79" s="22" t="str">
        <x:v>Custode delle Tartarughe</x:v>
      </x:c>
    </x:row>
    <x:row r="80" ht="58" customHeight="1">
      <x:c r="A80" s="22" t="str">
        <x:v>H-D1-02</x:v>
      </x:c>
      <x:c r="B80" s="22" t="str">
        <x:v>HIDDEN</x:v>
      </x:c>
      <x:c r="C80" s="22" t="str">
        <x:v>DAY_1</x:v>
      </x:c>
      <x:c r="D80" s="22" t="n">
        <x:v>1</x:v>
      </x:c>
      <x:c r="E80" s="22" t="str">
        <x:v>place_day_1_acquedotto_vergine</x:v>
      </x:c>
      <x:c r="F80" s="22" t="str">
        <x:v>Acquedotto Vergine</x:v>
      </x:c>
      <x:c r="G80" s="22" t="str">
        <x:v>START / ERSTER HINWEIS</x:v>
      </x:c>
      <x:c r="H80" s="22" t="str">
        <x:v>D1_TREVI_QUIRINALE</x:v>
      </x:c>
      <x:c r="I80" s="25" t="n">
        <x:v>41.9026109</x:v>
      </x:c>
      <x:c r="J80" s="25" t="n">
        <x:v>12.4837108</x:v>
      </x:c>
      <x:c r="K80" s="22" t="str">
        <x:v>GELB</x:v>
      </x:c>
      <x:c r="L80" s="22" t="str">
        <x:v>GELB_TEILWEISE_VERDECKT</x:v>
      </x:c>
      <x:c r="M80" s="22" t="str">
        <x:v>Drei teilweise im heutigen Bodenniveau versunkene Travertinarkaden hinter einer Absperrung.</x:v>
      </x:c>
      <x:c r="N80" s="22" t="str">
        <x:v>Wie viele kleinere antike Arkaden sind in der Via del Nazareno nebeneinander erhalten?</x:v>
      </x:c>
      <x:c r="O80" s="22" t="str">
        <x:v>Drei</x:v>
      </x:c>
      <x:c r="P80" s="22" t="str">
        <x:v>https://www.sovraintendenzaroma.it/i_luoghi/roma_antica/monumenti/acquedotto_vergine</x:v>
      </x:c>
      <x:c r="Q80" s="22" t="str">
        <x:v>https://www.google.com/maps/search/?api=1&amp;query=41.9026109,12.4837108</x:v>
      </x:c>
      <x:c r="R80" s="28" t="n">
        <x:f>IF(A80=A79,ROUND(SQRT(POWER((I80-I79)*111000,2)+POWER((J80-J79)*111000*COS(RADIANS((I80+I79)/2)),2)),0),0)</x:f>
        <x:v>0</x:v>
      </x:c>
      <x:c r="S80" s="28" t="n">
        <x:f>ROUND(R80*'Kriterien'!$B$6,0)</x:f>
        <x:v>0</x:v>
      </x:c>
      <x:c r="T80" s="22" t="str">
        <x:v>V03-Punkt; Die Arkaden sind teilweise eingetieft und durch Gitter verdeckt; nur nach aktuellem Sichttest als Pflichtfrage einsetzen.</x:v>
      </x:c>
      <x:c r="U80" s="22" t="str">
        <x:v>Ratto dell’Acqua Virgo</x:v>
      </x:c>
    </x:row>
    <x:row r="81" ht="58" customHeight="1">
      <x:c r="A81" s="22" t="str">
        <x:v>H-D1-03</x:v>
      </x:c>
      <x:c r="B81" s="22" t="str">
        <x:v>HIDDEN</x:v>
      </x:c>
      <x:c r="C81" s="22" t="str">
        <x:v>DAY_1</x:v>
      </x:c>
      <x:c r="D81" s="22" t="n">
        <x:v>1</x:v>
      </x:c>
      <x:c r="E81" s="22" t="str">
        <x:v>place_day_1_fontana_dei_satirelli</x:v>
      </x:c>
      <x:c r="F81" s="22" t="str">
        <x:v>Fontana dei Satirelli</x:v>
      </x:c>
      <x:c r="G81" s="22" t="str">
        <x:v>START / ERSTER HINWEIS</x:v>
      </x:c>
      <x:c r="H81" s="22" t="str">
        <x:v>D1_TRASTEVERE_TIBER_ISLAND</x:v>
      </x:c>
      <x:c r="I81" s="25" t="n">
        <x:v>41.8847241</x:v>
      </x:c>
      <x:c r="J81" s="25" t="n">
        <x:v>12.4635989</x:v>
      </x:c>
      <x:c r="K81" s="22" t="str">
        <x:v>GELB</x:v>
      </x:c>
      <x:c r="L81" s="22" t="str">
        <x:v>GELB_PARKOEFFNUNG</x:v>
      </x:c>
      <x:c r="M81" s="22" t="str">
        <x:v>Figürliche Gruppe kleiner Satyrwesen auf einer Felsinszenierung.</x:v>
      </x:c>
      <x:c r="N81" s="22" t="str">
        <x:v>Welche mythologischen Wesen bilden die zentrale Figurengruppe?</x:v>
      </x:c>
      <x:c r="O81" s="22" t="str">
        <x:v>Satyrn</x:v>
      </x:c>
      <x:c r="P81" s="22" t="str">
        <x:v>https://www.comune.roma.it/web/it/attivita-progetto.page?contentId=PRG1072554</x:v>
      </x:c>
      <x:c r="Q81" s="22" t="str">
        <x:v>https://www.google.com/maps/search/?api=1&amp;query=41.8847241,12.4635989</x:v>
      </x:c>
      <x:c r="R81" s="28" t="n">
        <x:f>IF(A81=A80,ROUND(SQRT(POWER((I81-I80)*111000,2)+POWER((J81-J80)*111000*COS(RADIANS((I81+I80)/2)),2)),0),0)</x:f>
        <x:v>0</x:v>
      </x:c>
      <x:c r="S81" s="28" t="n">
        <x:f>ROUND(R81*'Kriterien'!$B$6,0)</x:f>
        <x:v>0</x:v>
      </x:c>
      <x:c r="T81" s="22" t="str">
        <x:v>V03-Punkt; Nur nutzen, wenn Villa Sciarra zu den Spielzeiten sicher geöffnet ist; sonst als Hidden/Reserve.</x:v>
      </x:c>
      <x:c r="U81" s="22" t="str">
        <x:v>I Satirelli Gemelli</x:v>
      </x:c>
    </x:row>
    <x:row r="82" ht="58" customHeight="1">
      <x:c r="A82" s="22" t="str">
        <x:v>H-D2-01</x:v>
      </x:c>
      <x:c r="B82" s="22" t="str">
        <x:v>HIDDEN</x:v>
      </x:c>
      <x:c r="C82" s="22" t="str">
        <x:v>DAY_2</x:v>
      </x:c>
      <x:c r="D82" s="22" t="n">
        <x:v>1</x:v>
      </x:c>
      <x:c r="E82" s="22" t="str">
        <x:v>place_day_2_piazza_vittorio_emanuele_secondo</x:v>
      </x:c>
      <x:c r="F82" s="22" t="str">
        <x:v>Piazza Vittorio Emanuele Secondo</x:v>
      </x:c>
      <x:c r="G82" s="22" t="str">
        <x:v>START / ERSTER HINWEIS</x:v>
      </x:c>
      <x:c r="H82" s="22" t="str">
        <x:v>D2_MONTI_ESQUILINO</x:v>
      </x:c>
      <x:c r="I82" s="25" t="n">
        <x:v>41.8946228</x:v>
      </x:c>
      <x:c r="J82" s="25" t="n">
        <x:v>12.5043081</x:v>
      </x:c>
      <x:c r="K82" s="22" t="str">
        <x:v>GELB</x:v>
      </x:c>
      <x:c r="L82" s="22" t="str">
        <x:v>GELB_PARKOEFFNUNG</x:v>
      </x:c>
      <x:c r="M82" s="22" t="str">
        <x:v>Porta Magica mit alchemistischen Inschriften und zwei massiven Wächterfiguren.</x:v>
      </x:c>
      <x:c r="N82" s="22" t="str">
        <x:v>Wie viele steinerne Wächterfiguren flankieren die Porta Magica?</x:v>
      </x:c>
      <x:c r="O82" s="22" t="str">
        <x:v>Zwei</x:v>
      </x:c>
      <x:c r="P82" s="22" t="str">
        <x:v>https://it.wikipedia.org/wiki/Piazza_Vittorio_Emanuele_II_(Roma)</x:v>
      </x:c>
      <x:c r="Q82" s="22" t="str">
        <x:v>https://www.google.com/maps/search/?api=1&amp;query=41.8946228,12.5043081</x:v>
      </x:c>
      <x:c r="R82" s="28" t="n">
        <x:f>IF(A82=A81,ROUND(SQRT(POWER((I82-I81)*111000,2)+POWER((J82-J81)*111000*COS(RADIANS((I82+I81)/2)),2)),0),0)</x:f>
        <x:v>0</x:v>
      </x:c>
      <x:c r="S82" s="28" t="n">
        <x:f>ROUND(R82*'Kriterien'!$B$6,0)</x:f>
        <x:v>0</x:v>
      </x:c>
      <x:c r="T82" s="22" t="str">
        <x:v>V03-Punkt; Nur innerhalb der sicheren Tagesöffnung des Gartens einplanen; bei Sperre gleichörtige Platzaufgabe bereitstellen.</x:v>
      </x:c>
      <x:c r="U82" s="22" t="str">
        <x:v>Alchemist der Porta Magica</x:v>
      </x:c>
    </x:row>
    <x:row r="83" ht="58" customHeight="1">
      <x:c r="A83" s="22" t="str">
        <x:v>H-D2-02</x:v>
      </x:c>
      <x:c r="B83" s="22" t="str">
        <x:v>HIDDEN</x:v>
      </x:c>
      <x:c r="C83" s="22" t="str">
        <x:v>DAY_2</x:v>
      </x:c>
      <x:c r="D83" s="22" t="n">
        <x:v>1</x:v>
      </x:c>
      <x:c r="E83" s="22" t="str">
        <x:v>place_day_2_piazza_dante</x:v>
      </x:c>
      <x:c r="F83" s="22" t="str">
        <x:v>Piazza Dante</x:v>
      </x:c>
      <x:c r="G83" s="22" t="str">
        <x:v>START / ERSTER HINWEIS</x:v>
      </x:c>
      <x:c r="H83" s="22" t="str">
        <x:v>D2_MONTI_ESQUILINO</x:v>
      </x:c>
      <x:c r="I83" s="25" t="n">
        <x:v>41.8919766</x:v>
      </x:c>
      <x:c r="J83" s="25" t="n">
        <x:v>12.5039912</x:v>
      </x:c>
      <x:c r="K83" s="22" t="str">
        <x:v>GELB</x:v>
      </x:c>
      <x:c r="L83" s="22" t="str">
        <x:v>GELB_PARKOEFFNUNG</x:v>
      </x:c>
      <x:c r="M83" s="22" t="str">
        <x:v>Große Rose der Winde aus Ziegel und Travertin im Gartenpflaster.</x:v>
      </x:c>
      <x:c r="N83" s="22" t="str">
        <x:v>Welches Navigationssymbol bildet das Pflaster im Garten?</x:v>
      </x:c>
      <x:c r="O83" s="22" t="str">
        <x:v>Eine Windrose</x:v>
      </x:c>
      <x:c r="P83" s="22" t="str">
        <x:v>https://www.turismoroma.it/it/luoghi/giardino-di-piazza-dante</x:v>
      </x:c>
      <x:c r="Q83" s="22" t="str">
        <x:v>https://www.google.com/maps/search/?api=1&amp;query=41.8919766,12.5039912</x:v>
      </x:c>
      <x:c r="R83" s="28" t="n">
        <x:f>IF(A83=A82,ROUND(SQRT(POWER((I83-I82)*111000,2)+POWER((J83-J82)*111000*COS(RADIANS((I83+I82)/2)),2)),0),0)</x:f>
        <x:v>0</x:v>
      </x:c>
      <x:c r="S83" s="28" t="n">
        <x:f>ROUND(R83*'Kriterien'!$B$6,0)</x:f>
        <x:v>0</x:v>
      </x:c>
      <x:c r="T83" s="22" t="str">
        <x:v>V03-Punkt; Der Garten ist offiziell von Morgendämmerung bis Abenddämmerung geöffnet; für Tag 2 zeitlich voraussichtlich passend, aber Fallback vorsehen.</x:v>
      </x:c>
      <x:c r="U83" s="22" t="str">
        <x:v>Custode dell’Inferno</x:v>
      </x:c>
    </x:row>
    <x:row r="84" ht="58" customHeight="1">
      <x:c r="A84" s="22" t="str">
        <x:v>B-D1-01</x:v>
      </x:c>
      <x:c r="B84" s="22" t="str">
        <x:v>WORLD_BOSS</x:v>
      </x:c>
      <x:c r="C84" s="22" t="str">
        <x:v>DAY_1</x:v>
      </x:c>
      <x:c r="D84" s="22" t="n">
        <x:v>1</x:v>
      </x:c>
      <x:c r="E84" s="22" t="str">
        <x:v>place_day_1_terrazza_del_gianicolo</x:v>
      </x:c>
      <x:c r="F84" s="22" t="str">
        <x:v>Terrazza del Gianicolo</x:v>
      </x:c>
      <x:c r="G84" s="22" t="str">
        <x:v>START / ERSTER HINWEIS</x:v>
      </x:c>
      <x:c r="H84" s="22" t="str">
        <x:v>D1_GIANICOLO</x:v>
      </x:c>
      <x:c r="I84" s="25" t="n">
        <x:v>41.8914773</x:v>
      </x:c>
      <x:c r="J84" s="25" t="n">
        <x:v>12.4613885</x:v>
      </x:c>
      <x:c r="K84" s="22" t="str">
        <x:v>GRUEN</x:v>
      </x:c>
      <x:c r="L84" s="22" t="str">
        <x:v>GRUEN_SONDERROLLE</x:v>
      </x:c>
      <x:c r="M84" s="22" t="str">
        <x:v>Weite, offene Aussichtsterrasse beim Garibaldi-Denkmal; geeignet als sichere Bossbühne, nicht als kleines Suchobjekt.</x:v>
      </x:c>
      <x:c r="N84" s="22" t="str">
        <x:v>Gehört der Gianicolo zu den klassischen sieben Hügeln des antiken Rom?</x:v>
      </x:c>
      <x:c r="O84" s="22" t="str">
        <x:v>Nein</x:v>
      </x:c>
      <x:c r="P84" s="22" t="str">
        <x:v>https://www.openstreetmap.org/node/1001130475</x:v>
      </x:c>
      <x:c r="Q84" s="22" t="str">
        <x:v>https://www.google.com/maps/search/?api=1&amp;query=41.8914773,12.4613885</x:v>
      </x:c>
      <x:c r="R84" s="28" t="n">
        <x:f>IF(A84=A83,ROUND(SQRT(POWER((I84-I83)*111000,2)+POWER((J84-J83)*111000*COS(RADIANS((I84+I83)/2)),2)),0),0)</x:f>
        <x:v>0</x:v>
      </x:c>
      <x:c r="S84" s="28" t="n">
        <x:f>ROUND(R84*'Kriterien'!$B$6,0)</x:f>
        <x:v>0</x:v>
      </x:c>
      <x:c r="T84" s="22" t="str">
        <x:v>V03-Punkt; Primär Weltboss-Ort. Kampftrigger großzügig setzen und vom Straßenverkehr abwenden.</x:v>
      </x:c>
      <x:c r="U84" s="22" t="str">
        <x:v>Il Cannoniere del Gianicolo</x:v>
      </x:c>
    </x:row>
    <x:row r="85" ht="58" customHeight="1">
      <x:c r="A85" s="23" t="str">
        <x:v>B-D2-01</x:v>
      </x:c>
      <x:c r="B85" s="23" t="str">
        <x:v>WORLD_BOSS</x:v>
      </x:c>
      <x:c r="C85" s="23" t="str">
        <x:v>DAY_2</x:v>
      </x:c>
      <x:c r="D85" s="23" t="n">
        <x:v>1</x:v>
      </x:c>
      <x:c r="E85" s="23" t="str">
        <x:v>place_day_2_basilica_di_santa_maria_maggiore</x:v>
      </x:c>
      <x:c r="F85" s="23" t="str">
        <x:v>Basilika Groß Sankt Marien</x:v>
      </x:c>
      <x:c r="G85" s="23" t="str">
        <x:v>START / ERSTER HINWEIS</x:v>
      </x:c>
      <x:c r="H85" s="23" t="str">
        <x:v>D2_SANTA_MARIA_MAGGIORE</x:v>
      </x:c>
      <x:c r="I85" s="26" t="n">
        <x:v>41.89712887126836</x:v>
      </x:c>
      <x:c r="J85" s="26" t="n">
        <x:v>12.499145861948264</x:v>
      </x:c>
      <x:c r="K85" s="23" t="str">
        <x:v>GELB</x:v>
      </x:c>
      <x:c r="L85" s="23" t="str">
        <x:v>GELB_BOSS_MENSCHENMENGE</x:v>
      </x:c>
      <x:c r="M85" s="23" t="str">
        <x:v>Monumentale Fassade mit zentraler oberer Loggia und Marienbezug; großer öffentlicher Platz davor.</x:v>
      </x:c>
      <x:c r="N85" s="23" t="str">
        <x:v>Wie viele große Öffnungen besitzt die zentrale obere Loggia der Hauptfassade?</x:v>
      </x:c>
      <x:c r="O85" s="23" t="str">
        <x:v>Drei</x:v>
      </x:c>
      <x:c r="P85" s="23" t="str">
        <x:v>https://www.turismoroma.it/en/places/piazza-di-santa-maria-maggiore</x:v>
      </x:c>
      <x:c r="Q85" s="23" t="str">
        <x:v>https://www.google.com/maps/search/?api=1&amp;query=41.89712887126836,12.499145861948264</x:v>
      </x:c>
      <x:c r="R85" s="29" t="n">
        <x:f>IF(A85=A84,ROUND(SQRT(POWER((I85-I84)*111000,2)+POWER((J85-J84)*111000*COS(RADIANS((I85+I84)/2)),2)),0),0)</x:f>
        <x:v>0</x:v>
      </x:c>
      <x:c r="S85" s="29" t="n">
        <x:f>ROUND(R85*'Kriterien'!$B$6,0)</x:f>
        <x:v>0</x:v>
      </x:c>
      <x:c r="T85" s="23" t="str">
        <x:v>World-boss staging point placed on Piazza di Santa Maria Maggiore, outside the basilica. No interior access may be required.; Primär Boss-Staging auf dem öffentlichen Platz. Die Loggiazahl muss auf aktuellem Frontalbild nochmals bestätigt werden.</x:v>
      </x:c>
      <x:c r="U85" s="23" t="str">
        <x:v>Custode della Neve</x:v>
      </x:c>
    </x:row>
  </x:sheetData>
  <x:mergeCells>
    <x:mergeCell ref="A1:U1"/>
    <x:mergeCell ref="A2:U2"/>
  </x:mergeCells>
  <x:conditionalFormatting sqref="K5:K85">
    <x:cfRule type="containsText" dxfId="0" priority="1" operator="containsText" text="GRUEN"/>
    <x:cfRule type="containsText" dxfId="1" priority="2" operator="containsText" text="GELB"/>
    <x:cfRule type="containsText" dxfId="2" priority="3" operator="containsText" text="ROT"/>
  </x:conditionalFormatting>
  <x:pageMargins left="0.7" right="0.7" top="0.75" bottom="0.75" header="0.3" footer="0.3"/>
  <x:tableParts count="1">
    <x:tablePart xmlns:r="http://schemas.openxmlformats.org/officeDocument/2006/relationships" r:id="R1698a53e6b814ae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7" hidden="0" customWidth="1"/>
    <x:col min="2" max="2" width="14" hidden="0" customWidth="1"/>
    <x:col min="3" max="3" width="18" hidden="0" customWidth="1"/>
    <x:col min="4" max="4" width="12" hidden="0" customWidth="1"/>
    <x:col min="5" max="5" width="30" hidden="0" customWidth="1"/>
    <x:col min="6" max="6" width="50" hidden="0" customWidth="1"/>
    <x:col min="7" max="7" width="14" hidden="0" customWidth="1"/>
    <x:col min="8" max="8" width="65" hidden="0" customWidth="1"/>
    <x:col min="9" max="9" width="22" hidden="0" customWidth="1"/>
    <x:col min="10" max="10" width="35" hidden="0" customWidth="1"/>
    <x:col min="11" max="11" width="26" hidden="0" customWidth="1"/>
    <x:col min="12" max="12" width="16" hidden="0" customWidth="1"/>
    <x:col min="13" max="13" width="48" hidden="0" customWidth="1"/>
    <x:col min="14" max="14" width="14" hidden="0" customWidth="1"/>
    <x:col min="15" max="15" width="50" hidden="0" customWidth="1"/>
    <x:col min="16" max="16" width="50" hidden="0" customWidth="1"/>
    <x:col min="17" max="17" width="32" hidden="0" customWidth="1"/>
    <x:col min="18" max="18" width="18" hidden="0" customWidth="1"/>
    <x:col min="19" max="19" width="34" hidden="0" customWidth="1"/>
  </x:cols>
  <x:sheetData>
    <x:row r="1" ht="30" customHeight="1">
      <x:c r="A1" s="48" t="str">
        <x:v>Via Romae – Sonderquests und Events v0.9</x:v>
      </x:c>
      <x:c r="B1" s="48"/>
      <x:c r="C1" s="48"/>
      <x:c r="D1" s="48"/>
      <x:c r="E1" s="48"/>
      <x:c r="F1" s="48"/>
      <x:c r="G1" s="48"/>
      <x:c r="H1" s="48"/>
      <x:c r="I1" s="48"/>
      <x:c r="J1" s="48"/>
      <x:c r="K1" s="48"/>
      <x:c r="L1" s="48"/>
      <x:c r="M1" s="48"/>
      <x:c r="N1" s="48"/>
      <x:c r="O1" s="48"/>
      <x:c r="P1" s="48"/>
    </x:row>
    <x:row r="2" ht="32" customHeight="1">
      <x:c r="A2" s="49" t="str">
        <x:v>Sieben Medienquests, fünf Hidden Quests und zwei World-Boss-Events mit Reward-Profilen aus GDD v0.16 Kapitel 28.</x:v>
      </x:c>
      <x:c r="B2" s="49"/>
      <x:c r="C2" s="49"/>
      <x:c r="D2" s="49"/>
      <x:c r="E2" s="49"/>
      <x:c r="F2" s="49"/>
      <x:c r="G2" s="49"/>
      <x:c r="H2" s="49"/>
      <x:c r="I2" s="49"/>
      <x:c r="J2" s="49"/>
      <x:c r="K2" s="49"/>
      <x:c r="L2" s="49"/>
      <x:c r="M2" s="49"/>
      <x:c r="N2" s="49"/>
      <x:c r="O2" s="49"/>
      <x:c r="P2" s="49"/>
    </x:row>
    <x:row r="3">
      <x:c r="A3" s="50"/>
      <x:c r="B3" s="50"/>
      <x:c r="C3" s="50"/>
      <x:c r="D3" s="50"/>
      <x:c r="E3" s="50"/>
      <x:c r="F3" s="50"/>
      <x:c r="G3" s="50"/>
      <x:c r="H3" s="50"/>
      <x:c r="I3" s="50"/>
      <x:c r="J3" s="50"/>
      <x:c r="K3" s="50"/>
      <x:c r="L3" s="50"/>
      <x:c r="M3" s="50"/>
      <x:c r="N3" s="50"/>
      <x:c r="O3" s="50"/>
      <x:c r="P3" s="50"/>
    </x:row>
    <x:row r="4">
      <x:c r="A4" s="51" t="str">
        <x:v>Nr.</x:v>
      </x:c>
      <x:c r="B4" s="51" t="str">
        <x:v>Quest-ID</x:v>
      </x:c>
      <x:c r="C4" s="51" t="str">
        <x:v>Typ</x:v>
      </x:c>
      <x:c r="D4" s="51" t="str">
        <x:v>Tag</x:v>
      </x:c>
      <x:c r="E4" s="51" t="str">
        <x:v>Titel</x:v>
      </x:c>
      <x:c r="F4" s="51" t="str">
        <x:v>Orte</x:v>
      </x:c>
      <x:c r="G4" s="51" t="str">
        <x:v>Zeitrahmen</x:v>
      </x:c>
      <x:c r="H4" s="51" t="str">
        <x:v>Briefing / Hook</x:v>
      </x:c>
      <x:c r="I4" s="51" t="str">
        <x:v>Hauptmechanik</x:v>
      </x:c>
      <x:c r="J4" s="51" t="str">
        <x:v>Sekundärmechaniken</x:v>
      </x:c>
      <x:c r="K4" s="51" t="str">
        <x:v>Gegner / Boss</x:v>
      </x:c>
      <x:c r="L4" s="51" t="str">
        <x:v>Limitwirkung</x:v>
      </x:c>
      <x:c r="M4" s="51" t="str">
        <x:v>Pickup / Abgabe</x:v>
      </x:c>
      <x:c r="N4" s="51" t="str">
        <x:v>Status</x:v>
      </x:c>
      <x:c r="O4" s="51" t="str">
        <x:v>Hauptrisiko</x:v>
      </x:c>
      <x:c r="P4" s="51" t="str">
        <x:v>Empfehlung</x:v>
      </x:c>
      <x:c r="Q4" s="165" t="str">
        <x:v>Reward-Profil</x:v>
      </x:c>
      <x:c r="R4" s="165" t="str">
        <x:v>Basis-Ruhm / Denare</x:v>
      </x:c>
      <x:c r="S4" s="165" t="str">
        <x:v>Item-/Loot-Regel</x:v>
      </x:c>
    </x:row>
    <x:row r="5" ht="48" customHeight="1">
      <x:c r="A5" s="21" t="n">
        <x:v>1</x:v>
      </x:c>
      <x:c r="B5" s="21" t="str">
        <x:v>M-D1-01</x:v>
      </x:c>
      <x:c r="C5" s="21" t="str">
        <x:v>MEDIA_LOCAL</x:v>
      </x:c>
      <x:c r="D5" s="21" t="str">
        <x:v>DAY_1</x:v>
      </x:c>
      <x:c r="E5" s="21" t="str">
        <x:v>Foto mit Schweizer Gardist</x:v>
      </x:c>
      <x:c r="F5" s="21" t="str">
        <x:v>Petersplatz</x:v>
      </x:c>
      <x:c r="G5" s="21" t="str">
        <x:v>5–15</x:v>
      </x:c>
      <x:c r="H5" s="21" t="str">
        <x:v>Teamfoto mit einem Schweizer Gardisten am Petersplatz.</x:v>
      </x:c>
      <x:c r="I5" s="21" t="str">
        <x:v>MEDIEN</x:v>
      </x:c>
      <x:c r="J5" s="21" t="str">
        <x:v>GPS|DIALOG</x:v>
      </x:c>
      <x:c r="K5" s="21" t="str"/>
      <x:c r="L5" s="21" t="str">
        <x:v>SEPARAT</x:v>
      </x:c>
      <x:c r="M5" s="21" t="str">
        <x:v>Pickup und Upload am Petersplatz, 15-m-Radius.</x:v>
      </x:c>
      <x:c r="N5" s="21" t="str">
        <x:v>BESTAETIGT</x:v>
      </x:c>
      <x:c r="O5" s="21" t="str">
        <x:v>Gardist ist nicht garantiert verfügbar; respektvolle Distanz und Menschenmenge.</x:v>
      </x:c>
      <x:c r="P5" s="21" t="str">
        <x:v>Fallbackbriefing mit sichtbarer Garde im Hintergrund vorbereiten.</x:v>
      </x:c>
      <x:c r="Q5" s="168" t="str">
        <x:v>MEDIA_RANK_TABLE</x:v>
      </x:c>
      <x:c r="R5" s="168" t="str">
        <x:v>50 / 25</x:v>
      </x:c>
      <x:c r="S5" s="168" t="str">
        <x:v>LOOT_ROLL:MEDIA_EVENT_PROFILE</x:v>
      </x:c>
    </x:row>
    <x:row r="6" ht="48" customHeight="1">
      <x:c r="A6" s="22" t="n">
        <x:v>2</x:v>
      </x:c>
      <x:c r="B6" s="22" t="str">
        <x:v>M-D1-02</x:v>
      </x:c>
      <x:c r="C6" s="22" t="str">
        <x:v>MEDIA_LOCAL</x:v>
      </x:c>
      <x:c r="D6" s="22" t="str">
        <x:v>DAY_1</x:v>
      </x:c>
      <x:c r="E6" s="22" t="str">
        <x:v>Wie ein Engel</x:v>
      </x:c>
      <x:c r="F6" s="22" t="str">
        <x:v>Engelsbrücke</x:v>
      </x:c>
      <x:c r="G6" s="22" t="str">
        <x:v>5–15</x:v>
      </x:c>
      <x:c r="H6" s="22" t="str">
        <x:v>Bewusst offene kreative Fotoaufgabe auf der Engelsbrücke.</x:v>
      </x:c>
      <x:c r="I6" s="22" t="str">
        <x:v>MEDIEN</x:v>
      </x:c>
      <x:c r="J6" s="22" t="str">
        <x:v>GPS|KREATIVITAET</x:v>
      </x:c>
      <x:c r="K6" s="22" t="str"/>
      <x:c r="L6" s="22" t="str">
        <x:v>SEPARAT</x:v>
      </x:c>
      <x:c r="M6" s="22" t="str">
        <x:v>Pickup und Upload an der Engelsbrücke, 15-m-Radius.</x:v>
      </x:c>
      <x:c r="N6" s="22" t="str">
        <x:v>BESTAETIGT</x:v>
      </x:c>
      <x:c r="O6" s="22" t="str">
        <x:v>Hohe Besucherzahl und schmale Bewegungsflächen.</x:v>
      </x:c>
      <x:c r="P6" s="22" t="str">
        <x:v>Offenes Briefing beibehalten; keine exakte Pose verlangen.</x:v>
      </x:c>
      <x:c r="Q6" s="168" t="str">
        <x:v>MEDIA_RANK_TABLE</x:v>
      </x:c>
      <x:c r="R6" s="168" t="str">
        <x:v>50 / 25</x:v>
      </x:c>
      <x:c r="S6" s="168" t="str">
        <x:v>LOOT_ROLL:MEDIA_EVENT_PROFILE</x:v>
      </x:c>
    </x:row>
    <x:row r="7" ht="48" customHeight="1">
      <x:c r="A7" s="22" t="n">
        <x:v>3</x:v>
      </x:c>
      <x:c r="B7" s="22" t="str">
        <x:v>M-D1-03</x:v>
      </x:c>
      <x:c r="C7" s="22" t="str">
        <x:v>MEDIA_LOCAL</x:v>
      </x:c>
      <x:c r="D7" s="22" t="str">
        <x:v>DAY_1</x:v>
      </x:c>
      <x:c r="E7" s="22" t="str">
        <x:v>Drei Brunnen, drei Figuren</x:v>
      </x:c>
      <x:c r="F7" s="22" t="str">
        <x:v>Piazza Navona → Neptunsbrunnen → Mohrenbrunnen</x:v>
      </x:c>
      <x:c r="G7" s="22" t="str">
        <x:v>15–25</x:v>
      </x:c>
      <x:c r="H7" s="22" t="str">
        <x:v>Je eine Figurenpose aus jedem der drei Brunnen der Piazza Navona nachstellen.</x:v>
      </x:c>
      <x:c r="I7" s="22" t="str">
        <x:v>MEDIEN</x:v>
      </x:c>
      <x:c r="J7" s="22" t="str">
        <x:v>GPS|BEOBACHTUNG|ZUORDNUNG</x:v>
      </x:c>
      <x:c r="K7" s="22" t="str"/>
      <x:c r="L7" s="22" t="str">
        <x:v>SEPARAT</x:v>
      </x:c>
      <x:c r="M7" s="22" t="str">
        <x:v>Pickup und Upload im Zentrum der Piazza Navona, 15-m-Radius.</x:v>
      </x:c>
      <x:c r="N7" s="22" t="str">
        <x:v>BESTAETIGT</x:v>
      </x:c>
      <x:c r="O7" s="22" t="str">
        <x:v>Menschenmenge; nur große Figuren als Vorbild verwenden.</x:v>
      </x:c>
      <x:c r="P7" s="22" t="str">
        <x:v>Sehr gute Medienquest; klare Dreiteilung beibehalten.</x:v>
      </x:c>
      <x:c r="Q7" s="168" t="str">
        <x:v>MEDIA_RANK_TABLE</x:v>
      </x:c>
      <x:c r="R7" s="168" t="str">
        <x:v>50 / 25</x:v>
      </x:c>
      <x:c r="S7" s="168" t="str">
        <x:v>LOOT_ROLL:MEDIA_EVENT_PROFILE</x:v>
      </x:c>
    </x:row>
    <x:row r="8" ht="48" customHeight="1">
      <x:c r="A8" s="22" t="n">
        <x:v>4</x:v>
      </x:c>
      <x:c r="B8" s="22" t="str">
        <x:v>M-LT-01</x:v>
      </x:c>
      <x:c r="C8" s="22" t="str">
        <x:v>MEDIA_LANGZEIT</x:v>
      </x:c>
      <x:c r="D8" s="22" t="str">
        <x:v>BOTH_DAYS</x:v>
      </x:c>
      <x:c r="E8" s="22" t="str">
        <x:v>Roma in zwölf Bildern</x:v>
      </x:c>
      <x:c r="F8" s="22" t="str">
        <x:v>Marcellustheater</x:v>
      </x:c>
      <x:c r="G8" s="22" t="str">
        <x:v>BEIDE_TAGE</x:v>
      </x:c>
      <x:c r="H8" s="22" t="str">
        <x:v>Maximal zwölf Bilder erzählen eine erkennbare Kurzgeschichte mit sichtbaren Klassenrollen.</x:v>
      </x:c>
      <x:c r="I8" s="22" t="str">
        <x:v>MEDIEN</x:v>
      </x:c>
      <x:c r="J8" s="22" t="str">
        <x:v>DIALOG|ENTSCHEIDUNG|GPS</x:v>
      </x:c>
      <x:c r="K8" s="22" t="str">
        <x:v>Maschera del Dramma</x:v>
      </x:c>
      <x:c r="L8" s="22" t="str">
        <x:v>CHRONIKSLOT</x:v>
      </x:c>
      <x:c r="M8" s="22" t="str">
        <x:v>Pickup am Marcellustheater; Abgabe nach separater Langzeitregel.</x:v>
      </x:c>
      <x:c r="N8" s="22" t="str">
        <x:v>BESTAETIGT</x:v>
      </x:c>
      <x:c r="O8" s="22" t="str">
        <x:v>Bewertung benötigt klare Rubrik; darf reguläre Questslots nicht blockieren.</x:v>
      </x:c>
      <x:c r="P8" s="22" t="str">
        <x:v>Als einzige bestätigte Langzeitquest umsetzen.</x:v>
      </x:c>
      <x:c r="Q8" s="168" t="str">
        <x:v>MEDIA_RANK_TABLE</x:v>
      </x:c>
      <x:c r="R8" s="168" t="str">
        <x:v>120 / 50</x:v>
      </x:c>
      <x:c r="S8" s="168" t="str">
        <x:v>LOOT_ROLL:MEDIA_EVENT_PROFILE</x:v>
      </x:c>
    </x:row>
    <x:row r="9" ht="48" customHeight="1">
      <x:c r="A9" s="22" t="n">
        <x:v>5</x:v>
      </x:c>
      <x:c r="B9" s="22" t="str">
        <x:v>M-D2-01</x:v>
      </x:c>
      <x:c r="C9" s="22" t="str">
        <x:v>MEDIA_LOCAL</x:v>
      </x:c>
      <x:c r="D9" s="22" t="str">
        <x:v>DAY_2</x:v>
      </x:c>
      <x:c r="E9" s="22" t="str">
        <x:v>Streitwagenrennen</x:v>
      </x:c>
      <x:c r="F9" s="22" t="str">
        <x:v>Circus Maximus</x:v>
      </x:c>
      <x:c r="G9" s="22" t="str">
        <x:v>15–25</x:v>
      </x:c>
      <x:c r="H9" s="22" t="str">
        <x:v>Ein Streitwagenrennen als zusammenhängender Akt in exakt fünf Bildern.</x:v>
      </x:c>
      <x:c r="I9" s="22" t="str">
        <x:v>MEDIEN</x:v>
      </x:c>
      <x:c r="J9" s="22" t="str">
        <x:v>GPS|ROLLENSPIEL|REIHENFOLGE</x:v>
      </x:c>
      <x:c r="K9" s="22" t="str">
        <x:v>Rasender Kutschergeist</x:v>
      </x:c>
      <x:c r="L9" s="22" t="str">
        <x:v>SEPARAT</x:v>
      </x:c>
      <x:c r="M9" s="22" t="str">
        <x:v>Pickup und Upload am Circus Maximus, 15-m-Radius.</x:v>
      </x:c>
      <x:c r="N9" s="22" t="str">
        <x:v>BESTAETIGT</x:v>
      </x:c>
      <x:c r="O9" s="22" t="str">
        <x:v>Große offene Fläche; sichere Laufrichtung im Briefing festlegen.</x:v>
      </x:c>
      <x:c r="P9" s="22" t="str">
        <x:v>Sehr starke Orts- und Medienpassung.</x:v>
      </x:c>
      <x:c r="Q9" s="168" t="str">
        <x:v>MEDIA_RANK_TABLE</x:v>
      </x:c>
      <x:c r="R9" s="168" t="str">
        <x:v>50 / 25</x:v>
      </x:c>
      <x:c r="S9" s="168" t="str">
        <x:v>LOOT_ROLL:MEDIA_EVENT_PROFILE</x:v>
      </x:c>
    </x:row>
    <x:row r="10" ht="48" customHeight="1">
      <x:c r="A10" s="22" t="n">
        <x:v>6</x:v>
      </x:c>
      <x:c r="B10" s="22" t="str">
        <x:v>M-D2-02</x:v>
      </x:c>
      <x:c r="C10" s="22" t="str">
        <x:v>MEDIA_LOCAL</x:v>
      </x:c>
      <x:c r="D10" s="22" t="str">
        <x:v>DAY_2</x:v>
      </x:c>
      <x:c r="E10" s="22" t="str">
        <x:v>Gladiatorenkampf</x:v>
      </x:c>
      <x:c r="F10" s="22" t="str">
        <x:v>Kolosseum</x:v>
      </x:c>
      <x:c r="G10" s="22" t="str">
        <x:v>5–15</x:v>
      </x:c>
      <x:c r="H10" s="22" t="str">
        <x:v>Kurze inszenierte Bildserie eines Gladiatorenkampfs vor dem Kolosseum.</x:v>
      </x:c>
      <x:c r="I10" s="22" t="str">
        <x:v>MEDIEN</x:v>
      </x:c>
      <x:c r="J10" s="22" t="str">
        <x:v>ROLLENSPIEL|KAMPFINSZENIERUNG</x:v>
      </x:c>
      <x:c r="K10" s="22" t="str">
        <x:v>Gladiator</x:v>
      </x:c>
      <x:c r="L10" s="22" t="str">
        <x:v>SEPARAT</x:v>
      </x:c>
      <x:c r="M10" s="22" t="str">
        <x:v>Pickup und Upload am öffentlichen Kolosseum-Außenpunkt, 15-m-Radius.</x:v>
      </x:c>
      <x:c r="N10" s="22" t="str">
        <x:v>BESTAETIGT</x:v>
      </x:c>
      <x:c r="O10" s="22" t="str">
        <x:v>Sehr hohe Besucherzahl; keine reale Kampfbewegung in Engstellen.</x:v>
      </x:c>
      <x:c r="P10" s="22" t="str">
        <x:v>Posen statt dynamischer Aktionen verlangen.</x:v>
      </x:c>
      <x:c r="Q10" s="168" t="str">
        <x:v>MEDIA_RANK_TABLE</x:v>
      </x:c>
      <x:c r="R10" s="168" t="str">
        <x:v>50 / 25</x:v>
      </x:c>
      <x:c r="S10" s="168" t="str">
        <x:v>LOOT_ROLL:MEDIA_EVENT_PROFILE</x:v>
      </x:c>
    </x:row>
    <x:row r="11" ht="48" customHeight="1">
      <x:c r="A11" s="22" t="n">
        <x:v>7</x:v>
      </x:c>
      <x:c r="B11" s="22" t="str">
        <x:v>M-D2-03</x:v>
      </x:c>
      <x:c r="C11" s="22" t="str">
        <x:v>MEDIA_LOCAL</x:v>
      </x:c>
      <x:c r="D11" s="22" t="str">
        <x:v>DAY_2</x:v>
      </x:c>
      <x:c r="E11" s="22" t="str">
        <x:v>Souvenirreview</x:v>
      </x:c>
      <x:c r="F11" s="22" t="str">
        <x:v>Trajansmärkte</x:v>
      </x:c>
      <x:c r="G11" s="22" t="str">
        <x:v>15–25</x:v>
      </x:c>
      <x:c r="H11" s="22" t="str">
        <x:v>30–60 Sekunden Review eines Souvenirs bis maximal 5 EUR; Kauf kann anderswo erfolgen.</x:v>
      </x:c>
      <x:c r="I11" s="22" t="str">
        <x:v>MEDIEN</x:v>
      </x:c>
      <x:c r="J11" s="22" t="str">
        <x:v>KURZTEXT|ROLLENSPIEL</x:v>
      </x:c>
      <x:c r="K11" s="22" t="str">
        <x:v>Spettro della Taberna</x:v>
      </x:c>
      <x:c r="L11" s="22" t="str">
        <x:v>SEPARAT</x:v>
      </x:c>
      <x:c r="M11" s="22" t="str">
        <x:v>Pickup und Upload am öffentlichen Außenpunkt der Trajansmärkte, 15-m-Radius.</x:v>
      </x:c>
      <x:c r="N11" s="22" t="str">
        <x:v>BESTAETIGT</x:v>
      </x:c>
      <x:c r="O11" s="22" t="str">
        <x:v>Kauf darf nicht am Ort vorausgesetzt werden; Außenpunkt eindeutig festlegen.</x:v>
      </x:c>
      <x:c r="P11" s="22" t="str">
        <x:v>Sehr gute Verbindung von Alltagsleben, Handel und Performance.</x:v>
      </x:c>
      <x:c r="Q11" s="168" t="str">
        <x:v>MEDIA_RANK_TABLE</x:v>
      </x:c>
      <x:c r="R11" s="168" t="str">
        <x:v>50 / 25</x:v>
      </x:c>
      <x:c r="S11" s="168" t="str">
        <x:v>LOOT_ROLL:MEDIA_EVENT_PROFILE</x:v>
      </x:c>
    </x:row>
    <x:row r="12" ht="48" customHeight="1">
      <x:c r="A12" s="22" t="n">
        <x:v>8</x:v>
      </x:c>
      <x:c r="B12" s="22" t="str">
        <x:v>H-D1-01</x:v>
      </x:c>
      <x:c r="C12" s="22" t="str">
        <x:v>HIDDEN</x:v>
      </x:c>
      <x:c r="D12" s="22" t="str">
        <x:v>DAY_1</x:v>
      </x:c>
      <x:c r="E12" s="22" t="str">
        <x:v>Die Schildkröten wachen</x:v>
      </x:c>
      <x:c r="F12" s="22" t="str">
        <x:v>Fontana delle Tartarughe</x:v>
      </x:c>
      <x:c r="G12" s="22" t="str">
        <x:v>5–10</x:v>
      </x:c>
      <x:c r="H12" s="22" t="str">
        <x:v>Eine zusätzliche Beobachtung an den vier Schildkröten löst einen kurzen Wächterkampf aus.</x:v>
      </x:c>
      <x:c r="I12" s="22" t="str">
        <x:v>BEOBACHTUNG_SUCHE</x:v>
      </x:c>
      <x:c r="J12" s="22" t="str">
        <x:v>KAMPF</x:v>
      </x:c>
      <x:c r="K12" s="22" t="str">
        <x:v>Custode delle Tartarughe</x:v>
      </x:c>
      <x:c r="L12" s="22" t="str">
        <x:v>ZAEHLT_NICHT</x:v>
      </x:c>
      <x:c r="M12" s="22" t="str">
        <x:v>Automatischer Näherungstrigger; kein eigener aktiver Slot.</x:v>
      </x:c>
      <x:c r="N12" s="22" t="str">
        <x:v>OPTIONAL</x:v>
      </x:c>
      <x:c r="O12" s="22" t="str">
        <x:v>Aktuelle Sicht der Schildkröten prüfen.</x:v>
      </x:c>
      <x:c r="P12" s="22" t="str">
        <x:v>Guter versteckter Zusatz zu D1-Q13.</x:v>
      </x:c>
      <x:c r="Q12" s="168" t="str">
        <x:v>HIDDEN_BASE_PLUS_LOOT</x:v>
      </x:c>
      <x:c r="R12" s="168" t="str">
        <x:v>30 / 20</x:v>
      </x:c>
      <x:c r="S12" s="168" t="str">
        <x:v>LOOT_ROLL:HIDDEN_PROFILE</x:v>
      </x:c>
    </x:row>
    <x:row r="13" ht="48" customHeight="1">
      <x:c r="A13" s="22" t="n">
        <x:v>9</x:v>
      </x:c>
      <x:c r="B13" s="22" t="str">
        <x:v>H-D1-02</x:v>
      </x:c>
      <x:c r="C13" s="22" t="str">
        <x:v>HIDDEN</x:v>
      </x:c>
      <x:c r="D13" s="22" t="str">
        <x:v>DAY_1</x:v>
      </x:c>
      <x:c r="E13" s="22" t="str">
        <x:v>Ratte des Aquädukts</x:v>
      </x:c>
      <x:c r="F13" s="22" t="str">
        <x:v>Acquedotto Vergine</x:v>
      </x:c>
      <x:c r="G13" s="22" t="str">
        <x:v>5–10</x:v>
      </x:c>
      <x:c r="H13" s="22" t="str">
        <x:v>Wer die verdeckten Arkaden findet, entdeckt die Kanalratte der Aqua Virgo.</x:v>
      </x:c>
      <x:c r="I13" s="22" t="str">
        <x:v>BEOBACHTUNG_SUCHE</x:v>
      </x:c>
      <x:c r="J13" s="22" t="str">
        <x:v>KAMPF</x:v>
      </x:c>
      <x:c r="K13" s="22" t="str">
        <x:v>Ratto dell’Acqua Virgo</x:v>
      </x:c>
      <x:c r="L13" s="22" t="str">
        <x:v>ZAEHLT_NICHT</x:v>
      </x:c>
      <x:c r="M13" s="22" t="str">
        <x:v>Nähe und vorherige Beobachtung lösen den Auftrag aus.</x:v>
      </x:c>
      <x:c r="N13" s="22" t="str">
        <x:v>OPTIONAL</x:v>
      </x:c>
      <x:c r="O13" s="22" t="str">
        <x:v>Arkaden sind teilweise verdeckt.</x:v>
      </x:c>
      <x:c r="P13" s="22" t="str">
        <x:v>Nur aktivieren, wenn aktueller Sichtbeleg genügt.</x:v>
      </x:c>
      <x:c r="Q13" s="168" t="str">
        <x:v>HIDDEN_BASE_PLUS_LOOT</x:v>
      </x:c>
      <x:c r="R13" s="168" t="str">
        <x:v>30 / 20</x:v>
      </x:c>
      <x:c r="S13" s="168" t="str">
        <x:v>LOOT_ROLL:HIDDEN_PROFILE</x:v>
      </x:c>
    </x:row>
    <x:row r="14" ht="48" customHeight="1">
      <x:c r="A14" s="22" t="n">
        <x:v>10</x:v>
      </x:c>
      <x:c r="B14" s="22" t="str">
        <x:v>H-D1-03</x:v>
      </x:c>
      <x:c r="C14" s="22" t="str">
        <x:v>HIDDEN</x:v>
      </x:c>
      <x:c r="D14" s="22" t="str">
        <x:v>DAY_1</x:v>
      </x:c>
      <x:c r="E14" s="22" t="str">
        <x:v>Die Satirelli</x:v>
      </x:c>
      <x:c r="F14" s="22" t="str">
        <x:v>Fontana dei Satirelli</x:v>
      </x:c>
      <x:c r="G14" s="22" t="str">
        <x:v>5–10</x:v>
      </x:c>
      <x:c r="H14" s="22" t="str">
        <x:v>Die beiden Satyrn öffnen einen kurzen Zuordnungs- oder Begegnungsauftrag.</x:v>
      </x:c>
      <x:c r="I14" s="22" t="str">
        <x:v>BEOBACHTUNG_SUCHE</x:v>
      </x:c>
      <x:c r="J14" s="22" t="str">
        <x:v>ZUORDNUNG|KAMPF</x:v>
      </x:c>
      <x:c r="K14" s="22" t="str">
        <x:v>I Satirelli Gemelli</x:v>
      </x:c>
      <x:c r="L14" s="22" t="str">
        <x:v>ZAEHLT_NICHT</x:v>
      </x:c>
      <x:c r="M14" s="22" t="str">
        <x:v>Näherungstrigger im Park; kein aktiver Slot.</x:v>
      </x:c>
      <x:c r="N14" s="22" t="str">
        <x:v>OPTIONAL</x:v>
      </x:c>
      <x:c r="O14" s="22" t="str">
        <x:v>Parköffnungszeiten.</x:v>
      </x:c>
      <x:c r="P14" s="22" t="str">
        <x:v>Nur tagsüber aktivieren; sonst automatisch deaktiviert.</x:v>
      </x:c>
      <x:c r="Q14" s="168" t="str">
        <x:v>HIDDEN_BASE_PLUS_LOOT</x:v>
      </x:c>
      <x:c r="R14" s="168" t="str">
        <x:v>30 / 20</x:v>
      </x:c>
      <x:c r="S14" s="168" t="str">
        <x:v>LOOT_ROLL:HIDDEN_PROFILE</x:v>
      </x:c>
    </x:row>
    <x:row r="15" ht="48" customHeight="1">
      <x:c r="A15" s="22" t="n">
        <x:v>11</x:v>
      </x:c>
      <x:c r="B15" s="22" t="str">
        <x:v>H-D2-01</x:v>
      </x:c>
      <x:c r="C15" s="22" t="str">
        <x:v>HIDDEN</x:v>
      </x:c>
      <x:c r="D15" s="22" t="str">
        <x:v>DAY_2</x:v>
      </x:c>
      <x:c r="E15" s="22" t="str">
        <x:v>Wächter der Porta Magica</x:v>
      </x:c>
      <x:c r="F15" s="22" t="str">
        <x:v>Piazza Vittorio Emanuele Secondo</x:v>
      </x:c>
      <x:c r="G15" s="22" t="str">
        <x:v>5–10</x:v>
      </x:c>
      <x:c r="H15" s="22" t="str">
        <x:v>Zwei steinerne Wächter führen zu einer kurzen alchemistischen Zuordnung.</x:v>
      </x:c>
      <x:c r="I15" s="22" t="str">
        <x:v>BEOBACHTUNG_SUCHE</x:v>
      </x:c>
      <x:c r="J15" s="22" t="str">
        <x:v>ZUORDNUNG|KURZTEXT</x:v>
      </x:c>
      <x:c r="K15" s="22" t="str">
        <x:v>Alchemist der Porta Magica</x:v>
      </x:c>
      <x:c r="L15" s="22" t="str">
        <x:v>ZAEHLT_NICHT</x:v>
      </x:c>
      <x:c r="M15" s="22" t="str">
        <x:v>Näherungstrigger im Park; kein aktiver Slot.</x:v>
      </x:c>
      <x:c r="N15" s="22" t="str">
        <x:v>OPTIONAL</x:v>
      </x:c>
      <x:c r="O15" s="22" t="str">
        <x:v>Parkzugang und Sicht der Wächterfiguren.</x:v>
      </x:c>
      <x:c r="P15" s="22" t="str">
        <x:v>Starker Geheimtipp, wenn aktueller Sichtbeleg vorliegt.</x:v>
      </x:c>
      <x:c r="Q15" s="168" t="str">
        <x:v>HIDDEN_BASE_PLUS_LOOT</x:v>
      </x:c>
      <x:c r="R15" s="168" t="str">
        <x:v>30 / 20</x:v>
      </x:c>
      <x:c r="S15" s="168" t="str">
        <x:v>LOOT_ROLL:HIDDEN_PROFILE</x:v>
      </x:c>
    </x:row>
    <x:row r="16" ht="48" customHeight="1">
      <x:c r="A16" s="22" t="n">
        <x:v>12</x:v>
      </x:c>
      <x:c r="B16" s="22" t="str">
        <x:v>H-D2-02</x:v>
      </x:c>
      <x:c r="C16" s="22" t="str">
        <x:v>HIDDEN</x:v>
      </x:c>
      <x:c r="D16" s="22" t="str">
        <x:v>DAY_2</x:v>
      </x:c>
      <x:c r="E16" s="22" t="str">
        <x:v>Dantes Windrose</x:v>
      </x:c>
      <x:c r="F16" s="22" t="str">
        <x:v>Piazza Dante</x:v>
      </x:c>
      <x:c r="G16" s="22" t="str">
        <x:v>5–10</x:v>
      </x:c>
      <x:c r="H16" s="22" t="str">
        <x:v>Die große Windrose öffnet eine kurze Richtungs- und Textaufgabe.</x:v>
      </x:c>
      <x:c r="I16" s="22" t="str">
        <x:v>BEOBACHTUNG_SUCHE</x:v>
      </x:c>
      <x:c r="J16" s="22" t="str">
        <x:v>KURZTEXT|RICHTUNG</x:v>
      </x:c>
      <x:c r="K16" s="22" t="str">
        <x:v>Custode dell’Inferno</x:v>
      </x:c>
      <x:c r="L16" s="22" t="str">
        <x:v>ZAEHLT_NICHT</x:v>
      </x:c>
      <x:c r="M16" s="22" t="str">
        <x:v>Näherungstrigger im Garten; kein aktiver Slot.</x:v>
      </x:c>
      <x:c r="N16" s="22" t="str">
        <x:v>OPTIONAL</x:v>
      </x:c>
      <x:c r="O16" s="22" t="str">
        <x:v>Parköffnungszeiten.</x:v>
      </x:c>
      <x:c r="P16" s="22" t="str">
        <x:v>Als Hidden Quest gut; nicht als Pflichtstation.</x:v>
      </x:c>
      <x:c r="Q16" s="168" t="str">
        <x:v>HIDDEN_BASE_PLUS_LOOT</x:v>
      </x:c>
      <x:c r="R16" s="168" t="str">
        <x:v>30 / 20</x:v>
      </x:c>
      <x:c r="S16" s="168" t="str">
        <x:v>LOOT_ROLL:HIDDEN_PROFILE</x:v>
      </x:c>
    </x:row>
    <x:row r="17" ht="48" customHeight="1">
      <x:c r="A17" s="22" t="n">
        <x:v>13</x:v>
      </x:c>
      <x:c r="B17" s="22" t="str">
        <x:v>B-D1-01</x:v>
      </x:c>
      <x:c r="C17" s="22" t="str">
        <x:v>WORLD_BOSS</x:v>
      </x:c>
      <x:c r="D17" s="22" t="str">
        <x:v>DAY_1</x:v>
      </x:c>
      <x:c r="E17" s="22" t="str">
        <x:v>Il Cannoniere del Gianicolo</x:v>
      </x:c>
      <x:c r="F17" s="22" t="str">
        <x:v>Terrazza del Gianicolo</x:v>
      </x:c>
      <x:c r="G17" s="22" t="str">
        <x:v>EVENT</x:v>
      </x:c>
      <x:c r="H17" s="22" t="str">
        <x:v>Tag-1-Finale auf der öffentlichen Terrasse des Gianicolo.</x:v>
      </x:c>
      <x:c r="I17" s="22" t="str">
        <x:v>KAMPF</x:v>
      </x:c>
      <x:c r="J17" s="22" t="str">
        <x:v>DIALOG|TEAMKOORDINATION</x:v>
      </x:c>
      <x:c r="K17" s="22" t="str">
        <x:v>Il Cannoniere del Gianicolo</x:v>
      </x:c>
      <x:c r="L17" s="22" t="str">
        <x:v>ZAEHLT_NICHT</x:v>
      </x:c>
      <x:c r="M17" s="22" t="str">
        <x:v>Separater Eventtrigger in der ausgewiesenen sicheren Zone.</x:v>
      </x:c>
      <x:c r="N17" s="22" t="str">
        <x:v>EMPFOHLEN</x:v>
      </x:c>
      <x:c r="O17" s="22" t="str">
        <x:v>Menschenmenge und sichere Aufstellfläche aktuell prüfen.</x:v>
      </x:c>
      <x:c r="P17" s="22" t="str">
        <x:v>Starke thematische und räumliche Schlussposition für Tag 1.</x:v>
      </x:c>
      <x:c r="Q17" s="168" t="str">
        <x:v>WORLD_BOSS_CONTRIBUTION_RANK</x:v>
      </x:c>
      <x:c r="R17" s="168" t="str">
        <x:v>0 / 0</x:v>
      </x:c>
      <x:c r="S17" s="168" t="str">
        <x:v>LOOT_ROLL:WORLD_BOSS_RANKED</x:v>
      </x:c>
    </x:row>
    <x:row r="18" ht="48" customHeight="1">
      <x:c r="A18" s="23" t="n">
        <x:v>14</x:v>
      </x:c>
      <x:c r="B18" s="23" t="str">
        <x:v>B-D2-01</x:v>
      </x:c>
      <x:c r="C18" s="23" t="str">
        <x:v>WORLD_BOSS</x:v>
      </x:c>
      <x:c r="D18" s="23" t="str">
        <x:v>DAY_2</x:v>
      </x:c>
      <x:c r="E18" s="23" t="str">
        <x:v>Custode della Neve</x:v>
      </x:c>
      <x:c r="F18" s="23" t="str">
        <x:v>Basilika Groß Sankt Marien</x:v>
      </x:c>
      <x:c r="G18" s="23" t="str">
        <x:v>EVENT</x:v>
      </x:c>
      <x:c r="H18" s="23" t="str">
        <x:v>Tag-2-Finale vor Santa Maria Maggiore; Schneemotiv ausdrücklich als Legende erzählen.</x:v>
      </x:c>
      <x:c r="I18" s="23" t="str">
        <x:v>KAMPF</x:v>
      </x:c>
      <x:c r="J18" s="23" t="str">
        <x:v>DIALOG|TEAMKOORDINATION</x:v>
      </x:c>
      <x:c r="K18" s="23" t="str">
        <x:v>Custode della Neve</x:v>
      </x:c>
      <x:c r="L18" s="23" t="str">
        <x:v>ZAEHLT_NICHT</x:v>
      </x:c>
      <x:c r="M18" s="23" t="str">
        <x:v>Separater Eventtrigger ausschließlich auf dem öffentlichen Außenplatz.</x:v>
      </x:c>
      <x:c r="N18" s="23" t="str">
        <x:v>BEDINGT</x:v>
      </x:c>
      <x:c r="O18" s="23" t="str">
        <x:v>Sehr hohe Besucherzahl; sichere Bossfläche muss remote aktuell geprüft werden.</x:v>
      </x:c>
      <x:c r="P18" s="23" t="str">
        <x:v>Inhaltlich stark, operativ riskanter als Gianicolo.</x:v>
      </x:c>
      <x:c r="Q18" s="168" t="str">
        <x:v>WORLD_BOSS_CONTRIBUTION_RANK</x:v>
      </x:c>
      <x:c r="R18" s="168" t="str">
        <x:v>0 / 0</x:v>
      </x:c>
      <x:c r="S18" s="168" t="str">
        <x:v>LOOT_ROLL:WORLD_BOSS_RANKED</x:v>
      </x:c>
    </x:row>
  </x:sheetData>
  <x:mergeCells>
    <x:mergeCell ref="A1:P1"/>
    <x:mergeCell ref="A2:P2"/>
  </x:mergeCells>
  <x:conditionalFormatting sqref="N5:N18">
    <x:cfRule type="containsText" dxfId="7" priority="1" operator="containsText" text="BESTAETIGT"/>
    <x:cfRule type="containsText" dxfId="8" priority="2" operator="containsText" text="BEDINGT"/>
  </x:conditionalFormatting>
  <x:pageMargins left="0.7" right="0.7" top="0.75" bottom="0.75" header="0.3" footer="0.3"/>
  <x:tableParts count="1">
    <x:tablePart xmlns:r="http://schemas.openxmlformats.org/officeDocument/2006/relationships" r:id="R81f56454fe0c408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1" hidden="0" customWidth="1"/>
    <x:col min="2" max="2" width="34" hidden="0" customWidth="1"/>
    <x:col min="3" max="3" width="30" hidden="0" customWidth="1"/>
    <x:col min="4" max="4" width="52" hidden="0" customWidth="1"/>
    <x:col min="5" max="5" width="18" hidden="0" customWidth="1"/>
    <x:col min="6" max="6" width="18" hidden="0" customWidth="1"/>
    <x:col min="7" max="7" width="16" hidden="0" customWidth="1"/>
    <x:col min="8" max="8" width="30" hidden="0" customWidth="1"/>
    <x:col min="9" max="9" width="55" hidden="0" customWidth="1"/>
    <x:col min="10" max="10" width="42" hidden="0" customWidth="1"/>
    <x:col min="11" max="11" width="40" hidden="0" customWidth="1"/>
    <x:col min="12" max="12" width="14" hidden="0" customWidth="1"/>
    <x:col min="13" max="13" width="14" hidden="0" customWidth="1"/>
    <x:col min="14" max="14" width="14" hidden="0" customWidth="1"/>
    <x:col min="15" max="15" width="18" hidden="0" customWidth="1"/>
  </x:cols>
  <x:sheetData>
    <x:row r="1" ht="30" customHeight="1">
      <x:c r="A1" s="48" t="str">
        <x:v>Via Romae – Supportpunkte</x:v>
      </x:c>
      <x:c r="B1" s="48"/>
      <x:c r="C1" s="48"/>
      <x:c r="D1" s="48"/>
      <x:c r="E1" s="48"/>
      <x:c r="F1" s="48"/>
      <x:c r="G1" s="48"/>
      <x:c r="H1" s="48"/>
      <x:c r="I1" s="48"/>
      <x:c r="J1" s="48"/>
      <x:c r="K1" s="48"/>
    </x:row>
    <x:row r="2" ht="32" customHeight="1">
      <x:c r="A2" s="49" t="str">
        <x:v>Revive Points, Stores und Boss-Sicherheitszonen bleiben von den regulären Questzahlen getrennt.</x:v>
      </x:c>
      <x:c r="B2" s="49"/>
      <x:c r="C2" s="49"/>
      <x:c r="D2" s="49"/>
      <x:c r="E2" s="49"/>
      <x:c r="F2" s="49"/>
      <x:c r="G2" s="49"/>
      <x:c r="H2" s="49"/>
      <x:c r="I2" s="49"/>
      <x:c r="J2" s="49"/>
      <x:c r="K2" s="49"/>
    </x:row>
    <x:row r="3">
      <x:c r="A3" s="50"/>
      <x:c r="B3" s="50"/>
      <x:c r="C3" s="50"/>
      <x:c r="D3" s="50"/>
      <x:c r="E3" s="50"/>
      <x:c r="F3" s="50"/>
      <x:c r="G3" s="50"/>
      <x:c r="H3" s="50"/>
      <x:c r="I3" s="50"/>
      <x:c r="J3" s="50"/>
      <x:c r="K3" s="50"/>
      <x:c r="L3" s="179" t="str">
        <x:v>Store-ID</x:v>
      </x:c>
      <x:c r="M3" s="179" t="str">
        <x:v>Sichtbarkeit</x:v>
      </x:c>
      <x:c r="N3" s="179" t="str">
        <x:v>Interaktion</x:v>
      </x:c>
      <x:c r="O3" s="179" t="str">
        <x:v>Katalog</x:v>
      </x:c>
    </x:row>
    <x:row r="4">
      <x:c r="A4" s="51" t="str">
        <x:v>Tag</x:v>
      </x:c>
      <x:c r="B4" s="51" t="str">
        <x:v>Kandidaten-ID</x:v>
      </x:c>
      <x:c r="C4" s="51" t="str">
        <x:v>Ort</x:v>
      </x:c>
      <x:c r="D4" s="51" t="str">
        <x:v>Supportrollen</x:v>
      </x:c>
      <x:c r="E4" s="51" t="str">
        <x:v>Reguläre Nutzungen</x:v>
      </x:c>
      <x:c r="F4" s="51" t="str">
        <x:v>Sondernutzungen</x:v>
      </x:c>
      <x:c r="G4" s="51" t="str">
        <x:v>Research-Ampel</x:v>
      </x:c>
      <x:c r="H4" s="51" t="str">
        <x:v>Funktion</x:v>
      </x:c>
      <x:c r="I4" s="51" t="str">
        <x:v>Hauptrisiko</x:v>
      </x:c>
      <x:c r="J4" s="51" t="str">
        <x:v>Google Maps</x:v>
      </x:c>
      <x:c r="K4" s="51" t="str">
        <x:v>Empfehlung</x:v>
      </x:c>
      <x:c r="L4" s="168"/>
      <x:c r="M4" s="168"/>
      <x:c r="N4" s="168"/>
      <x:c r="O4" s="168"/>
    </x:row>
    <x:row r="5" ht="44" customHeight="1">
      <x:c r="A5" s="21" t="str">
        <x:v>DAY_1</x:v>
      </x:c>
      <x:c r="B5" s="21" t="str">
        <x:v>place_day_1_castel_sant_angelo</x:v>
      </x:c>
      <x:c r="C5" s="21" t="str">
        <x:v>Engelsburg</x:v>
      </x:c>
      <x:c r="D5" s="21" t="str">
        <x:v>STORE_LOCATION_CANDIDATE|CLASS_HISTORY_QUEST_ANCHOR</x:v>
      </x:c>
      <x:c r="E5" s="21" t="n">
        <x:f>COUNTIFS('Ortszuordnung'!$E$5:$E$85,B5,'Ortszuordnung'!$B$5:$B$85,"REGULAER")</x:f>
        <x:v>1</x:v>
      </x:c>
      <x:c r="F5" s="21" t="n">
        <x:f>COUNTIF('Ortszuordnung'!$E$5:$E$85,B5)-E5</x:f>
        <x:v>0</x:v>
      </x:c>
      <x:c r="G5" s="21" t="str">
        <x:v>GRUEN</x:v>
      </x:c>
      <x:c r="H5" s="21" t="str">
        <x:v>Store</x:v>
      </x:c>
      <x:c r="I5" s="21" t="str">
        <x:v>Nur der öffentliche Vorplatz darf als Trigger dienen; kein Eintritt in die Burg.</x:v>
      </x:c>
      <x:c r="J5" s="21" t="str">
        <x:v>https://www.google.com/maps/search/?api=1&amp;query=41.90262,12.46686</x:v>
      </x:c>
      <x:c r="K5" s="21" t="str">
        <x:v>ALS_SEPARATEN_SUPPORTPUNKT_BEHALTEN</x:v>
      </x:c>
      <x:c r="L5" s="168" t="str">
        <x:v>STORE-D1-01</x:v>
      </x:c>
      <x:c r="M5" s="168" t="str">
        <x:v>500 m</x:v>
      </x:c>
      <x:c r="N5" s="168" t="str">
        <x:v>15 m</x:v>
      </x:c>
      <x:c r="O5" s="168" t="str">
        <x:v>Stores!A5:I5</x:v>
      </x:c>
    </x:row>
    <x:row r="6" ht="44" customHeight="1">
      <x:c r="A6" s="22" t="str">
        <x:v>DAY_1</x:v>
      </x:c>
      <x:c r="B6" s="22" t="str">
        <x:v>place_day_1_piazza_del_popolo</x:v>
      </x:c>
      <x:c r="C6" s="22" t="str">
        <x:v>Piazza del Popolo</x:v>
      </x:c>
      <x:c r="D6" s="22" t="str">
        <x:v>REVIVE_POINT_CANDIDATE</x:v>
      </x:c>
      <x:c r="E6" s="22" t="n">
        <x:f>COUNTIFS('Ortszuordnung'!$E$5:$E$85,B6,'Ortszuordnung'!$B$5:$B$85,"REGULAER")</x:f>
        <x:v>1</x:v>
      </x:c>
      <x:c r="F6" s="22" t="n">
        <x:f>COUNTIF('Ortszuordnung'!$E$5:$E$85,B6)-E6</x:f>
        <x:v>0</x:v>
      </x:c>
      <x:c r="G6" s="22" t="str">
        <x:v>GRUEN</x:v>
      </x:c>
      <x:c r="H6" s="22" t="str">
        <x:v>Wiederbelebung / Sammelpunkt</x:v>
      </x:c>
      <x:c r="I6" s="22" t="str">
        <x:v>VISUAL_EVIDENCE_NOT_YET_VERIFIED|CROWDING_RISK</x:v>
      </x:c>
      <x:c r="J6" s="22" t="str">
        <x:v>https://www.google.com/maps/search/?api=1&amp;query=41.9107491,12.4763454</x:v>
      </x:c>
      <x:c r="K6" s="22" t="str">
        <x:v>ALS_SEPARATEN_SUPPORTPUNKT_BEHALTEN</x:v>
      </x:c>
      <x:c r="L6" s="168"/>
      <x:c r="M6" s="168"/>
      <x:c r="N6" s="168"/>
      <x:c r="O6" s="168"/>
    </x:row>
    <x:row r="7" ht="44" customHeight="1">
      <x:c r="A7" s="22" t="str">
        <x:v>DAY_1</x:v>
      </x:c>
      <x:c r="B7" s="22" t="str">
        <x:v>place_day_1_piazza_navona</x:v>
      </x:c>
      <x:c r="C7" s="22" t="str">
        <x:v>Piazza Navona</x:v>
      </x:c>
      <x:c r="D7" s="22" t="str">
        <x:v>MEDIA_QUEST_LOCATION|LOCAL_MEDIA_QUEST|REVIVE_POINT_CANDIDATE|STORE_LOCATION_CANDIDATE|CLASS_HISTORY_QUEST_ANCHOR</x:v>
      </x:c>
      <x:c r="E7" s="22" t="n">
        <x:f>COUNTIFS('Ortszuordnung'!$E$5:$E$85,B7,'Ortszuordnung'!$B$5:$B$85,"REGULAER")</x:f>
        <x:v>1</x:v>
      </x:c>
      <x:c r="F7" s="22" t="n">
        <x:f>COUNTIF('Ortszuordnung'!$E$5:$E$85,B7)-E7</x:f>
        <x:v>1</x:v>
      </x:c>
      <x:c r="G7" s="22" t="str">
        <x:v>GRUEN</x:v>
      </x:c>
      <x:c r="H7" s="22" t="str">
        <x:v>Wiederbelebung / Sammelpunkt</x:v>
      </x:c>
      <x:c r="I7" s="22" t="str">
        <x:v>Für die Medienquest sind alle drei Brunnen als separate Fotostationen zu markieren.</x:v>
      </x:c>
      <x:c r="J7" s="22" t="str">
        <x:v>https://www.google.com/maps/search/?api=1&amp;query=41.8989256,12.4730991</x:v>
      </x:c>
      <x:c r="K7" s="22" t="str">
        <x:v>ALS_SEPARATEN_SUPPORTPUNKT_BEHALTEN</x:v>
      </x:c>
      <x:c r="L7" s="168" t="str">
        <x:v>STORE-D1-02</x:v>
      </x:c>
      <x:c r="M7" s="168" t="str">
        <x:v>500 m</x:v>
      </x:c>
      <x:c r="N7" s="168" t="str">
        <x:v>15 m</x:v>
      </x:c>
      <x:c r="O7" s="168" t="str">
        <x:v>Stores!A6:I6</x:v>
      </x:c>
    </x:row>
    <x:row r="8" ht="44" customHeight="1">
      <x:c r="A8" s="22" t="str">
        <x:v>DAY_1</x:v>
      </x:c>
      <x:c r="B8" s="22" t="str">
        <x:v>place_day_1_campo_de_fiori</x:v>
      </x:c>
      <x:c r="C8" s="22" t="str">
        <x:v>Campo de' Fiori</x:v>
      </x:c>
      <x:c r="D8" s="22" t="str">
        <x:v>STORE_LOCATION_CANDIDATE</x:v>
      </x:c>
      <x:c r="E8" s="22" t="n">
        <x:f>COUNTIFS('Ortszuordnung'!$E$5:$E$85,B8,'Ortszuordnung'!$B$5:$B$85,"REGULAER")</x:f>
        <x:v>1</x:v>
      </x:c>
      <x:c r="F8" s="22" t="n">
        <x:f>COUNTIF('Ortszuordnung'!$E$5:$E$85,B8)-E8</x:f>
        <x:v>0</x:v>
      </x:c>
      <x:c r="G8" s="22" t="str">
        <x:v>GRUEN</x:v>
      </x:c>
      <x:c r="H8" s="22" t="str">
        <x:v>Store</x:v>
      </x:c>
      <x:c r="I8" s="22" t="str">
        <x:v>Am Vormittag kann der Markt die Sockelsicht einschränken; Aufgabe auf die große Figur beschränken.</x:v>
      </x:c>
      <x:c r="J8" s="22" t="str">
        <x:v>https://www.google.com/maps/search/?api=1&amp;query=41.8955725,12.4721223</x:v>
      </x:c>
      <x:c r="K8" s="22" t="str">
        <x:v>ALS_SEPARATEN_SUPPORTPUNKT_BEHALTEN</x:v>
      </x:c>
      <x:c r="L8" s="168" t="str">
        <x:v>STORE-D1-03</x:v>
      </x:c>
      <x:c r="M8" s="168" t="str">
        <x:v>500 m</x:v>
      </x:c>
      <x:c r="N8" s="168" t="str">
        <x:v>15 m</x:v>
      </x:c>
      <x:c r="O8" s="168" t="str">
        <x:v>Stores!A7:I7</x:v>
      </x:c>
    </x:row>
    <x:row r="9" ht="44" customHeight="1">
      <x:c r="A9" s="22" t="str">
        <x:v>DAY_1</x:v>
      </x:c>
      <x:c r="B9" s="22" t="str">
        <x:v>place_day_1_fontana_dell_acqua_paola</x:v>
      </x:c>
      <x:c r="C9" s="22" t="str">
        <x:v>Fontana Dell'Acqua Paola</x:v>
      </x:c>
      <x:c r="D9" s="22" t="str">
        <x:v>REVIVE_POINT_CANDIDATE</x:v>
      </x:c>
      <x:c r="E9" s="22" t="n">
        <x:f>COUNTIFS('Ortszuordnung'!$E$5:$E$85,B9,'Ortszuordnung'!$B$5:$B$85,"REGULAER")</x:f>
        <x:v>1</x:v>
      </x:c>
      <x:c r="F9" s="22" t="n">
        <x:f>COUNTIF('Ortszuordnung'!$E$5:$E$85,B9)-E9</x:f>
        <x:v>0</x:v>
      </x:c>
      <x:c r="G9" s="22" t="str">
        <x:v>GRUEN</x:v>
      </x:c>
      <x:c r="H9" s="22" t="str">
        <x:v>Wiederbelebung / Sammelpunkt</x:v>
      </x:c>
      <x:c r="I9" s="22" t="str">
        <x:v>VISUAL_EVIDENCE_NOT_YET_VERIFIED|CROWDING_RISK</x:v>
      </x:c>
      <x:c r="J9" s="22" t="str">
        <x:v>https://www.google.com/maps/search/?api=1&amp;query=41.8888192,12.4642423</x:v>
      </x:c>
      <x:c r="K9" s="22" t="str">
        <x:v>ALS_SEPARATEN_SUPPORTPUNKT_BEHALTEN</x:v>
      </x:c>
      <x:c r="L9" s="168"/>
      <x:c r="M9" s="168"/>
      <x:c r="N9" s="168"/>
      <x:c r="O9" s="168"/>
    </x:row>
    <x:row r="10" ht="44" customHeight="1">
      <x:c r="A10" s="22" t="str">
        <x:v>DAY_1</x:v>
      </x:c>
      <x:c r="B10" s="22" t="str">
        <x:v>place_day_1_terrazza_del_gianicolo</x:v>
      </x:c>
      <x:c r="C10" s="22" t="str">
        <x:v>Terrazza del Gianicolo</x:v>
      </x:c>
      <x:c r="D10" s="22" t="str">
        <x:v>WORLD_BOSS_LOCATION|BOSS_STAGING_SAFE_ZONE</x:v>
      </x:c>
      <x:c r="E10" s="22" t="n">
        <x:f>COUNTIFS('Ortszuordnung'!$E$5:$E$85,B10,'Ortszuordnung'!$B$5:$B$85,"REGULAER")</x:f>
        <x:v>0</x:v>
      </x:c>
      <x:c r="F10" s="22" t="n">
        <x:f>COUNTIF('Ortszuordnung'!$E$5:$E$85,B10)-E10</x:f>
        <x:v>1</x:v>
      </x:c>
      <x:c r="G10" s="22" t="str">
        <x:v>GRUEN</x:v>
      </x:c>
      <x:c r="H10" s="22" t="str">
        <x:v>Boss-Sicherheitszone</x:v>
      </x:c>
      <x:c r="I10" s="22" t="str">
        <x:v>Primär Weltboss-Ort. Kampftrigger großzügig setzen und vom Straßenverkehr abwenden.</x:v>
      </x:c>
      <x:c r="J10" s="22" t="str">
        <x:v>https://www.google.com/maps/search/?api=1&amp;query=41.8914773,12.4613885</x:v>
      </x:c>
      <x:c r="K10" s="22" t="str">
        <x:v>ALS_SEPARATEN_SUPPORTPUNKT_BEHALTEN</x:v>
      </x:c>
      <x:c r="L10" s="168"/>
      <x:c r="M10" s="168"/>
      <x:c r="N10" s="168"/>
      <x:c r="O10" s="168"/>
    </x:row>
    <x:row r="11" ht="44" customHeight="1">
      <x:c r="A11" s="22" t="str">
        <x:v>DAY_1</x:v>
      </x:c>
      <x:c r="B11" s="22" t="str">
        <x:v>place_day_1_piazza_di_santa_maria_in_trastevere</x:v>
      </x:c>
      <x:c r="C11" s="22" t="str">
        <x:v>Piazza di Santa Maria in Trastevere</x:v>
      </x:c>
      <x:c r="D11" s="22" t="str">
        <x:v>REVIVE_POINT_CANDIDATE</x:v>
      </x:c>
      <x:c r="E11" s="22" t="n">
        <x:f>COUNTIFS('Ortszuordnung'!$E$5:$E$85,B11,'Ortszuordnung'!$B$5:$B$85,"REGULAER")</x:f>
        <x:v>0</x:v>
      </x:c>
      <x:c r="F11" s="22" t="n">
        <x:f>COUNTIF('Ortszuordnung'!$E$5:$E$85,B11)-E11</x:f>
        <x:v>0</x:v>
      </x:c>
      <x:c r="G11" s="22" t="str">
        <x:v>GRUEN</x:v>
      </x:c>
      <x:c r="H11" s="22" t="str">
        <x:v>Wiederbelebung / Sammelpunkt</x:v>
      </x:c>
      <x:c r="I11" s="22" t="str">
        <x:v>VISUAL_EVIDENCE_NOT_YET_VERIFIED</x:v>
      </x:c>
      <x:c r="J11" s="22" t="str">
        <x:v>https://www.google.com/maps/search/?api=1&amp;query=41.8895605,12.4703092</x:v>
      </x:c>
      <x:c r="K11" s="22" t="str">
        <x:v>ALS_SEPARATEN_SUPPORTPUNKT_BEHALTEN</x:v>
      </x:c>
      <x:c r="L11" s="168"/>
      <x:c r="M11" s="168"/>
      <x:c r="N11" s="168"/>
      <x:c r="O11" s="168"/>
    </x:row>
    <x:row r="12" ht="44" customHeight="1">
      <x:c r="A12" s="22" t="str">
        <x:v>DAY_2</x:v>
      </x:c>
      <x:c r="B12" s="22" t="str">
        <x:v>place_day_2_piazza_del_campidoglio</x:v>
      </x:c>
      <x:c r="C12" s="22" t="str">
        <x:v>Kapitolsplatz</x:v>
      </x:c>
      <x:c r="D12" s="22" t="str">
        <x:v>REVIVE_POINT_CANDIDATE</x:v>
      </x:c>
      <x:c r="E12" s="22" t="n">
        <x:f>COUNTIFS('Ortszuordnung'!$E$5:$E$85,B12,'Ortszuordnung'!$B$5:$B$85,"REGULAER")</x:f>
        <x:v>1</x:v>
      </x:c>
      <x:c r="F12" s="22" t="n">
        <x:f>COUNTIF('Ortszuordnung'!$E$5:$E$85,B12)-E12</x:f>
        <x:v>0</x:v>
      </x:c>
      <x:c r="G12" s="22" t="str">
        <x:v>GRUEN</x:v>
      </x:c>
      <x:c r="H12" s="22" t="str">
        <x:v>Wiederbelebung / Sammelpunkt</x:v>
      </x:c>
      <x:c r="I12" s="22" t="str">
        <x:v>VISUAL_EVIDENCE_NOT_YET_VERIFIED|CROWDING_RISK</x:v>
      </x:c>
      <x:c r="J12" s="22" t="str">
        <x:v>https://www.google.com/maps/search/?api=1&amp;query=41.8932288,12.4829654</x:v>
      </x:c>
      <x:c r="K12" s="22" t="str">
        <x:v>ALS_SEPARATEN_SUPPORTPUNKT_BEHALTEN</x:v>
      </x:c>
      <x:c r="L12" s="168"/>
      <x:c r="M12" s="168"/>
      <x:c r="N12" s="168"/>
      <x:c r="O12" s="168"/>
    </x:row>
    <x:row r="13" ht="44" customHeight="1">
      <x:c r="A13" s="22" t="str">
        <x:v>DAY_2</x:v>
      </x:c>
      <x:c r="B13" s="22" t="str">
        <x:v>place_day_2_colosseo</x:v>
      </x:c>
      <x:c r="C13" s="22" t="str">
        <x:v>Kolosseum</x:v>
      </x:c>
      <x:c r="D13" s="22" t="str">
        <x:v>MEDIA_QUEST_LOCATION|LOCAL_MEDIA_QUEST|STORE_LOCATION_CANDIDATE</x:v>
      </x:c>
      <x:c r="E13" s="22" t="n">
        <x:f>COUNTIFS('Ortszuordnung'!$E$5:$E$85,B13,'Ortszuordnung'!$B$5:$B$85,"REGULAER")</x:f>
        <x:v>1</x:v>
      </x:c>
      <x:c r="F13" s="22" t="n">
        <x:f>COUNTIF('Ortszuordnung'!$E$5:$E$85,B13)-E13</x:f>
        <x:v>1</x:v>
      </x:c>
      <x:c r="G13" s="22" t="str">
        <x:v>GRUEN</x:v>
      </x:c>
      <x:c r="H13" s="22" t="str">
        <x:v>Store</x:v>
      </x:c>
      <x:c r="I13" s="22" t="str">
        <x:v>Außenkoordinate verwenden; weder Eintritt noch Sicherheitskontrolle dürfen erforderlich sein.</x:v>
      </x:c>
      <x:c r="J13" s="22" t="str">
        <x:v>https://www.google.com/maps/search/?api=1&amp;query=41.88989,12.49337</x:v>
      </x:c>
      <x:c r="K13" s="22" t="str">
        <x:v>ALS_SEPARATEN_SUPPORTPUNKT_BEHALTEN</x:v>
      </x:c>
      <x:c r="L13" s="168" t="str">
        <x:v>STORE-D2-01</x:v>
      </x:c>
      <x:c r="M13" s="168" t="str">
        <x:v>500 m</x:v>
      </x:c>
      <x:c r="N13" s="168" t="str">
        <x:v>15 m</x:v>
      </x:c>
      <x:c r="O13" s="168" t="str">
        <x:v>Stores!A8:I8</x:v>
      </x:c>
    </x:row>
    <x:row r="14" ht="44" customHeight="1">
      <x:c r="A14" s="22" t="str">
        <x:v>DAY_2</x:v>
      </x:c>
      <x:c r="B14" s="22" t="str">
        <x:v>place_day_2_piazza_vittorio_emanuele_secondo</x:v>
      </x:c>
      <x:c r="C14" s="22" t="str">
        <x:v>Piazza Vittorio Emanuele Secondo</x:v>
      </x:c>
      <x:c r="D14" s="22" t="str">
        <x:v>REVIVE_POINT_CANDIDATE|STORE_LOCATION_CANDIDATE</x:v>
      </x:c>
      <x:c r="E14" s="22" t="n">
        <x:f>COUNTIFS('Ortszuordnung'!$E$5:$E$85,B14,'Ortszuordnung'!$B$5:$B$85,"REGULAER")</x:f>
        <x:v>0</x:v>
      </x:c>
      <x:c r="F14" s="22" t="n">
        <x:f>COUNTIF('Ortszuordnung'!$E$5:$E$85,B14)-E14</x:f>
        <x:v>1</x:v>
      </x:c>
      <x:c r="G14" s="22" t="str">
        <x:v>GELB</x:v>
      </x:c>
      <x:c r="H14" s="22" t="str">
        <x:v>Wiederbelebung / Sammelpunkt</x:v>
      </x:c>
      <x:c r="I14" s="22" t="str">
        <x:v>Nur innerhalb der sicheren Tagesöffnung des Gartens einplanen; bei Sperre gleichörtige Platzaufgabe bereitstellen.</x:v>
      </x:c>
      <x:c r="J14" s="22" t="str">
        <x:v>https://www.google.com/maps/search/?api=1&amp;query=41.8946228,12.5043081</x:v>
      </x:c>
      <x:c r="K14" s="22" t="str">
        <x:v>ALS_SEPARATEN_SUPPORTPUNKT_BEHALTEN</x:v>
      </x:c>
      <x:c r="L14" s="168" t="str">
        <x:v>STORE-D2-02</x:v>
      </x:c>
      <x:c r="M14" s="168" t="str">
        <x:v>500 m</x:v>
      </x:c>
      <x:c r="N14" s="168" t="str">
        <x:v>15 m</x:v>
      </x:c>
      <x:c r="O14" s="168" t="str">
        <x:v>Stores!A9:I9</x:v>
      </x:c>
    </x:row>
    <x:row r="15" ht="44" customHeight="1">
      <x:c r="A15" s="22" t="str">
        <x:v>DAY_2</x:v>
      </x:c>
      <x:c r="B15" s="22" t="str">
        <x:v>place_day_2_basilica_di_santa_maria_maggiore</x:v>
      </x:c>
      <x:c r="C15" s="22" t="str">
        <x:v>Basilika Groß Sankt Marien</x:v>
      </x:c>
      <x:c r="D15" s="22" t="str">
        <x:v>REVIVE_POINT_CANDIDATE|WORLD_BOSS_LOCATION|BOSS_STAGING_SAFE_ZONE</x:v>
      </x:c>
      <x:c r="E15" s="22" t="n">
        <x:f>COUNTIFS('Ortszuordnung'!$E$5:$E$85,B15,'Ortszuordnung'!$B$5:$B$85,"REGULAER")</x:f>
        <x:v>1</x:v>
      </x:c>
      <x:c r="F15" s="22" t="n">
        <x:f>COUNTIF('Ortszuordnung'!$E$5:$E$85,B15)-E15</x:f>
        <x:v>1</x:v>
      </x:c>
      <x:c r="G15" s="22" t="str">
        <x:v>GELB</x:v>
      </x:c>
      <x:c r="H15" s="22" t="str">
        <x:v>Wiederbelebung / Sammelpunkt</x:v>
      </x:c>
      <x:c r="I15" s="22" t="str">
        <x:v>Primär Boss-Staging auf dem öffentlichen Platz. Die Loggiazahl muss auf aktuellem Frontalbild nochmals bestätigt werden.</x:v>
      </x:c>
      <x:c r="J15" s="22" t="str">
        <x:v>https://www.google.com/maps/search/?api=1&amp;query=41.89712887126836,12.499145861948264</x:v>
      </x:c>
      <x:c r="K15" s="22" t="str">
        <x:v>ALS_SEPARATEN_SUPPORTPUNKT_BEHALTEN</x:v>
      </x:c>
      <x:c r="L15" s="168"/>
      <x:c r="M15" s="168"/>
      <x:c r="N15" s="168"/>
      <x:c r="O15" s="168"/>
    </x:row>
    <x:row r="16" ht="44" customHeight="1">
      <x:c r="A16" s="23" t="str">
        <x:v>DAY_2</x:v>
      </x:c>
      <x:c r="B16" s="23" t="str">
        <x:v>place_day_2_circo_massimo</x:v>
      </x:c>
      <x:c r="C16" s="23" t="str">
        <x:v>Circus Maximus</x:v>
      </x:c>
      <x:c r="D16" s="23" t="str">
        <x:v>MEDIA_QUEST_LOCATION|LOCAL_MEDIA_QUEST|REVIVE_POINT_CANDIDATE</x:v>
      </x:c>
      <x:c r="E16" s="23" t="n">
        <x:f>COUNTIFS('Ortszuordnung'!$E$5:$E$85,B16,'Ortszuordnung'!$B$5:$B$85,"REGULAER")</x:f>
        <x:v>0</x:v>
      </x:c>
      <x:c r="F16" s="23" t="n">
        <x:f>COUNTIF('Ortszuordnung'!$E$5:$E$85,B16)-E16</x:f>
        <x:v>1</x:v>
      </x:c>
      <x:c r="G16" s="23" t="str">
        <x:v>GRUEN</x:v>
      </x:c>
      <x:c r="H16" s="23" t="str">
        <x:v>Wiederbelebung / Sammelpunkt</x:v>
      </x:c>
      <x:c r="I16" s="23" t="str">
        <x:v>Fotoquest Streitwagenrennen: exakt fünf Bilder; Pickup und Upload am selben Außenpunkt im 15-m-Radius.</x:v>
      </x:c>
      <x:c r="J16" s="23" t="str">
        <x:v>https://www.google.com/maps/search/?api=1&amp;query=41.886650681433466,12.484508661426391</x:v>
      </x:c>
      <x:c r="K16" s="23" t="str">
        <x:v>ALS_SEPARATEN_SUPPORTPUNKT_BEHALTEN</x:v>
      </x:c>
      <x:c r="L16" s="168"/>
      <x:c r="M16" s="168"/>
      <x:c r="N16" s="168"/>
      <x:c r="O16" s="168"/>
    </x:row>
    <x:row r="17">
      <x:c r="L17" s="168"/>
      <x:c r="M17" s="168"/>
      <x:c r="N17" s="168"/>
      <x:c r="O17" s="168"/>
    </x:row>
    <x:row r="18">
      <x:c r="L18" s="168"/>
      <x:c r="M18" s="168"/>
      <x:c r="N18" s="168"/>
      <x:c r="O18" s="168"/>
    </x:row>
    <x:row r="19">
      <x:c r="L19" s="168"/>
      <x:c r="M19" s="168"/>
      <x:c r="N19" s="168"/>
      <x:c r="O19" s="168"/>
    </x:row>
    <x:row r="20">
      <x:c r="L20" s="168"/>
      <x:c r="M20" s="168"/>
      <x:c r="N20" s="168"/>
      <x:c r="O20" s="168"/>
    </x:row>
  </x:sheetData>
  <x:mergeCells>
    <x:mergeCell ref="A1:K1"/>
    <x:mergeCell ref="A2:K2"/>
  </x:mergeCells>
  <x:conditionalFormatting sqref="G5:G16">
    <x:cfRule type="containsText" dxfId="9" priority="1" operator="containsText" text="GRUEN"/>
    <x:cfRule type="containsText" dxfId="10" priority="2" operator="containsText" text="GELB"/>
  </x:conditionalFormatting>
  <x:pageMargins left="0.7" right="0.7" top="0.75" bottom="0.75" header="0.3" footer="0.3"/>
  <x:tableParts count="1">
    <x:tablePart xmlns:r="http://schemas.openxmlformats.org/officeDocument/2006/relationships" r:id="R929879f8a5bb440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11" hidden="0" customWidth="1"/>
    <x:col min="3" max="3" width="31" hidden="0" customWidth="1"/>
    <x:col min="4" max="4" width="30" hidden="0" customWidth="1"/>
    <x:col min="5" max="5" width="11" hidden="0" customWidth="1"/>
    <x:col min="6" max="6" width="27" hidden="0" customWidth="1"/>
    <x:col min="7" max="7" width="55" hidden="0" customWidth="1"/>
    <x:col min="8" max="8" width="15" hidden="0" customWidth="1"/>
    <x:col min="9" max="9" width="17" hidden="0" customWidth="1"/>
    <x:col min="10" max="10" width="18" hidden="0" customWidth="1"/>
    <x:col min="11" max="11" width="13" hidden="0" customWidth="1"/>
    <x:col min="12" max="12" width="28" hidden="0" customWidth="1"/>
    <x:col min="13" max="13" width="60" hidden="0" customWidth="1"/>
  </x:cols>
  <x:sheetData>
    <x:row r="1" ht="30" customHeight="1">
      <x:c r="A1" s="48" t="str">
        <x:v>Via Romae – Kandidatenstatus nach Gruppierung</x:v>
      </x:c>
      <x:c r="B1" s="48"/>
      <x:c r="C1" s="48"/>
      <x:c r="D1" s="48"/>
      <x:c r="E1" s="48"/>
      <x:c r="F1" s="48"/>
      <x:c r="G1" s="48"/>
      <x:c r="H1" s="48"/>
      <x:c r="I1" s="48"/>
      <x:c r="J1" s="48"/>
      <x:c r="K1" s="48"/>
      <x:c r="L1" s="48"/>
      <x:c r="M1" s="48"/>
    </x:row>
    <x:row r="2" ht="32" customHeight="1">
      <x:c r="A2" s="49" t="str">
        <x:v>Alle 90 Orte: Kernquest, Sonderquest, Support, Reserve oder Ausschluss. Reserve ist bewusst und kein Recherchefehler.</x:v>
      </x:c>
      <x:c r="B2" s="49"/>
      <x:c r="C2" s="49"/>
      <x:c r="D2" s="49"/>
      <x:c r="E2" s="49"/>
      <x:c r="F2" s="49"/>
      <x:c r="G2" s="49"/>
      <x:c r="H2" s="49"/>
      <x:c r="I2" s="49"/>
      <x:c r="J2" s="49"/>
      <x:c r="K2" s="49"/>
      <x:c r="L2" s="49"/>
      <x:c r="M2" s="49"/>
    </x:row>
    <x:row r="3">
      <x:c r="A3" s="50"/>
      <x:c r="B3" s="50"/>
      <x:c r="C3" s="50"/>
      <x:c r="D3" s="50"/>
      <x:c r="E3" s="50"/>
      <x:c r="F3" s="50"/>
      <x:c r="G3" s="50"/>
      <x:c r="H3" s="50"/>
      <x:c r="I3" s="50"/>
      <x:c r="J3" s="50"/>
      <x:c r="K3" s="50"/>
      <x:c r="L3" s="50"/>
      <x:c r="M3" s="50"/>
    </x:row>
    <x:row r="4">
      <x:c r="A4" s="51" t="str">
        <x:v>Kandidaten-ID</x:v>
      </x:c>
      <x:c r="B4" s="51" t="str">
        <x:v>Tag</x:v>
      </x:c>
      <x:c r="C4" s="51" t="str">
        <x:v>Cluster</x:v>
      </x:c>
      <x:c r="D4" s="51" t="str">
        <x:v>Ort</x:v>
      </x:c>
      <x:c r="E4" s="51" t="str">
        <x:v>Ampel</x:v>
      </x:c>
      <x:c r="F4" s="51" t="str">
        <x:v>Research-Status</x:v>
      </x:c>
      <x:c r="G4" s="51" t="str">
        <x:v>Supportrollen</x:v>
      </x:c>
      <x:c r="H4" s="51" t="str">
        <x:v>Kernnutzungen</x:v>
      </x:c>
      <x:c r="I4" s="51" t="str">
        <x:v>Sondernutzungen</x:v>
      </x:c>
      <x:c r="J4" s="51" t="str">
        <x:v>Entscheidung</x:v>
      </x:c>
      <x:c r="K4" s="51" t="str">
        <x:v>Score v0.3</x:v>
      </x:c>
      <x:c r="L4" s="51" t="str">
        <x:v>Gegnerhook</x:v>
      </x:c>
      <x:c r="M4" s="51" t="str">
        <x:v>Begründung / nächste Verwendung</x:v>
      </x:c>
    </x:row>
    <x:row r="5" ht="38" customHeight="1">
      <x:c r="A5" s="21" t="str">
        <x:v>place_day_1_piazza_san_pietro</x:v>
      </x:c>
      <x:c r="B5" s="21" t="str">
        <x:v>DAY_1</x:v>
      </x:c>
      <x:c r="C5" s="21" t="str">
        <x:v>D1_VATICANO_PRATI_BORGO</x:v>
      </x:c>
      <x:c r="D5" s="21" t="str">
        <x:v>Petersplatz</x:v>
      </x:c>
      <x:c r="E5" s="21" t="str">
        <x:v>GELB</x:v>
      </x:c>
      <x:c r="F5" s="21" t="str">
        <x:v>GELB_MENSCHENMENGE</x:v>
      </x:c>
      <x:c r="G5" s="21" t="str"/>
      <x:c r="H5" s="21" t="n">
        <x:f>COUNTIFS('Ortszuordnung'!$E$5:$E$85,A5,'Ortszuordnung'!$B$5:$B$85,"REGULAER")</x:f>
        <x:v>1</x:v>
      </x:c>
      <x:c r="I5" s="21" t="n">
        <x:f>COUNTIF('Ortszuordnung'!$E$5:$E$85,A5)-H5</x:f>
        <x:v>1</x:v>
      </x:c>
      <x:c r="J5" s="21" t="str">
        <x:f>IF(E5="ROT","AUSSCHLUSS",IF(H5&gt;0,"KERNQUEST",IF(I5&gt;0,"SONDERQUEST",IF(G5&lt;&gt;"","SUPPORT","RESERVE"))))</x:f>
        <x:v>KERNQUEST</x:v>
      </x:c>
      <x:c r="K5" s="21" t="n">
        <x:v>93</x:v>
      </x:c>
      <x:c r="L5" s="21" t="str"/>
      <x:c r="M5" s="21" t="str">
        <x:f>IF(J5="AUSSCHLUSS","Nicht als Pflichtort; nur nach neuer Evidenz neu bewerten.",IF(J5="KERNQUEST","In regulärer Quest gruppiert; aktuelle Sicht und blinden Test vor Release abschließen.",IF(J5="SONDERQUEST","Für Medien-, Hidden- oder Bossinhalt vorgesehen; separate Slot- oder Eventregel.",IF(J5="SUPPORT","Nur als Supportpunkt behalten; keine zusätzliche Pflichtquest.","Als Ersatz- oder späterer Questkandidat erhalten."))))</x:f>
        <x:v>In regulärer Quest gruppiert; aktuelle Sicht und blinden Test vor Release abschließen.</x:v>
      </x:c>
    </x:row>
    <x:row r="6" ht="38" customHeight="1">
      <x:c r="A6" s="22" t="str">
        <x:v>place_day_1_ponte_sant_angelo</x:v>
      </x:c>
      <x:c r="B6" s="22" t="str">
        <x:v>DAY_1</x:v>
      </x:c>
      <x:c r="C6" s="22" t="str">
        <x:v>D1_VATICANO_PRATI_BORGO</x:v>
      </x:c>
      <x:c r="D6" s="22" t="str">
        <x:v>Engelsbrücke</x:v>
      </x:c>
      <x:c r="E6" s="22" t="str">
        <x:v>GRUEN</x:v>
      </x:c>
      <x:c r="F6" s="22" t="str">
        <x:v>GRUEN_KONZEPTREIF</x:v>
      </x:c>
      <x:c r="G6" s="22" t="str"/>
      <x:c r="H6" s="22" t="n">
        <x:f>COUNTIFS('Ortszuordnung'!$E$5:$E$85,A6,'Ortszuordnung'!$B$5:$B$85,"REGULAER")</x:f>
        <x:v>0</x:v>
      </x:c>
      <x:c r="I6" s="22" t="n">
        <x:f>COUNTIF('Ortszuordnung'!$E$5:$E$85,A6)-H6</x:f>
        <x:v>1</x:v>
      </x:c>
      <x:c r="J6" s="22" t="str">
        <x:f>IF(E6="ROT","AUSSCHLUSS",IF(H6&gt;0,"KERNQUEST",IF(I6&gt;0,"SONDERQUEST",IF(G6&lt;&gt;"","SUPPORT","RESERVE"))))</x:f>
        <x:v>SONDERQUEST</x:v>
      </x:c>
      <x:c r="K6" s="22" t="n">
        <x:v>89</x:v>
      </x:c>
      <x:c r="L6" s="22" t="str">
        <x:v>Angelo della Passione</x:v>
      </x:c>
      <x:c r="M6" s="22" t="str">
        <x:f>IF(J6="AUSSCHLUSS","Nicht als Pflichtort; nur nach neuer Evidenz neu bewerten.",IF(J6="KERNQUEST","In regulärer Quest gruppiert; aktuelle Sicht und blinden Test vor Release abschließen.",IF(J6="SONDERQUEST","Für Medien-, Hidden- oder Bossinhalt vorgesehen; separate Slot- oder Eventregel.",IF(J6="SUPPORT","Nur als Supportpunkt behalten; keine zusätzliche Pflichtquest.","Als Ersatz- oder späterer Questkandidat erhalten."))))</x:f>
        <x:v>Für Medien-, Hidden- oder Bossinhalt vorgesehen; separate Slot- oder Eventregel.</x:v>
      </x:c>
    </x:row>
    <x:row r="7" ht="38" customHeight="1">
      <x:c r="A7" s="22" t="str">
        <x:v>place_day_1_castel_sant_angelo</x:v>
      </x:c>
      <x:c r="B7" s="22" t="str">
        <x:v>DAY_1</x:v>
      </x:c>
      <x:c r="C7" s="22" t="str">
        <x:v>D1_VATICANO_PRATI_BORGO</x:v>
      </x:c>
      <x:c r="D7" s="22" t="str">
        <x:v>Engelsburg</x:v>
      </x:c>
      <x:c r="E7" s="22" t="str">
        <x:v>GRUEN</x:v>
      </x:c>
      <x:c r="F7" s="22" t="str">
        <x:v>GRUEN_AUSSENPUNKT</x:v>
      </x:c>
      <x:c r="G7" s="22" t="str">
        <x:v>STORE_LOCATION_CANDIDATE|CLASS_HISTORY_QUEST_ANCHOR</x:v>
      </x:c>
      <x:c r="H7" s="22" t="n">
        <x:f>COUNTIFS('Ortszuordnung'!$E$5:$E$85,A7,'Ortszuordnung'!$B$5:$B$85,"REGULAER")</x:f>
        <x:v>1</x:v>
      </x:c>
      <x:c r="I7" s="22" t="n">
        <x:f>COUNTIF('Ortszuordnung'!$E$5:$E$85,A7)-H7</x:f>
        <x:v>0</x:v>
      </x:c>
      <x:c r="J7" s="22" t="str">
        <x:f>IF(E7="ROT","AUSSCHLUSS",IF(H7&gt;0,"KERNQUEST",IF(I7&gt;0,"SONDERQUEST",IF(G7&lt;&gt;"","SUPPORT","RESERVE"))))</x:f>
        <x:v>KERNQUEST</x:v>
      </x:c>
      <x:c r="K7" s="22" t="n">
        <x:v>86</x:v>
      </x:c>
      <x:c r="L7" s="22" t="str"/>
      <x:c r="M7" s="22" t="str">
        <x:f>IF(J7="AUSSCHLUSS","Nicht als Pflichtort; nur nach neuer Evidenz neu bewerten.",IF(J7="KERNQUEST","In regulärer Quest gruppiert; aktuelle Sicht und blinden Test vor Release abschließen.",IF(J7="SONDERQUEST","Für Medien-, Hidden- oder Bossinhalt vorgesehen; separate Slot- oder Eventregel.",IF(J7="SUPPORT","Nur als Supportpunkt behalten; keine zusätzliche Pflichtquest.","Als Ersatz- oder späterer Questkandidat erhalten."))))</x:f>
        <x:v>In regulärer Quest gruppiert; aktuelle Sicht und blinden Test vor Release abschließen.</x:v>
      </x:c>
    </x:row>
    <x:row r="8" ht="38" customHeight="1">
      <x:c r="A8" s="22" t="str">
        <x:v>place_day_1_porta_san_pellegrino</x:v>
      </x:c>
      <x:c r="B8" s="22" t="str">
        <x:v>DAY_1</x:v>
      </x:c>
      <x:c r="C8" s="22" t="str">
        <x:v>D1_VATICANO_PRATI_BORGO</x:v>
      </x:c>
      <x:c r="D8" s="22" t="str">
        <x:v>St.-Pellegrino-Tor</x:v>
      </x:c>
      <x:c r="E8" s="22" t="str">
        <x:v>GELB</x:v>
      </x:c>
      <x:c r="F8" s="22" t="str">
        <x:v>GELB_DETAIL_HOCH</x:v>
      </x:c>
      <x:c r="G8" s="22" t="str"/>
      <x:c r="H8" s="22" t="n">
        <x:f>COUNTIFS('Ortszuordnung'!$E$5:$E$85,A8,'Ortszuordnung'!$B$5:$B$85,"REGULAER")</x:f>
        <x:v>1</x:v>
      </x:c>
      <x:c r="I8" s="22" t="n">
        <x:f>COUNTIF('Ortszuordnung'!$E$5:$E$85,A8)-H8</x:f>
        <x:v>0</x:v>
      </x:c>
      <x:c r="J8" s="22" t="str">
        <x:f>IF(E8="ROT","AUSSCHLUSS",IF(H8&gt;0,"KERNQUEST",IF(I8&gt;0,"SONDERQUEST",IF(G8&lt;&gt;"","SUPPORT","RESERVE"))))</x:f>
        <x:v>KERNQUEST</x:v>
      </x:c>
      <x:c r="K8" s="22" t="n">
        <x:v>91</x:v>
      </x:c>
      <x:c r="L8" s="22" t="str"/>
      <x:c r="M8" s="22" t="str">
        <x:f>IF(J8="AUSSCHLUSS","Nicht als Pflichtort; nur nach neuer Evidenz neu bewerten.",IF(J8="KERNQUEST","In regulärer Quest gruppiert; aktuelle Sicht und blinden Test vor Release abschließen.",IF(J8="SONDERQUEST","Für Medien-, Hidden- oder Bossinhalt vorgesehen; separate Slot- oder Eventregel.",IF(J8="SUPPORT","Nur als Supportpunkt behalten; keine zusätzliche Pflichtquest.","Als Ersatz- oder späterer Questkandidat erhalten."))))</x:f>
        <x:v>In regulärer Quest gruppiert; aktuelle Sicht und blinden Test vor Release abschließen.</x:v>
      </x:c>
    </x:row>
    <x:row r="9" ht="38" customHeight="1">
      <x:c r="A9" s="22" t="str">
        <x:v>place_day_1_passetto_di_borgo</x:v>
      </x:c>
      <x:c r="B9" s="22" t="str">
        <x:v>DAY_1</x:v>
      </x:c>
      <x:c r="C9" s="22" t="str">
        <x:v>D1_VATICANO_PRATI_BORGO</x:v>
      </x:c>
      <x:c r="D9" s="22" t="str">
        <x:v>Passetto di Borgo</x:v>
      </x:c>
      <x:c r="E9" s="22" t="str">
        <x:v>GRUEN</x:v>
      </x:c>
      <x:c r="F9" s="22" t="str">
        <x:v>GRUEN_MIT_BLICKPUNKT</x:v>
      </x:c>
      <x:c r="G9" s="22" t="str"/>
      <x:c r="H9" s="22" t="n">
        <x:f>COUNTIFS('Ortszuordnung'!$E$5:$E$85,A9,'Ortszuordnung'!$B$5:$B$85,"REGULAER")</x:f>
        <x:v>1</x:v>
      </x:c>
      <x:c r="I9" s="22" t="n">
        <x:f>COUNTIF('Ortszuordnung'!$E$5:$E$85,A9)-H9</x:f>
        <x:v>0</x:v>
      </x:c>
      <x:c r="J9" s="22" t="str">
        <x:f>IF(E9="ROT","AUSSCHLUSS",IF(H9&gt;0,"KERNQUEST",IF(I9&gt;0,"SONDERQUEST",IF(G9&lt;&gt;"","SUPPORT","RESERVE"))))</x:f>
        <x:v>KERNQUEST</x:v>
      </x:c>
      <x:c r="K9" s="22" t="n">
        <x:v>90</x:v>
      </x:c>
      <x:c r="L9" s="22" t="str"/>
      <x:c r="M9" s="22" t="str">
        <x:f>IF(J9="AUSSCHLUSS","Nicht als Pflichtort; nur nach neuer Evidenz neu bewerten.",IF(J9="KERNQUEST","In regulärer Quest gruppiert; aktuelle Sicht und blinden Test vor Release abschließen.",IF(J9="SONDERQUEST","Für Medien-, Hidden- oder Bossinhalt vorgesehen; separate Slot- oder Eventregel.",IF(J9="SUPPORT","Nur als Supportpunkt behalten; keine zusätzliche Pflichtquest.","Als Ersatz- oder späterer Questkandidat erhalten."))))</x:f>
        <x:v>In regulärer Quest gruppiert; aktuelle Sicht und blinden Test vor Release abschließen.</x:v>
      </x:c>
    </x:row>
    <x:row r="10" ht="38" customHeight="1">
      <x:c r="A10" s="22" t="str">
        <x:v>place_day_1_porta_santo_spirito</x:v>
      </x:c>
      <x:c r="B10" s="22" t="str">
        <x:v>DAY_1</x:v>
      </x:c>
      <x:c r="C10" s="22" t="str">
        <x:v>D1_VATICANO_PRATI_BORGO</x:v>
      </x:c>
      <x:c r="D10" s="22" t="str">
        <x:v>Porta Santo Spirito</x:v>
      </x:c>
      <x:c r="E10" s="22" t="str">
        <x:v>GRUEN</x:v>
      </x:c>
      <x:c r="F10" s="22" t="str">
        <x:v>GRUEN_MIT_BLICKPUNKT</x:v>
      </x:c>
      <x:c r="G10" s="22" t="str"/>
      <x:c r="H10" s="22" t="n">
        <x:f>COUNTIFS('Ortszuordnung'!$E$5:$E$85,A10,'Ortszuordnung'!$B$5:$B$85,"REGULAER")</x:f>
        <x:v>1</x:v>
      </x:c>
      <x:c r="I10" s="22" t="n">
        <x:f>COUNTIF('Ortszuordnung'!$E$5:$E$85,A10)-H10</x:f>
        <x:v>0</x:v>
      </x:c>
      <x:c r="J10" s="22" t="str">
        <x:f>IF(E10="ROT","AUSSCHLUSS",IF(H10&gt;0,"KERNQUEST",IF(I10&gt;0,"SONDERQUEST",IF(G10&lt;&gt;"","SUPPORT","RESERVE"))))</x:f>
        <x:v>KERNQUEST</x:v>
      </x:c>
      <x:c r="K10" s="22" t="n">
        <x:v>89</x:v>
      </x:c>
      <x:c r="L10" s="22" t="str"/>
      <x:c r="M10" s="22" t="str">
        <x:f>IF(J10="AUSSCHLUSS","Nicht als Pflichtort; nur nach neuer Evidenz neu bewerten.",IF(J10="KERNQUEST","In regulärer Quest gruppiert; aktuelle Sicht und blinden Test vor Release abschließen.",IF(J10="SONDERQUEST","Für Medien-, Hidden- oder Bossinhalt vorgesehen; separate Slot- oder Eventregel.",IF(J10="SUPPORT","Nur als Supportpunkt behalten; keine zusätzliche Pflichtquest.","Als Ersatz- oder späterer Questkandidat erhalten."))))</x:f>
        <x:v>In regulärer Quest gruppiert; aktuelle Sicht und blinden Test vor Release abschließen.</x:v>
      </x:c>
    </x:row>
    <x:row r="11" ht="38" customHeight="1">
      <x:c r="A11" s="22" t="str">
        <x:v>place_day_1_piazza_del_popolo</x:v>
      </x:c>
      <x:c r="B11" s="22" t="str">
        <x:v>DAY_1</x:v>
      </x:c>
      <x:c r="C11" s="22" t="str">
        <x:v>D1_POPOLO_PINCIO_SPAGNA</x:v>
      </x:c>
      <x:c r="D11" s="22" t="str">
        <x:v>Piazza del Popolo</x:v>
      </x:c>
      <x:c r="E11" s="22" t="str">
        <x:v>GRUEN</x:v>
      </x:c>
      <x:c r="F11" s="22" t="str">
        <x:v>GRUEN_KONZEPTREIF</x:v>
      </x:c>
      <x:c r="G11" s="22" t="str">
        <x:v>REVIVE_POINT_CANDIDATE</x:v>
      </x:c>
      <x:c r="H11" s="22" t="n">
        <x:f>COUNTIFS('Ortszuordnung'!$E$5:$E$85,A11,'Ortszuordnung'!$B$5:$B$85,"REGULAER")</x:f>
        <x:v>1</x:v>
      </x:c>
      <x:c r="I11" s="22" t="n">
        <x:f>COUNTIF('Ortszuordnung'!$E$5:$E$85,A11)-H11</x:f>
        <x:v>0</x:v>
      </x:c>
      <x:c r="J11" s="22" t="str">
        <x:f>IF(E11="ROT","AUSSCHLUSS",IF(H11&gt;0,"KERNQUEST",IF(I11&gt;0,"SONDERQUEST",IF(G11&lt;&gt;"","SUPPORT","RESERVE"))))</x:f>
        <x:v>KERNQUEST</x:v>
      </x:c>
      <x:c r="K11" s="22" t="n">
        <x:v>89</x:v>
      </x:c>
      <x:c r="L11" s="22" t="str"/>
      <x:c r="M11" s="22" t="str">
        <x:f>IF(J11="AUSSCHLUSS","Nicht als Pflichtort; nur nach neuer Evidenz neu bewerten.",IF(J11="KERNQUEST","In regulärer Quest gruppiert; aktuelle Sicht und blinden Test vor Release abschließen.",IF(J11="SONDERQUEST","Für Medien-, Hidden- oder Bossinhalt vorgesehen; separate Slot- oder Eventregel.",IF(J11="SUPPORT","Nur als Supportpunkt behalten; keine zusätzliche Pflichtquest.","Als Ersatz- oder späterer Questkandidat erhalten."))))</x:f>
        <x:v>In regulärer Quest gruppiert; aktuelle Sicht und blinden Test vor Release abschließen.</x:v>
      </x:c>
    </x:row>
    <x:row r="12" ht="38" customHeight="1">
      <x:c r="A12" s="22" t="str">
        <x:v>place_day_1_piazza_di_spagna</x:v>
      </x:c>
      <x:c r="B12" s="22" t="str">
        <x:v>DAY_1</x:v>
      </x:c>
      <x:c r="C12" s="22" t="str">
        <x:v>D1_POPOLO_PINCIO_SPAGNA</x:v>
      </x:c>
      <x:c r="D12" s="22" t="str">
        <x:v>Spanischer Platz</x:v>
      </x:c>
      <x:c r="E12" s="22" t="str">
        <x:v>GRUEN</x:v>
      </x:c>
      <x:c r="F12" s="22" t="str">
        <x:v>GRUEN_MENSCHENMENGE</x:v>
      </x:c>
      <x:c r="G12" s="22" t="str"/>
      <x:c r="H12" s="22" t="n">
        <x:f>COUNTIFS('Ortszuordnung'!$E$5:$E$85,A12,'Ortszuordnung'!$B$5:$B$85,"REGULAER")</x:f>
        <x:v>1</x:v>
      </x:c>
      <x:c r="I12" s="22" t="n">
        <x:f>COUNTIF('Ortszuordnung'!$E$5:$E$85,A12)-H12</x:f>
        <x:v>0</x:v>
      </x:c>
      <x:c r="J12" s="22" t="str">
        <x:f>IF(E12="ROT","AUSSCHLUSS",IF(H12&gt;0,"KERNQUEST",IF(I12&gt;0,"SONDERQUEST",IF(G12&lt;&gt;"","SUPPORT","RESERVE"))))</x:f>
        <x:v>KERNQUEST</x:v>
      </x:c>
      <x:c r="K12" s="22" t="n">
        <x:v>89</x:v>
      </x:c>
      <x:c r="L12" s="22" t="str"/>
      <x:c r="M12" s="22" t="str">
        <x:f>IF(J12="AUSSCHLUSS","Nicht als Pflichtort; nur nach neuer Evidenz neu bewerten.",IF(J12="KERNQUEST","In regulärer Quest gruppiert; aktuelle Sicht und blinden Test vor Release abschließen.",IF(J12="SONDERQUEST","Für Medien-, Hidden- oder Bossinhalt vorgesehen; separate Slot- oder Eventregel.",IF(J12="SUPPORT","Nur als Supportpunkt behalten; keine zusätzliche Pflichtquest.","Als Ersatz- oder späterer Questkandidat erhalten."))))</x:f>
        <x:v>In regulärer Quest gruppiert; aktuelle Sicht und blinden Test vor Release abschließen.</x:v>
      </x:c>
    </x:row>
    <x:row r="13" ht="38" customHeight="1">
      <x:c r="A13" s="22" t="str">
        <x:v>place_day_1_obelisco_flaminio</x:v>
      </x:c>
      <x:c r="B13" s="22" t="str">
        <x:v>DAY_1</x:v>
      </x:c>
      <x:c r="C13" s="22" t="str">
        <x:v>D1_POPOLO_PINCIO_SPAGNA</x:v>
      </x:c>
      <x:c r="D13" s="22" t="str">
        <x:v>Obelisco Flaminio</x:v>
      </x:c>
      <x:c r="E13" s="22" t="str">
        <x:v>GRUEN</x:v>
      </x:c>
      <x:c r="F13" s="22" t="str">
        <x:v>GRUEN_KONZEPTREIF</x:v>
      </x:c>
      <x:c r="G13" s="22" t="str"/>
      <x:c r="H13" s="22" t="n">
        <x:f>COUNTIFS('Ortszuordnung'!$E$5:$E$85,A13,'Ortszuordnung'!$B$5:$B$85,"REGULAER")</x:f>
        <x:v>1</x:v>
      </x:c>
      <x:c r="I13" s="22" t="n">
        <x:f>COUNTIF('Ortszuordnung'!$E$5:$E$85,A13)-H13</x:f>
        <x:v>0</x:v>
      </x:c>
      <x:c r="J13" s="22" t="str">
        <x:f>IF(E13="ROT","AUSSCHLUSS",IF(H13&gt;0,"KERNQUEST",IF(I13&gt;0,"SONDERQUEST",IF(G13&lt;&gt;"","SUPPORT","RESERVE"))))</x:f>
        <x:v>KERNQUEST</x:v>
      </x:c>
      <x:c r="K13" s="22" t="n">
        <x:v>87</x:v>
      </x:c>
      <x:c r="L13" s="22" t="str">
        <x:v>Leone del Flaminio</x:v>
      </x:c>
      <x:c r="M13" s="22" t="str">
        <x:f>IF(J13="AUSSCHLUSS","Nicht als Pflichtort; nur nach neuer Evidenz neu bewerten.",IF(J13="KERNQUEST","In regulärer Quest gruppiert; aktuelle Sicht und blinden Test vor Release abschließen.",IF(J13="SONDERQUEST","Für Medien-, Hidden- oder Bossinhalt vorgesehen; separate Slot- oder Eventregel.",IF(J13="SUPPORT","Nur als Supportpunkt behalten; keine zusätzliche Pflichtquest.","Als Ersatz- oder späterer Questkandidat erhalten."))))</x:f>
        <x:v>In regulärer Quest gruppiert; aktuelle Sicht und blinden Test vor Release abschließen.</x:v>
      </x:c>
    </x:row>
    <x:row r="14" ht="38" customHeight="1">
      <x:c r="A14" s="22" t="str">
        <x:v>place_day_1_porta_del_popolo</x:v>
      </x:c>
      <x:c r="B14" s="22" t="str">
        <x:v>DAY_1</x:v>
      </x:c>
      <x:c r="C14" s="22" t="str">
        <x:v>D1_POPOLO_PINCIO_SPAGNA</x:v>
      </x:c>
      <x:c r="D14" s="22" t="str">
        <x:v>Porta del Popolo</x:v>
      </x:c>
      <x:c r="E14" s="22" t="str">
        <x:v>GRUEN</x:v>
      </x:c>
      <x:c r="F14" s="22" t="str">
        <x:v>GRUEN_KONZEPTREIF</x:v>
      </x:c>
      <x:c r="G14" s="22" t="str"/>
      <x:c r="H14" s="22" t="n">
        <x:f>COUNTIFS('Ortszuordnung'!$E$5:$E$85,A14,'Ortszuordnung'!$B$5:$B$85,"REGULAER")</x:f>
        <x:v>1</x:v>
      </x:c>
      <x:c r="I14" s="22" t="n">
        <x:f>COUNTIF('Ortszuordnung'!$E$5:$E$85,A14)-H14</x:f>
        <x:v>0</x:v>
      </x:c>
      <x:c r="J14" s="22" t="str">
        <x:f>IF(E14="ROT","AUSSCHLUSS",IF(H14&gt;0,"KERNQUEST",IF(I14&gt;0,"SONDERQUEST",IF(G14&lt;&gt;"","SUPPORT","RESERVE"))))</x:f>
        <x:v>KERNQUEST</x:v>
      </x:c>
      <x:c r="K14" s="22" t="n">
        <x:v>89</x:v>
      </x:c>
      <x:c r="L14" s="22" t="str"/>
      <x:c r="M14" s="22" t="str">
        <x:f>IF(J14="AUSSCHLUSS","Nicht als Pflichtort; nur nach neuer Evidenz neu bewerten.",IF(J14="KERNQUEST","In regulärer Quest gruppiert; aktuelle Sicht und blinden Test vor Release abschließen.",IF(J14="SONDERQUEST","Für Medien-, Hidden- oder Bossinhalt vorgesehen; separate Slot- oder Eventregel.",IF(J14="SUPPORT","Nur als Supportpunkt behalten; keine zusätzliche Pflichtquest.","Als Ersatz- oder späterer Questkandidat erhalten."))))</x:f>
        <x:v>In regulärer Quest gruppiert; aktuelle Sicht und blinden Test vor Release abschließen.</x:v>
      </x:c>
    </x:row>
    <x:row r="15" ht="38" customHeight="1">
      <x:c r="A15" s="22" t="str">
        <x:v>place_day_1_monumento_ai_fratelli_cairoli</x:v>
      </x:c>
      <x:c r="B15" s="22" t="str">
        <x:v>DAY_1</x:v>
      </x:c>
      <x:c r="C15" s="22" t="str">
        <x:v>D1_POPOLO_PINCIO_SPAGNA</x:v>
      </x:c>
      <x:c r="D15" s="22" t="str">
        <x:v>Monumento ai Fratelli Cairoli</x:v>
      </x:c>
      <x:c r="E15" s="22" t="str">
        <x:v>GRUEN</x:v>
      </x:c>
      <x:c r="F15" s="22" t="str">
        <x:v>GRUEN_KONZEPTREIF</x:v>
      </x:c>
      <x:c r="G15" s="22" t="str"/>
      <x:c r="H15" s="22" t="n">
        <x:f>COUNTIFS('Ortszuordnung'!$E$5:$E$85,A15,'Ortszuordnung'!$B$5:$B$85,"REGULAER")</x:f>
        <x:v>0</x:v>
      </x:c>
      <x:c r="I15" s="22" t="n">
        <x:f>COUNTIF('Ortszuordnung'!$E$5:$E$85,A15)-H15</x:f>
        <x:v>0</x:v>
      </x:c>
      <x:c r="J15" s="22" t="str">
        <x:f>IF(E15="ROT","AUSSCHLUSS",IF(H15&gt;0,"KERNQUEST",IF(I15&gt;0,"SONDERQUEST",IF(G15&lt;&gt;"","SUPPORT","RESERVE"))))</x:f>
        <x:v>RESERVE</x:v>
      </x:c>
      <x:c r="K15" s="22" t="n">
        <x:v>88</x:v>
      </x:c>
      <x:c r="L15" s="22" t="str"/>
      <x:c r="M15" s="22" t="str">
        <x:f>IF(J15="AUSSCHLUSS","Nicht als Pflichtort; nur nach neuer Evidenz neu bewerten.",IF(J15="KERNQUEST","In regulärer Quest gruppiert; aktuelle Sicht und blinden Test vor Release abschließen.",IF(J15="SONDERQUEST","Für Medien-, Hidden- oder Bossinhalt vorgesehen; separate Slot- oder Eventregel.",IF(J15="SUPPORT","Nur als Supportpunkt behalten; keine zusätzliche Pflichtquest.","Als Ersatz- oder späterer Questkandidat erhalten."))))</x:f>
        <x:v>Als Ersatz- oder späterer Questkandidat erhalten.</x:v>
      </x:c>
    </x:row>
    <x:row r="16" ht="38" customHeight="1">
      <x:c r="A16" s="22" t="str">
        <x:v>place_day_1_piazza_navona</x:v>
      </x:c>
      <x:c r="B16" s="22" t="str">
        <x:v>DAY_1</x:v>
      </x:c>
      <x:c r="C16" s="22" t="str">
        <x:v>D1_NAVONA_PANTHEON</x:v>
      </x:c>
      <x:c r="D16" s="22" t="str">
        <x:v>Piazza Navona</x:v>
      </x:c>
      <x:c r="E16" s="22" t="str">
        <x:v>GRUEN</x:v>
      </x:c>
      <x:c r="F16" s="22" t="str">
        <x:v>GRUEN_MENSCHENMENGE</x:v>
      </x:c>
      <x:c r="G16" s="22" t="str">
        <x:v>MEDIA_QUEST_LOCATION|LOCAL_MEDIA_QUEST|REVIVE_POINT_CANDIDATE|STORE_LOCATION_CANDIDATE|CLASS_HISTORY_QUEST_ANCHOR</x:v>
      </x:c>
      <x:c r="H16" s="22" t="n">
        <x:f>COUNTIFS('Ortszuordnung'!$E$5:$E$85,A16,'Ortszuordnung'!$B$5:$B$85,"REGULAER")</x:f>
        <x:v>1</x:v>
      </x:c>
      <x:c r="I16" s="22" t="n">
        <x:f>COUNTIF('Ortszuordnung'!$E$5:$E$85,A16)-H16</x:f>
        <x:v>1</x:v>
      </x:c>
      <x:c r="J16" s="22" t="str">
        <x:f>IF(E16="ROT","AUSSCHLUSS",IF(H16&gt;0,"KERNQUEST",IF(I16&gt;0,"SONDERQUEST",IF(G16&lt;&gt;"","SUPPORT","RESERVE"))))</x:f>
        <x:v>KERNQUEST</x:v>
      </x:c>
      <x:c r="K16" s="22" t="n">
        <x:v>93</x:v>
      </x:c>
      <x:c r="L16" s="22" t="str"/>
      <x:c r="M16" s="22" t="str">
        <x:f>IF(J16="AUSSCHLUSS","Nicht als Pflichtort; nur nach neuer Evidenz neu bewerten.",IF(J16="KERNQUEST","In regulärer Quest gruppiert; aktuelle Sicht und blinden Test vor Release abschließen.",IF(J16="SONDERQUEST","Für Medien-, Hidden- oder Bossinhalt vorgesehen; separate Slot- oder Eventregel.",IF(J16="SUPPORT","Nur als Supportpunkt behalten; keine zusätzliche Pflichtquest.","Als Ersatz- oder späterer Questkandidat erhalten."))))</x:f>
        <x:v>In regulärer Quest gruppiert; aktuelle Sicht und blinden Test vor Release abschließen.</x:v>
      </x:c>
    </x:row>
    <x:row r="17" ht="38" customHeight="1">
      <x:c r="A17" s="22" t="str">
        <x:v>place_day_1_obelisco_di_montecitorio</x:v>
      </x:c>
      <x:c r="B17" s="22" t="str">
        <x:v>DAY_1</x:v>
      </x:c>
      <x:c r="C17" s="22" t="str">
        <x:v>D1_NAVONA_PANTHEON</x:v>
      </x:c>
      <x:c r="D17" s="22" t="str">
        <x:v>Obelisco di Montecitorio</x:v>
      </x:c>
      <x:c r="E17" s="22" t="str">
        <x:v>GRUEN</x:v>
      </x:c>
      <x:c r="F17" s="22" t="str">
        <x:v>GRUEN_KONZEPTREIF</x:v>
      </x:c>
      <x:c r="G17" s="22" t="str"/>
      <x:c r="H17" s="22" t="n">
        <x:f>COUNTIFS('Ortszuordnung'!$E$5:$E$85,A17,'Ortszuordnung'!$B$5:$B$85,"REGULAER")</x:f>
        <x:v>1</x:v>
      </x:c>
      <x:c r="I17" s="22" t="n">
        <x:f>COUNTIF('Ortszuordnung'!$E$5:$E$85,A17)-H17</x:f>
        <x:v>0</x:v>
      </x:c>
      <x:c r="J17" s="22" t="str">
        <x:f>IF(E17="ROT","AUSSCHLUSS",IF(H17&gt;0,"KERNQUEST",IF(I17&gt;0,"SONDERQUEST",IF(G17&lt;&gt;"","SUPPORT","RESERVE"))))</x:f>
        <x:v>KERNQUEST</x:v>
      </x:c>
      <x:c r="K17" s="22" t="n">
        <x:v>91</x:v>
      </x:c>
      <x:c r="L17" s="22" t="str">
        <x:v>Ombra dell’Horologium</x:v>
      </x:c>
      <x:c r="M17" s="22" t="str">
        <x:f>IF(J17="AUSSCHLUSS","Nicht als Pflichtort; nur nach neuer Evidenz neu bewerten.",IF(J17="KERNQUEST","In regulärer Quest gruppiert; aktuelle Sicht und blinden Test vor Release abschließen.",IF(J17="SONDERQUEST","Für Medien-, Hidden- oder Bossinhalt vorgesehen; separate Slot- oder Eventregel.",IF(J17="SUPPORT","Nur als Supportpunkt behalten; keine zusätzliche Pflichtquest.","Als Ersatz- oder späterer Questkandidat erhalten."))))</x:f>
        <x:v>In regulärer Quest gruppiert; aktuelle Sicht und blinden Test vor Release abschließen.</x:v>
      </x:c>
    </x:row>
    <x:row r="18" ht="38" customHeight="1">
      <x:c r="A18" s="22" t="str">
        <x:v>place_day_1_fontana_del_nettuno</x:v>
      </x:c>
      <x:c r="B18" s="22" t="str">
        <x:v>DAY_1</x:v>
      </x:c>
      <x:c r="C18" s="22" t="str">
        <x:v>D1_NAVONA_PANTHEON</x:v>
      </x:c>
      <x:c r="D18" s="22" t="str">
        <x:v>Neptunsbrunnen</x:v>
      </x:c>
      <x:c r="E18" s="22" t="str">
        <x:v>GRUEN</x:v>
      </x:c>
      <x:c r="F18" s="22" t="str">
        <x:v>GRUEN_KONZEPTREIF</x:v>
      </x:c>
      <x:c r="G18" s="22" t="str"/>
      <x:c r="H18" s="22" t="n">
        <x:f>COUNTIFS('Ortszuordnung'!$E$5:$E$85,A18,'Ortszuordnung'!$B$5:$B$85,"REGULAER")</x:f>
        <x:v>1</x:v>
      </x:c>
      <x:c r="I18" s="22" t="n">
        <x:f>COUNTIF('Ortszuordnung'!$E$5:$E$85,A18)-H18</x:f>
        <x:v>1</x:v>
      </x:c>
      <x:c r="J18" s="22" t="str">
        <x:f>IF(E18="ROT","AUSSCHLUSS",IF(H18&gt;0,"KERNQUEST",IF(I18&gt;0,"SONDERQUEST",IF(G18&lt;&gt;"","SUPPORT","RESERVE"))))</x:f>
        <x:v>KERNQUEST</x:v>
      </x:c>
      <x:c r="K18" s="22" t="n">
        <x:v>88</x:v>
      </x:c>
      <x:c r="L18" s="22" t="str"/>
      <x:c r="M18" s="22" t="str">
        <x:f>IF(J18="AUSSCHLUSS","Nicht als Pflichtort; nur nach neuer Evidenz neu bewerten.",IF(J18="KERNQUEST","In regulärer Quest gruppiert; aktuelle Sicht und blinden Test vor Release abschließen.",IF(J18="SONDERQUEST","Für Medien-, Hidden- oder Bossinhalt vorgesehen; separate Slot- oder Eventregel.",IF(J18="SUPPORT","Nur als Supportpunkt behalten; keine zusätzliche Pflichtquest.","Als Ersatz- oder späterer Questkandidat erhalten."))))</x:f>
        <x:v>In regulärer Quest gruppiert; aktuelle Sicht und blinden Test vor Release abschließen.</x:v>
      </x:c>
    </x:row>
    <x:row r="19" ht="38" customHeight="1">
      <x:c r="A19" s="22" t="str">
        <x:v>place_day_1_fontana_del_moro</x:v>
      </x:c>
      <x:c r="B19" s="22" t="str">
        <x:v>DAY_1</x:v>
      </x:c>
      <x:c r="C19" s="22" t="str">
        <x:v>D1_NAVONA_PANTHEON</x:v>
      </x:c>
      <x:c r="D19" s="22" t="str">
        <x:v>Mohrenbrunnen</x:v>
      </x:c>
      <x:c r="E19" s="22" t="str">
        <x:v>GRUEN</x:v>
      </x:c>
      <x:c r="F19" s="22" t="str">
        <x:v>GRUEN_KONZEPTREIF</x:v>
      </x:c>
      <x:c r="G19" s="22" t="str"/>
      <x:c r="H19" s="22" t="n">
        <x:f>COUNTIFS('Ortszuordnung'!$E$5:$E$85,A19,'Ortszuordnung'!$B$5:$B$85,"REGULAER")</x:f>
        <x:v>1</x:v>
      </x:c>
      <x:c r="I19" s="22" t="n">
        <x:f>COUNTIF('Ortszuordnung'!$E$5:$E$85,A19)-H19</x:f>
        <x:v>1</x:v>
      </x:c>
      <x:c r="J19" s="22" t="str">
        <x:f>IF(E19="ROT","AUSSCHLUSS",IF(H19&gt;0,"KERNQUEST",IF(I19&gt;0,"SONDERQUEST",IF(G19&lt;&gt;"","SUPPORT","RESERVE"))))</x:f>
        <x:v>KERNQUEST</x:v>
      </x:c>
      <x:c r="K19" s="22" t="n">
        <x:v>88</x:v>
      </x:c>
      <x:c r="L19" s="22" t="str"/>
      <x:c r="M19" s="22" t="str">
        <x:f>IF(J19="AUSSCHLUSS","Nicht als Pflichtort; nur nach neuer Evidenz neu bewerten.",IF(J19="KERNQUEST","In regulärer Quest gruppiert; aktuelle Sicht und blinden Test vor Release abschließen.",IF(J19="SONDERQUEST","Für Medien-, Hidden- oder Bossinhalt vorgesehen; separate Slot- oder Eventregel.",IF(J19="SUPPORT","Nur als Supportpunkt behalten; keine zusätzliche Pflichtquest.","Als Ersatz- oder späterer Questkandidat erhalten."))))</x:f>
        <x:v>In regulärer Quest gruppiert; aktuelle Sicht und blinden Test vor Release abschließen.</x:v>
      </x:c>
    </x:row>
    <x:row r="20" ht="38" customHeight="1">
      <x:c r="A20" s="22" t="str">
        <x:v>place_day_1_pantheon</x:v>
      </x:c>
      <x:c r="B20" s="22" t="str">
        <x:v>DAY_1</x:v>
      </x:c>
      <x:c r="C20" s="22" t="str">
        <x:v>D1_NAVONA_PANTHEON</x:v>
      </x:c>
      <x:c r="D20" s="22" t="str">
        <x:v>Pantheon</x:v>
      </x:c>
      <x:c r="E20" s="22" t="str">
        <x:v>GRUEN</x:v>
      </x:c>
      <x:c r="F20" s="22" t="str">
        <x:v>GRUEN_AUSSENPUNKT</x:v>
      </x:c>
      <x:c r="G20" s="22" t="str"/>
      <x:c r="H20" s="22" t="n">
        <x:f>COUNTIFS('Ortszuordnung'!$E$5:$E$85,A20,'Ortszuordnung'!$B$5:$B$85,"REGULAER")</x:f>
        <x:v>1</x:v>
      </x:c>
      <x:c r="I20" s="22" t="n">
        <x:f>COUNTIF('Ortszuordnung'!$E$5:$E$85,A20)-H20</x:f>
        <x:v>0</x:v>
      </x:c>
      <x:c r="J20" s="22" t="str">
        <x:f>IF(E20="ROT","AUSSCHLUSS",IF(H20&gt;0,"KERNQUEST",IF(I20&gt;0,"SONDERQUEST",IF(G20&lt;&gt;"","SUPPORT","RESERVE"))))</x:f>
        <x:v>KERNQUEST</x:v>
      </x:c>
      <x:c r="K20" s="22" t="n">
        <x:v>83</x:v>
      </x:c>
      <x:c r="L20" s="22" t="str"/>
      <x:c r="M20" s="22" t="str">
        <x:f>IF(J20="AUSSCHLUSS","Nicht als Pflichtort; nur nach neuer Evidenz neu bewerten.",IF(J20="KERNQUEST","In regulärer Quest gruppiert; aktuelle Sicht und blinden Test vor Release abschließen.",IF(J20="SONDERQUEST","Für Medien-, Hidden- oder Bossinhalt vorgesehen; separate Slot- oder Eventregel.",IF(J20="SUPPORT","Nur als Supportpunkt behalten; keine zusätzliche Pflichtquest.","Als Ersatz- oder späterer Questkandidat erhalten."))))</x:f>
        <x:v>In regulärer Quest gruppiert; aktuelle Sicht und blinden Test vor Release abschließen.</x:v>
      </x:c>
    </x:row>
    <x:row r="21" ht="38" customHeight="1">
      <x:c r="A21" s="22" t="str">
        <x:v>place_day_1_colonna_di_marco_aurelio</x:v>
      </x:c>
      <x:c r="B21" s="22" t="str">
        <x:v>DAY_1</x:v>
      </x:c>
      <x:c r="C21" s="22" t="str">
        <x:v>D1_NAVONA_PANTHEON</x:v>
      </x:c>
      <x:c r="D21" s="22" t="str">
        <x:v>Mark-Aurel-Säule</x:v>
      </x:c>
      <x:c r="E21" s="22" t="str">
        <x:v>GRUEN</x:v>
      </x:c>
      <x:c r="F21" s="22" t="str">
        <x:v>GRUEN_KONZEPTREIF</x:v>
      </x:c>
      <x:c r="G21" s="22" t="str"/>
      <x:c r="H21" s="22" t="n">
        <x:f>COUNTIFS('Ortszuordnung'!$E$5:$E$85,A21,'Ortszuordnung'!$B$5:$B$85,"REGULAER")</x:f>
        <x:v>1</x:v>
      </x:c>
      <x:c r="I21" s="22" t="n">
        <x:f>COUNTIF('Ortszuordnung'!$E$5:$E$85,A21)-H21</x:f>
        <x:v>0</x:v>
      </x:c>
      <x:c r="J21" s="22" t="str">
        <x:f>IF(E21="ROT","AUSSCHLUSS",IF(H21&gt;0,"KERNQUEST",IF(I21&gt;0,"SONDERQUEST",IF(G21&lt;&gt;"","SUPPORT","RESERVE"))))</x:f>
        <x:v>KERNQUEST</x:v>
      </x:c>
      <x:c r="K21" s="22" t="n">
        <x:v>89</x:v>
      </x:c>
      <x:c r="L21" s="22" t="str">
        <x:v>Legionario della Colonna</x:v>
      </x:c>
      <x:c r="M21" s="22" t="str">
        <x:f>IF(J21="AUSSCHLUSS","Nicht als Pflichtort; nur nach neuer Evidenz neu bewerten.",IF(J21="KERNQUEST","In regulärer Quest gruppiert; aktuelle Sicht und blinden Test vor Release abschließen.",IF(J21="SONDERQUEST","Für Medien-, Hidden- oder Bossinhalt vorgesehen; separate Slot- oder Eventregel.",IF(J21="SUPPORT","Nur als Supportpunkt behalten; keine zusätzliche Pflichtquest.","Als Ersatz- oder späterer Questkandidat erhalten."))))</x:f>
        <x:v>In regulärer Quest gruppiert; aktuelle Sicht und blinden Test vor Release abschließen.</x:v>
      </x:c>
    </x:row>
    <x:row r="22" ht="38" customHeight="1">
      <x:c r="A22" s="22" t="str">
        <x:v>place_day_1_fontana_di_trevi</x:v>
      </x:c>
      <x:c r="B22" s="22" t="str">
        <x:v>DAY_1</x:v>
      </x:c>
      <x:c r="C22" s="22" t="str">
        <x:v>D1_TREVI_QUIRINALE</x:v>
      </x:c>
      <x:c r="D22" s="22" t="str">
        <x:v>Trevi-Brunnen</x:v>
      </x:c>
      <x:c r="E22" s="22" t="str">
        <x:v>GELB</x:v>
      </x:c>
      <x:c r="F22" s="22" t="str">
        <x:v>GELB_EXTREME_MENSCHENMENGE</x:v>
      </x:c>
      <x:c r="G22" s="22" t="str"/>
      <x:c r="H22" s="22" t="n">
        <x:f>COUNTIFS('Ortszuordnung'!$E$5:$E$85,A22,'Ortszuordnung'!$B$5:$B$85,"REGULAER")</x:f>
        <x:v>1</x:v>
      </x:c>
      <x:c r="I22" s="22" t="n">
        <x:f>COUNTIF('Ortszuordnung'!$E$5:$E$85,A22)-H22</x:f>
        <x:v>0</x:v>
      </x:c>
      <x:c r="J22" s="22" t="str">
        <x:f>IF(E22="ROT","AUSSCHLUSS",IF(H22&gt;0,"KERNQUEST",IF(I22&gt;0,"SONDERQUEST",IF(G22&lt;&gt;"","SUPPORT","RESERVE"))))</x:f>
        <x:v>KERNQUEST</x:v>
      </x:c>
      <x:c r="K22" s="22" t="n">
        <x:v>91</x:v>
      </x:c>
      <x:c r="L22" s="22" t="str"/>
      <x:c r="M22" s="22" t="str">
        <x:f>IF(J22="AUSSCHLUSS","Nicht als Pflichtort; nur nach neuer Evidenz neu bewerten.",IF(J22="KERNQUEST","In regulärer Quest gruppiert; aktuelle Sicht und blinden Test vor Release abschließen.",IF(J22="SONDERQUEST","Für Medien-, Hidden- oder Bossinhalt vorgesehen; separate Slot- oder Eventregel.",IF(J22="SUPPORT","Nur als Supportpunkt behalten; keine zusätzliche Pflichtquest.","Als Ersatz- oder späterer Questkandidat erhalten."))))</x:f>
        <x:v>In regulärer Quest gruppiert; aktuelle Sicht und blinden Test vor Release abschließen.</x:v>
      </x:c>
    </x:row>
    <x:row r="23" ht="38" customHeight="1">
      <x:c r="A23" s="22" t="str">
        <x:v>place_day_1_fontana_del_tritone</x:v>
      </x:c>
      <x:c r="B23" s="22" t="str">
        <x:v>DAY_1</x:v>
      </x:c>
      <x:c r="C23" s="22" t="str">
        <x:v>D1_TREVI_QUIRINALE</x:v>
      </x:c>
      <x:c r="D23" s="22" t="str">
        <x:v>Tritonenbrunnen</x:v>
      </x:c>
      <x:c r="E23" s="22" t="str">
        <x:v>GRUEN</x:v>
      </x:c>
      <x:c r="F23" s="22" t="str">
        <x:v>GRUEN_KONZEPTREIF</x:v>
      </x:c>
      <x:c r="G23" s="22" t="str"/>
      <x:c r="H23" s="22" t="n">
        <x:f>COUNTIFS('Ortszuordnung'!$E$5:$E$85,A23,'Ortszuordnung'!$B$5:$B$85,"REGULAER")</x:f>
        <x:v>1</x:v>
      </x:c>
      <x:c r="I23" s="22" t="n">
        <x:f>COUNTIF('Ortszuordnung'!$E$5:$E$85,A23)-H23</x:f>
        <x:v>0</x:v>
      </x:c>
      <x:c r="J23" s="22" t="str">
        <x:f>IF(E23="ROT","AUSSCHLUSS",IF(H23&gt;0,"KERNQUEST",IF(I23&gt;0,"SONDERQUEST",IF(G23&lt;&gt;"","SUPPORT","RESERVE"))))</x:f>
        <x:v>KERNQUEST</x:v>
      </x:c>
      <x:c r="K23" s="22" t="n">
        <x:v>88</x:v>
      </x:c>
      <x:c r="L23" s="22" t="str"/>
      <x:c r="M23" s="22" t="str">
        <x:f>IF(J23="AUSSCHLUSS","Nicht als Pflichtort; nur nach neuer Evidenz neu bewerten.",IF(J23="KERNQUEST","In regulärer Quest gruppiert; aktuelle Sicht und blinden Test vor Release abschließen.",IF(J23="SONDERQUEST","Für Medien-, Hidden- oder Bossinhalt vorgesehen; separate Slot- oder Eventregel.",IF(J23="SUPPORT","Nur als Supportpunkt behalten; keine zusätzliche Pflichtquest.","Als Ersatz- oder späterer Questkandidat erhalten."))))</x:f>
        <x:v>In regulärer Quest gruppiert; aktuelle Sicht und blinden Test vor Release abschließen.</x:v>
      </x:c>
    </x:row>
    <x:row r="24" ht="38" customHeight="1">
      <x:c r="A24" s="22" t="str">
        <x:v>place_day_1_obelisco_del_quirinale</x:v>
      </x:c>
      <x:c r="B24" s="22" t="str">
        <x:v>DAY_1</x:v>
      </x:c>
      <x:c r="C24" s="22" t="str">
        <x:v>D1_TREVI_QUIRINALE</x:v>
      </x:c>
      <x:c r="D24" s="22" t="str">
        <x:v>Obelisco del Quirinale</x:v>
      </x:c>
      <x:c r="E24" s="22" t="str">
        <x:v>GRUEN</x:v>
      </x:c>
      <x:c r="F24" s="22" t="str">
        <x:v>GRUEN_KONZEPTREIF</x:v>
      </x:c>
      <x:c r="G24" s="22" t="str"/>
      <x:c r="H24" s="22" t="n">
        <x:f>COUNTIFS('Ortszuordnung'!$E$5:$E$85,A24,'Ortszuordnung'!$B$5:$B$85,"REGULAER")</x:f>
        <x:v>1</x:v>
      </x:c>
      <x:c r="I24" s="22" t="n">
        <x:f>COUNTIF('Ortszuordnung'!$E$5:$E$85,A24)-H24</x:f>
        <x:v>0</x:v>
      </x:c>
      <x:c r="J24" s="22" t="str">
        <x:f>IF(E24="ROT","AUSSCHLUSS",IF(H24&gt;0,"KERNQUEST",IF(I24&gt;0,"SONDERQUEST",IF(G24&lt;&gt;"","SUPPORT","RESERVE"))))</x:f>
        <x:v>KERNQUEST</x:v>
      </x:c>
      <x:c r="K24" s="22" t="n">
        <x:v>90</x:v>
      </x:c>
      <x:c r="L24" s="22" t="str"/>
      <x:c r="M24" s="22" t="str">
        <x:f>IF(J24="AUSSCHLUSS","Nicht als Pflichtort; nur nach neuer Evidenz neu bewerten.",IF(J24="KERNQUEST","In regulärer Quest gruppiert; aktuelle Sicht und blinden Test vor Release abschließen.",IF(J24="SONDERQUEST","Für Medien-, Hidden- oder Bossinhalt vorgesehen; separate Slot- oder Eventregel.",IF(J24="SUPPORT","Nur als Supportpunkt behalten; keine zusätzliche Pflichtquest.","Als Ersatz- oder späterer Questkandidat erhalten."))))</x:f>
        <x:v>In regulärer Quest gruppiert; aktuelle Sicht und blinden Test vor Release abschließen.</x:v>
      </x:c>
    </x:row>
    <x:row r="25" ht="38" customHeight="1">
      <x:c r="A25" s="22" t="str">
        <x:v>place_day_1_colonna_dell_immacolata</x:v>
      </x:c>
      <x:c r="B25" s="22" t="str">
        <x:v>DAY_1</x:v>
      </x:c>
      <x:c r="C25" s="22" t="str">
        <x:v>D1_TREVI_QUIRINALE</x:v>
      </x:c>
      <x:c r="D25" s="22" t="str">
        <x:v>Colonna dell'Immacolata</x:v>
      </x:c>
      <x:c r="E25" s="22" t="str">
        <x:v>GRUEN</x:v>
      </x:c>
      <x:c r="F25" s="22" t="str">
        <x:v>GRUEN_KONZEPTREIF</x:v>
      </x:c>
      <x:c r="G25" s="22" t="str"/>
      <x:c r="H25" s="22" t="n">
        <x:f>COUNTIFS('Ortszuordnung'!$E$5:$E$85,A25,'Ortszuordnung'!$B$5:$B$85,"REGULAER")</x:f>
        <x:v>1</x:v>
      </x:c>
      <x:c r="I25" s="22" t="n">
        <x:f>COUNTIF('Ortszuordnung'!$E$5:$E$85,A25)-H25</x:f>
        <x:v>0</x:v>
      </x:c>
      <x:c r="J25" s="22" t="str">
        <x:f>IF(E25="ROT","AUSSCHLUSS",IF(H25&gt;0,"KERNQUEST",IF(I25&gt;0,"SONDERQUEST",IF(G25&lt;&gt;"","SUPPORT","RESERVE"))))</x:f>
        <x:v>KERNQUEST</x:v>
      </x:c>
      <x:c r="K25" s="22" t="n">
        <x:v>89</x:v>
      </x:c>
      <x:c r="L25" s="22" t="str"/>
      <x:c r="M25" s="22" t="str">
        <x:f>IF(J25="AUSSCHLUSS","Nicht als Pflichtort; nur nach neuer Evidenz neu bewerten.",IF(J25="KERNQUEST","In regulärer Quest gruppiert; aktuelle Sicht und blinden Test vor Release abschließen.",IF(J25="SONDERQUEST","Für Medien-, Hidden- oder Bossinhalt vorgesehen; separate Slot- oder Eventregel.",IF(J25="SUPPORT","Nur als Supportpunkt behalten; keine zusätzliche Pflichtquest.","Als Ersatz- oder späterer Questkandidat erhalten."))))</x:f>
        <x:v>In regulärer Quest gruppiert; aktuelle Sicht und blinden Test vor Release abschließen.</x:v>
      </x:c>
    </x:row>
    <x:row r="26" ht="38" customHeight="1">
      <x:c r="A26" s="22" t="str">
        <x:v>place_day_1_piazza_scanderbeg</x:v>
      </x:c>
      <x:c r="B26" s="22" t="str">
        <x:v>DAY_1</x:v>
      </x:c>
      <x:c r="C26" s="22" t="str">
        <x:v>D1_TREVI_QUIRINALE</x:v>
      </x:c>
      <x:c r="D26" s="22" t="str">
        <x:v>Piazza Scanderbeg</x:v>
      </x:c>
      <x:c r="E26" s="22" t="str">
        <x:v>GELB</x:v>
      </x:c>
      <x:c r="F26" s="22" t="str">
        <x:v>GELB_KLEINES_FASSADENDETAIL</x:v>
      </x:c>
      <x:c r="G26" s="22" t="str"/>
      <x:c r="H26" s="22" t="n">
        <x:f>COUNTIFS('Ortszuordnung'!$E$5:$E$85,A26,'Ortszuordnung'!$B$5:$B$85,"REGULAER")</x:f>
        <x:v>1</x:v>
      </x:c>
      <x:c r="I26" s="22" t="n">
        <x:f>COUNTIF('Ortszuordnung'!$E$5:$E$85,A26)-H26</x:f>
        <x:v>0</x:v>
      </x:c>
      <x:c r="J26" s="22" t="str">
        <x:f>IF(E26="ROT","AUSSCHLUSS",IF(H26&gt;0,"KERNQUEST",IF(I26&gt;0,"SONDERQUEST",IF(G26&lt;&gt;"","SUPPORT","RESERVE"))))</x:f>
        <x:v>KERNQUEST</x:v>
      </x:c>
      <x:c r="K26" s="22" t="n">
        <x:v>89</x:v>
      </x:c>
      <x:c r="L26" s="22" t="str"/>
      <x:c r="M26" s="22" t="str">
        <x:f>IF(J26="AUSSCHLUSS","Nicht als Pflichtort; nur nach neuer Evidenz neu bewerten.",IF(J26="KERNQUEST","In regulärer Quest gruppiert; aktuelle Sicht und blinden Test vor Release abschließen.",IF(J26="SONDERQUEST","Für Medien-, Hidden- oder Bossinhalt vorgesehen; separate Slot- oder Eventregel.",IF(J26="SUPPORT","Nur als Supportpunkt behalten; keine zusätzliche Pflichtquest.","Als Ersatz- oder späterer Questkandidat erhalten."))))</x:f>
        <x:v>In regulärer Quest gruppiert; aktuelle Sicht und blinden Test vor Release abschließen.</x:v>
      </x:c>
    </x:row>
    <x:row r="27" ht="38" customHeight="1">
      <x:c r="A27" s="22" t="str">
        <x:v>place_day_1_isola_tiberina</x:v>
      </x:c>
      <x:c r="B27" s="22" t="str">
        <x:v>DAY_1</x:v>
      </x:c>
      <x:c r="C27" s="22" t="str">
        <x:v>D1_CAMPO_REGOLA_GHETTO</x:v>
      </x:c>
      <x:c r="D27" s="22" t="str">
        <x:v>Isola Tiberina</x:v>
      </x:c>
      <x:c r="E27" s="22" t="str">
        <x:v>GELB</x:v>
      </x:c>
      <x:c r="F27" s="22" t="str">
        <x:v>GELB_SICHTWINKEL</x:v>
      </x:c>
      <x:c r="G27" s="22" t="str"/>
      <x:c r="H27" s="22" t="n">
        <x:f>COUNTIFS('Ortszuordnung'!$E$5:$E$85,A27,'Ortszuordnung'!$B$5:$B$85,"REGULAER")</x:f>
        <x:v>1</x:v>
      </x:c>
      <x:c r="I27" s="22" t="n">
        <x:f>COUNTIF('Ortszuordnung'!$E$5:$E$85,A27)-H27</x:f>
        <x:v>0</x:v>
      </x:c>
      <x:c r="J27" s="22" t="str">
        <x:f>IF(E27="ROT","AUSSCHLUSS",IF(H27&gt;0,"KERNQUEST",IF(I27&gt;0,"SONDERQUEST",IF(G27&lt;&gt;"","SUPPORT","RESERVE"))))</x:f>
        <x:v>KERNQUEST</x:v>
      </x:c>
      <x:c r="K27" s="22" t="n">
        <x:v>83</x:v>
      </x:c>
      <x:c r="L27" s="22" t="str">
        <x:v>Serpente di Esculapio</x:v>
      </x:c>
      <x:c r="M27" s="22" t="str">
        <x:f>IF(J27="AUSSCHLUSS","Nicht als Pflichtort; nur nach neuer Evidenz neu bewerten.",IF(J27="KERNQUEST","In regulärer Quest gruppiert; aktuelle Sicht und blinden Test vor Release abschließen.",IF(J27="SONDERQUEST","Für Medien-, Hidden- oder Bossinhalt vorgesehen; separate Slot- oder Eventregel.",IF(J27="SUPPORT","Nur als Supportpunkt behalten; keine zusätzliche Pflichtquest.","Als Ersatz- oder späterer Questkandidat erhalten."))))</x:f>
        <x:v>In regulärer Quest gruppiert; aktuelle Sicht und blinden Test vor Release abschließen.</x:v>
      </x:c>
    </x:row>
    <x:row r="28" ht="38" customHeight="1">
      <x:c r="A28" s="22" t="str">
        <x:v>place_day_1_ponte_sisto</x:v>
      </x:c>
      <x:c r="B28" s="22" t="str">
        <x:v>DAY_1</x:v>
      </x:c>
      <x:c r="C28" s="22" t="str">
        <x:v>D1_CAMPO_REGOLA_GHETTO</x:v>
      </x:c>
      <x:c r="D28" s="22" t="str">
        <x:v>Ponte Sisto</x:v>
      </x:c>
      <x:c r="E28" s="22" t="str">
        <x:v>GRUEN</x:v>
      </x:c>
      <x:c r="F28" s="22" t="str">
        <x:v>GRUEN_MIT_BLICKPUNKT</x:v>
      </x:c>
      <x:c r="G28" s="22" t="str"/>
      <x:c r="H28" s="22" t="n">
        <x:f>COUNTIFS('Ortszuordnung'!$E$5:$E$85,A28,'Ortszuordnung'!$B$5:$B$85,"REGULAER")</x:f>
        <x:v>1</x:v>
      </x:c>
      <x:c r="I28" s="22" t="n">
        <x:f>COUNTIF('Ortszuordnung'!$E$5:$E$85,A28)-H28</x:f>
        <x:v>0</x:v>
      </x:c>
      <x:c r="J28" s="22" t="str">
        <x:f>IF(E28="ROT","AUSSCHLUSS",IF(H28&gt;0,"KERNQUEST",IF(I28&gt;0,"SONDERQUEST",IF(G28&lt;&gt;"","SUPPORT","RESERVE"))))</x:f>
        <x:v>KERNQUEST</x:v>
      </x:c>
      <x:c r="K28" s="22" t="n">
        <x:v>83</x:v>
      </x:c>
      <x:c r="L28" s="22" t="str">
        <x:v>Occhio del Tevere</x:v>
      </x:c>
      <x:c r="M28" s="22" t="str">
        <x:f>IF(J28="AUSSCHLUSS","Nicht als Pflichtort; nur nach neuer Evidenz neu bewerten.",IF(J28="KERNQUEST","In regulärer Quest gruppiert; aktuelle Sicht und blinden Test vor Release abschließen.",IF(J28="SONDERQUEST","Für Medien-, Hidden- oder Bossinhalt vorgesehen; separate Slot- oder Eventregel.",IF(J28="SUPPORT","Nur als Supportpunkt behalten; keine zusätzliche Pflichtquest.","Als Ersatz- oder späterer Questkandidat erhalten."))))</x:f>
        <x:v>In regulärer Quest gruppiert; aktuelle Sicht und blinden Test vor Release abschließen.</x:v>
      </x:c>
    </x:row>
    <x:row r="29" ht="38" customHeight="1">
      <x:c r="A29" s="22" t="str">
        <x:v>place_day_1_palazzo_farnese</x:v>
      </x:c>
      <x:c r="B29" s="22" t="str">
        <x:v>DAY_1</x:v>
      </x:c>
      <x:c r="C29" s="22" t="str">
        <x:v>D1_CAMPO_REGOLA_GHETTO</x:v>
      </x:c>
      <x:c r="D29" s="22" t="str">
        <x:v>Palazzo Farnese</x:v>
      </x:c>
      <x:c r="E29" s="22" t="str">
        <x:v>GELB</x:v>
      </x:c>
      <x:c r="F29" s="22" t="str">
        <x:v>GELB_SICHERHEITSBEREICH</x:v>
      </x:c>
      <x:c r="G29" s="22" t="str"/>
      <x:c r="H29" s="22" t="n">
        <x:f>COUNTIFS('Ortszuordnung'!$E$5:$E$85,A29,'Ortszuordnung'!$B$5:$B$85,"REGULAER")</x:f>
        <x:v>1</x:v>
      </x:c>
      <x:c r="I29" s="22" t="n">
        <x:f>COUNTIF('Ortszuordnung'!$E$5:$E$85,A29)-H29</x:f>
        <x:v>0</x:v>
      </x:c>
      <x:c r="J29" s="22" t="str">
        <x:f>IF(E29="ROT","AUSSCHLUSS",IF(H29&gt;0,"KERNQUEST",IF(I29&gt;0,"SONDERQUEST",IF(G29&lt;&gt;"","SUPPORT","RESERVE"))))</x:f>
        <x:v>KERNQUEST</x:v>
      </x:c>
      <x:c r="K29" s="22" t="n">
        <x:v>88</x:v>
      </x:c>
      <x:c r="L29" s="22" t="str"/>
      <x:c r="M29" s="22" t="str">
        <x:f>IF(J29="AUSSCHLUSS","Nicht als Pflichtort; nur nach neuer Evidenz neu bewerten.",IF(J29="KERNQUEST","In regulärer Quest gruppiert; aktuelle Sicht und blinden Test vor Release abschließen.",IF(J29="SONDERQUEST","Für Medien-, Hidden- oder Bossinhalt vorgesehen; separate Slot- oder Eventregel.",IF(J29="SUPPORT","Nur als Supportpunkt behalten; keine zusätzliche Pflichtquest.","Als Ersatz- oder späterer Questkandidat erhalten."))))</x:f>
        <x:v>In regulärer Quest gruppiert; aktuelle Sicht und blinden Test vor Release abschließen.</x:v>
      </x:c>
    </x:row>
    <x:row r="30" ht="38" customHeight="1">
      <x:c r="A30" s="22" t="str">
        <x:v>place_day_1_largo_di_torre_argentina</x:v>
      </x:c>
      <x:c r="B30" s="22" t="str">
        <x:v>DAY_1</x:v>
      </x:c>
      <x:c r="C30" s="22" t="str">
        <x:v>D1_CAMPO_REGOLA_GHETTO</x:v>
      </x:c>
      <x:c r="D30" s="22" t="str">
        <x:v>Largo di Torre Argentina</x:v>
      </x:c>
      <x:c r="E30" s="22" t="str">
        <x:v>GELB</x:v>
      </x:c>
      <x:c r="F30" s="22" t="str">
        <x:v>GELB_ZAEHLPERSPEKTIVE</x:v>
      </x:c>
      <x:c r="G30" s="22" t="str"/>
      <x:c r="H30" s="22" t="n">
        <x:f>COUNTIFS('Ortszuordnung'!$E$5:$E$85,A30,'Ortszuordnung'!$B$5:$B$85,"REGULAER")</x:f>
        <x:v>1</x:v>
      </x:c>
      <x:c r="I30" s="22" t="n">
        <x:f>COUNTIF('Ortszuordnung'!$E$5:$E$85,A30)-H30</x:f>
        <x:v>0</x:v>
      </x:c>
      <x:c r="J30" s="22" t="str">
        <x:f>IF(E30="ROT","AUSSCHLUSS",IF(H30&gt;0,"KERNQUEST",IF(I30&gt;0,"SONDERQUEST",IF(G30&lt;&gt;"","SUPPORT","RESERVE"))))</x:f>
        <x:v>KERNQUEST</x:v>
      </x:c>
      <x:c r="K30" s="22" t="n">
        <x:v>80</x:v>
      </x:c>
      <x:c r="L30" s="22" t="str"/>
      <x:c r="M30" s="22" t="str">
        <x:f>IF(J30="AUSSCHLUSS","Nicht als Pflichtort; nur nach neuer Evidenz neu bewerten.",IF(J30="KERNQUEST","In regulärer Quest gruppiert; aktuelle Sicht und blinden Test vor Release abschließen.",IF(J30="SONDERQUEST","Für Medien-, Hidden- oder Bossinhalt vorgesehen; separate Slot- oder Eventregel.",IF(J30="SUPPORT","Nur als Supportpunkt behalten; keine zusätzliche Pflichtquest.","Als Ersatz- oder späterer Questkandidat erhalten."))))</x:f>
        <x:v>In regulärer Quest gruppiert; aktuelle Sicht und blinden Test vor Release abschließen.</x:v>
      </x:c>
    </x:row>
    <x:row r="31" ht="38" customHeight="1">
      <x:c r="A31" s="22" t="str">
        <x:v>place_day_1_campo_de_fiori</x:v>
      </x:c>
      <x:c r="B31" s="22" t="str">
        <x:v>DAY_1</x:v>
      </x:c>
      <x:c r="C31" s="22" t="str">
        <x:v>D1_CAMPO_REGOLA_GHETTO</x:v>
      </x:c>
      <x:c r="D31" s="22" t="str">
        <x:v>Campo de' Fiori</x:v>
      </x:c>
      <x:c r="E31" s="22" t="str">
        <x:v>GRUEN</x:v>
      </x:c>
      <x:c r="F31" s="22" t="str">
        <x:v>GRUEN_MIT_MARKTRISIKO</x:v>
      </x:c>
      <x:c r="G31" s="22" t="str">
        <x:v>STORE_LOCATION_CANDIDATE</x:v>
      </x:c>
      <x:c r="H31" s="22" t="n">
        <x:f>COUNTIFS('Ortszuordnung'!$E$5:$E$85,A31,'Ortszuordnung'!$B$5:$B$85,"REGULAER")</x:f>
        <x:v>1</x:v>
      </x:c>
      <x:c r="I31" s="22" t="n">
        <x:f>COUNTIF('Ortszuordnung'!$E$5:$E$85,A31)-H31</x:f>
        <x:v>0</x:v>
      </x:c>
      <x:c r="J31" s="22" t="str">
        <x:f>IF(E31="ROT","AUSSCHLUSS",IF(H31&gt;0,"KERNQUEST",IF(I31&gt;0,"SONDERQUEST",IF(G31&lt;&gt;"","SUPPORT","RESERVE"))))</x:f>
        <x:v>KERNQUEST</x:v>
      </x:c>
      <x:c r="K31" s="22" t="n">
        <x:v>89</x:v>
      </x:c>
      <x:c r="L31" s="22" t="str"/>
      <x:c r="M31" s="22" t="str">
        <x:f>IF(J31="AUSSCHLUSS","Nicht als Pflichtort; nur nach neuer Evidenz neu bewerten.",IF(J31="KERNQUEST","In regulärer Quest gruppiert; aktuelle Sicht und blinden Test vor Release abschließen.",IF(J31="SONDERQUEST","Für Medien-, Hidden- oder Bossinhalt vorgesehen; separate Slot- oder Eventregel.",IF(J31="SUPPORT","Nur als Supportpunkt behalten; keine zusätzliche Pflichtquest.","Als Ersatz- oder späterer Questkandidat erhalten."))))</x:f>
        <x:v>In regulärer Quest gruppiert; aktuelle Sicht und blinden Test vor Release abschließen.</x:v>
      </x:c>
    </x:row>
    <x:row r="32" ht="38" customHeight="1">
      <x:c r="A32" s="22" t="str">
        <x:v>place_day_1_basilica_di_santa_cecilia_in_trastevere</x:v>
      </x:c>
      <x:c r="B32" s="22" t="str">
        <x:v>DAY_1</x:v>
      </x:c>
      <x:c r="C32" s="22" t="str">
        <x:v>D1_TRASTEVERE_TIBER_ISLAND</x:v>
      </x:c>
      <x:c r="D32" s="22" t="str">
        <x:v>Basilica di Santa Cecilia in Trastevere</x:v>
      </x:c>
      <x:c r="E32" s="22" t="str">
        <x:v>GELB</x:v>
      </x:c>
      <x:c r="F32" s="22" t="str">
        <x:v>GELB_KLASSENANKER_OHNE_INNENHOF</x:v>
      </x:c>
      <x:c r="G32" s="22" t="str"/>
      <x:c r="H32" s="22" t="n">
        <x:f>COUNTIFS('Ortszuordnung'!$E$5:$E$85,A32,'Ortszuordnung'!$B$5:$B$85,"REGULAER")</x:f>
        <x:v>1</x:v>
      </x:c>
      <x:c r="I32" s="22" t="n">
        <x:f>COUNTIF('Ortszuordnung'!$E$5:$E$85,A32)-H32</x:f>
        <x:v>0</x:v>
      </x:c>
      <x:c r="J32" s="22" t="str">
        <x:f>IF(E32="ROT","AUSSCHLUSS",IF(H32&gt;0,"KERNQUEST",IF(I32&gt;0,"SONDERQUEST",IF(G32&lt;&gt;"","SUPPORT","RESERVE"))))</x:f>
        <x:v>KERNQUEST</x:v>
      </x:c>
      <x:c r="K32" s="22" t="n">
        <x:v>82</x:v>
      </x:c>
      <x:c r="L32" s="22" t="str"/>
      <x:c r="M32" s="22" t="str">
        <x:f>IF(J32="AUSSCHLUSS","Nicht als Pflichtort; nur nach neuer Evidenz neu bewerten.",IF(J32="KERNQUEST","In regulärer Quest gruppiert; aktuelle Sicht und blinden Test vor Release abschließen.",IF(J32="SONDERQUEST","Für Medien-, Hidden- oder Bossinhalt vorgesehen; separate Slot- oder Eventregel.",IF(J32="SUPPORT","Nur als Supportpunkt behalten; keine zusätzliche Pflichtquest.","Als Ersatz- oder späterer Questkandidat erhalten."))))</x:f>
        <x:v>In regulärer Quest gruppiert; aktuelle Sicht und blinden Test vor Release abschließen.</x:v>
      </x:c>
    </x:row>
    <x:row r="33" ht="38" customHeight="1">
      <x:c r="A33" s="22" t="str">
        <x:v>place_day_1_basilica_di_santa_maria_in_trastevere</x:v>
      </x:c>
      <x:c r="B33" s="22" t="str">
        <x:v>DAY_1</x:v>
      </x:c>
      <x:c r="C33" s="22" t="str">
        <x:v>D1_TRASTEVERE_TIBER_ISLAND</x:v>
      </x:c>
      <x:c r="D33" s="22" t="str">
        <x:v>Santa Maria in Trastevere</x:v>
      </x:c>
      <x:c r="E33" s="22" t="str">
        <x:v>GRUEN</x:v>
      </x:c>
      <x:c r="F33" s="22" t="str">
        <x:v>GRUEN_AUSSENPUNKT</x:v>
      </x:c>
      <x:c r="G33" s="22" t="str"/>
      <x:c r="H33" s="22" t="n">
        <x:f>COUNTIFS('Ortszuordnung'!$E$5:$E$85,A33,'Ortszuordnung'!$B$5:$B$85,"REGULAER")</x:f>
        <x:v>1</x:v>
      </x:c>
      <x:c r="I33" s="22" t="n">
        <x:f>COUNTIF('Ortszuordnung'!$E$5:$E$85,A33)-H33</x:f>
        <x:v>0</x:v>
      </x:c>
      <x:c r="J33" s="22" t="str">
        <x:f>IF(E33="ROT","AUSSCHLUSS",IF(H33&gt;0,"KERNQUEST",IF(I33&gt;0,"SONDERQUEST",IF(G33&lt;&gt;"","SUPPORT","RESERVE"))))</x:f>
        <x:v>KERNQUEST</x:v>
      </x:c>
      <x:c r="K33" s="22" t="n">
        <x:v>81</x:v>
      </x:c>
      <x:c r="L33" s="22" t="str"/>
      <x:c r="M33" s="22" t="str">
        <x:f>IF(J33="AUSSCHLUSS","Nicht als Pflichtort; nur nach neuer Evidenz neu bewerten.",IF(J33="KERNQUEST","In regulärer Quest gruppiert; aktuelle Sicht und blinden Test vor Release abschließen.",IF(J33="SONDERQUEST","Für Medien-, Hidden- oder Bossinhalt vorgesehen; separate Slot- oder Eventregel.",IF(J33="SUPPORT","Nur als Supportpunkt behalten; keine zusätzliche Pflichtquest.","Als Ersatz- oder späterer Questkandidat erhalten."))))</x:f>
        <x:v>In regulärer Quest gruppiert; aktuelle Sicht und blinden Test vor Release abschließen.</x:v>
      </x:c>
    </x:row>
    <x:row r="34" ht="38" customHeight="1">
      <x:c r="A34" s="22" t="str">
        <x:v>place_day_1_porta_settimiana</x:v>
      </x:c>
      <x:c r="B34" s="22" t="str">
        <x:v>DAY_1</x:v>
      </x:c>
      <x:c r="C34" s="22" t="str">
        <x:v>D1_TRASTEVERE_TIBER_ISLAND</x:v>
      </x:c>
      <x:c r="D34" s="22" t="str">
        <x:v>Porta Settimiana</x:v>
      </x:c>
      <x:c r="E34" s="22" t="str">
        <x:v>GRUEN</x:v>
      </x:c>
      <x:c r="F34" s="22" t="str">
        <x:v>GRUEN_KONZEPTREIF</x:v>
      </x:c>
      <x:c r="G34" s="22" t="str"/>
      <x:c r="H34" s="22" t="n">
        <x:f>COUNTIFS('Ortszuordnung'!$E$5:$E$85,A34,'Ortszuordnung'!$B$5:$B$85,"REGULAER")</x:f>
        <x:v>0</x:v>
      </x:c>
      <x:c r="I34" s="22" t="n">
        <x:f>COUNTIF('Ortszuordnung'!$E$5:$E$85,A34)-H34</x:f>
        <x:v>0</x:v>
      </x:c>
      <x:c r="J34" s="22" t="str">
        <x:f>IF(E34="ROT","AUSSCHLUSS",IF(H34&gt;0,"KERNQUEST",IF(I34&gt;0,"SONDERQUEST",IF(G34&lt;&gt;"","SUPPORT","RESERVE"))))</x:f>
        <x:v>RESERVE</x:v>
      </x:c>
      <x:c r="K34" s="22" t="n">
        <x:v>89</x:v>
      </x:c>
      <x:c r="L34" s="22" t="str"/>
      <x:c r="M34" s="22" t="str">
        <x:f>IF(J34="AUSSCHLUSS","Nicht als Pflichtort; nur nach neuer Evidenz neu bewerten.",IF(J34="KERNQUEST","In regulärer Quest gruppiert; aktuelle Sicht und blinden Test vor Release abschließen.",IF(J34="SONDERQUEST","Für Medien-, Hidden- oder Bossinhalt vorgesehen; separate Slot- oder Eventregel.",IF(J34="SUPPORT","Nur als Supportpunkt behalten; keine zusätzliche Pflichtquest.","Als Ersatz- oder späterer Questkandidat erhalten."))))</x:f>
        <x:v>Als Ersatz- oder späterer Questkandidat erhalten.</x:v>
      </x:c>
    </x:row>
    <x:row r="35" ht="38" customHeight="1">
      <x:c r="A35" s="22" t="str">
        <x:v>place_day_1_mausoleo_ossario_garibaldino</x:v>
      </x:c>
      <x:c r="B35" s="22" t="str">
        <x:v>DAY_1</x:v>
      </x:c>
      <x:c r="C35" s="22" t="str">
        <x:v>D1_TRASTEVERE_TIBER_ISLAND</x:v>
      </x:c>
      <x:c r="D35" s="22" t="str">
        <x:v>Mausoleo Ossario Garibaldino</x:v>
      </x:c>
      <x:c r="E35" s="22" t="str">
        <x:v>GRUEN</x:v>
      </x:c>
      <x:c r="F35" s="22" t="str">
        <x:v>GRUEN_KONZEPTREIF</x:v>
      </x:c>
      <x:c r="G35" s="22" t="str"/>
      <x:c r="H35" s="22" t="n">
        <x:f>COUNTIFS('Ortszuordnung'!$E$5:$E$85,A35,'Ortszuordnung'!$B$5:$B$85,"REGULAER")</x:f>
        <x:v>1</x:v>
      </x:c>
      <x:c r="I35" s="22" t="n">
        <x:f>COUNTIF('Ortszuordnung'!$E$5:$E$85,A35)-H35</x:f>
        <x:v>0</x:v>
      </x:c>
      <x:c r="J35" s="22" t="str">
        <x:f>IF(E35="ROT","AUSSCHLUSS",IF(H35&gt;0,"KERNQUEST",IF(I35&gt;0,"SONDERQUEST",IF(G35&lt;&gt;"","SUPPORT","RESERVE"))))</x:f>
        <x:v>KERNQUEST</x:v>
      </x:c>
      <x:c r="K35" s="22" t="n">
        <x:v>87</x:v>
      </x:c>
      <x:c r="L35" s="22" t="str"/>
      <x:c r="M35" s="22" t="str">
        <x:f>IF(J35="AUSSCHLUSS","Nicht als Pflichtort; nur nach neuer Evidenz neu bewerten.",IF(J35="KERNQUEST","In regulärer Quest gruppiert; aktuelle Sicht und blinden Test vor Release abschließen.",IF(J35="SONDERQUEST","Für Medien-, Hidden- oder Bossinhalt vorgesehen; separate Slot- oder Eventregel.",IF(J35="SUPPORT","Nur als Supportpunkt behalten; keine zusätzliche Pflichtquest.","Als Ersatz- oder späterer Questkandidat erhalten."))))</x:f>
        <x:v>In regulärer Quest gruppiert; aktuelle Sicht und blinden Test vor Release abschließen.</x:v>
      </x:c>
    </x:row>
    <x:row r="36" ht="38" customHeight="1">
      <x:c r="A36" s="22" t="str">
        <x:v>place_day_1_fontana_del_prigione</x:v>
      </x:c>
      <x:c r="B36" s="22" t="str">
        <x:v>DAY_1</x:v>
      </x:c>
      <x:c r="C36" s="22" t="str">
        <x:v>D1_TRASTEVERE_TIBER_ISLAND</x:v>
      </x:c>
      <x:c r="D36" s="22" t="str">
        <x:v>Fontana del Prigione</x:v>
      </x:c>
      <x:c r="E36" s="22" t="str">
        <x:v>GRUEN</x:v>
      </x:c>
      <x:c r="F36" s="22" t="str">
        <x:v>GRUEN_KONZEPTREIF</x:v>
      </x:c>
      <x:c r="G36" s="22" t="str"/>
      <x:c r="H36" s="22" t="n">
        <x:f>COUNTIFS('Ortszuordnung'!$E$5:$E$85,A36,'Ortszuordnung'!$B$5:$B$85,"REGULAER")</x:f>
        <x:v>0</x:v>
      </x:c>
      <x:c r="I36" s="22" t="n">
        <x:f>COUNTIF('Ortszuordnung'!$E$5:$E$85,A36)-H36</x:f>
        <x:v>0</x:v>
      </x:c>
      <x:c r="J36" s="22" t="str">
        <x:f>IF(E36="ROT","AUSSCHLUSS",IF(H36&gt;0,"KERNQUEST",IF(I36&gt;0,"SONDERQUEST",IF(G36&lt;&gt;"","SUPPORT","RESERVE"))))</x:f>
        <x:v>RESERVE</x:v>
      </x:c>
      <x:c r="K36" s="22" t="n">
        <x:v>87</x:v>
      </x:c>
      <x:c r="L36" s="22" t="str"/>
      <x:c r="M36" s="22" t="str">
        <x:f>IF(J36="AUSSCHLUSS","Nicht als Pflichtort; nur nach neuer Evidenz neu bewerten.",IF(J36="KERNQUEST","In regulärer Quest gruppiert; aktuelle Sicht und blinden Test vor Release abschließen.",IF(J36="SONDERQUEST","Für Medien-, Hidden- oder Bossinhalt vorgesehen; separate Slot- oder Eventregel.",IF(J36="SUPPORT","Nur als Supportpunkt behalten; keine zusätzliche Pflichtquest.","Als Ersatz- oder späterer Questkandidat erhalten."))))</x:f>
        <x:v>Als Ersatz- oder späterer Questkandidat erhalten.</x:v>
      </x:c>
    </x:row>
    <x:row r="37" ht="38" customHeight="1">
      <x:c r="A37" s="22" t="str">
        <x:v>place_day_1_fontana_dell_acqua_paola</x:v>
      </x:c>
      <x:c r="B37" s="22" t="str">
        <x:v>DAY_1</x:v>
      </x:c>
      <x:c r="C37" s="22" t="str">
        <x:v>D1_GIANICOLO</x:v>
      </x:c>
      <x:c r="D37" s="22" t="str">
        <x:v>Fontana Dell'Acqua Paola</x:v>
      </x:c>
      <x:c r="E37" s="22" t="str">
        <x:v>GRUEN</x:v>
      </x:c>
      <x:c r="F37" s="22" t="str">
        <x:v>GRUEN_KONZEPTREIF</x:v>
      </x:c>
      <x:c r="G37" s="22" t="str">
        <x:v>REVIVE_POINT_CANDIDATE</x:v>
      </x:c>
      <x:c r="H37" s="22" t="n">
        <x:f>COUNTIFS('Ortszuordnung'!$E$5:$E$85,A37,'Ortszuordnung'!$B$5:$B$85,"REGULAER")</x:f>
        <x:v>1</x:v>
      </x:c>
      <x:c r="I37" s="22" t="n">
        <x:f>COUNTIF('Ortszuordnung'!$E$5:$E$85,A37)-H37</x:f>
        <x:v>0</x:v>
      </x:c>
      <x:c r="J37" s="22" t="str">
        <x:f>IF(E37="ROT","AUSSCHLUSS",IF(H37&gt;0,"KERNQUEST",IF(I37&gt;0,"SONDERQUEST",IF(G37&lt;&gt;"","SUPPORT","RESERVE"))))</x:f>
        <x:v>KERNQUEST</x:v>
      </x:c>
      <x:c r="K37" s="22" t="n">
        <x:v>91</x:v>
      </x:c>
      <x:c r="L37" s="22" t="str"/>
      <x:c r="M37" s="22" t="str">
        <x:f>IF(J37="AUSSCHLUSS","Nicht als Pflichtort; nur nach neuer Evidenz neu bewerten.",IF(J37="KERNQUEST","In regulärer Quest gruppiert; aktuelle Sicht und blinden Test vor Release abschließen.",IF(J37="SONDERQUEST","Für Medien-, Hidden- oder Bossinhalt vorgesehen; separate Slot- oder Eventregel.",IF(J37="SUPPORT","Nur als Supportpunkt behalten; keine zusätzliche Pflichtquest.","Als Ersatz- oder späterer Questkandidat erhalten."))))</x:f>
        <x:v>In regulärer Quest gruppiert; aktuelle Sicht und blinden Test vor Release abschließen.</x:v>
      </x:c>
    </x:row>
    <x:row r="38" ht="38" customHeight="1">
      <x:c r="A38" s="22" t="str">
        <x:v>place_day_1_monumento_a_garibaldi</x:v>
      </x:c>
      <x:c r="B38" s="22" t="str">
        <x:v>DAY_1</x:v>
      </x:c>
      <x:c r="C38" s="22" t="str">
        <x:v>D1_GIANICOLO</x:v>
      </x:c>
      <x:c r="D38" s="22" t="str">
        <x:v>Monumento a Garibaldi</x:v>
      </x:c>
      <x:c r="E38" s="22" t="str">
        <x:v>GRUEN</x:v>
      </x:c>
      <x:c r="F38" s="22" t="str">
        <x:v>GRUEN_KONZEPTREIF</x:v>
      </x:c>
      <x:c r="G38" s="22" t="str"/>
      <x:c r="H38" s="22" t="n">
        <x:f>COUNTIFS('Ortszuordnung'!$E$5:$E$85,A38,'Ortszuordnung'!$B$5:$B$85,"REGULAER")</x:f>
        <x:v>1</x:v>
      </x:c>
      <x:c r="I38" s="22" t="n">
        <x:f>COUNTIF('Ortszuordnung'!$E$5:$E$85,A38)-H38</x:f>
        <x:v>0</x:v>
      </x:c>
      <x:c r="J38" s="22" t="str">
        <x:f>IF(E38="ROT","AUSSCHLUSS",IF(H38&gt;0,"KERNQUEST",IF(I38&gt;0,"SONDERQUEST",IF(G38&lt;&gt;"","SUPPORT","RESERVE"))))</x:f>
        <x:v>KERNQUEST</x:v>
      </x:c>
      <x:c r="K38" s="22" t="n">
        <x:v>91</x:v>
      </x:c>
      <x:c r="L38" s="22" t="str"/>
      <x:c r="M38" s="22" t="str">
        <x:f>IF(J38="AUSSCHLUSS","Nicht als Pflichtort; nur nach neuer Evidenz neu bewerten.",IF(J38="KERNQUEST","In regulärer Quest gruppiert; aktuelle Sicht und blinden Test vor Release abschließen.",IF(J38="SONDERQUEST","Für Medien-, Hidden- oder Bossinhalt vorgesehen; separate Slot- oder Eventregel.",IF(J38="SUPPORT","Nur als Supportpunkt behalten; keine zusätzliche Pflichtquest.","Als Ersatz- oder späterer Questkandidat erhalten."))))</x:f>
        <x:v>In regulärer Quest gruppiert; aktuelle Sicht und blinden Test vor Release abschließen.</x:v>
      </x:c>
    </x:row>
    <x:row r="39" ht="38" customHeight="1">
      <x:c r="A39" s="22" t="str">
        <x:v>place_day_1_monumento_ad_anita_garibaldi</x:v>
      </x:c>
      <x:c r="B39" s="22" t="str">
        <x:v>DAY_1</x:v>
      </x:c>
      <x:c r="C39" s="22" t="str">
        <x:v>D1_GIANICOLO</x:v>
      </x:c>
      <x:c r="D39" s="22" t="str">
        <x:v>Monumento ad Anita Garibaldi</x:v>
      </x:c>
      <x:c r="E39" s="22" t="str">
        <x:v>GRUEN</x:v>
      </x:c>
      <x:c r="F39" s="22" t="str">
        <x:v>GRUEN_KONZEPTREIF</x:v>
      </x:c>
      <x:c r="G39" s="22" t="str"/>
      <x:c r="H39" s="22" t="n">
        <x:f>COUNTIFS('Ortszuordnung'!$E$5:$E$85,A39,'Ortszuordnung'!$B$5:$B$85,"REGULAER")</x:f>
        <x:v>1</x:v>
      </x:c>
      <x:c r="I39" s="22" t="n">
        <x:f>COUNTIF('Ortszuordnung'!$E$5:$E$85,A39)-H39</x:f>
        <x:v>0</x:v>
      </x:c>
      <x:c r="J39" s="22" t="str">
        <x:f>IF(E39="ROT","AUSSCHLUSS",IF(H39&gt;0,"KERNQUEST",IF(I39&gt;0,"SONDERQUEST",IF(G39&lt;&gt;"","SUPPORT","RESERVE"))))</x:f>
        <x:v>KERNQUEST</x:v>
      </x:c>
      <x:c r="K39" s="22" t="n">
        <x:v>87</x:v>
      </x:c>
      <x:c r="L39" s="22" t="str"/>
      <x:c r="M39" s="22" t="str">
        <x:f>IF(J39="AUSSCHLUSS","Nicht als Pflichtort; nur nach neuer Evidenz neu bewerten.",IF(J39="KERNQUEST","In regulärer Quest gruppiert; aktuelle Sicht und blinden Test vor Release abschließen.",IF(J39="SONDERQUEST","Für Medien-, Hidden- oder Bossinhalt vorgesehen; separate Slot- oder Eventregel.",IF(J39="SUPPORT","Nur als Supportpunkt behalten; keine zusätzliche Pflichtquest.","Als Ersatz- oder späterer Questkandidat erhalten."))))</x:f>
        <x:v>In regulärer Quest gruppiert; aktuelle Sicht und blinden Test vor Release abschließen.</x:v>
      </x:c>
    </x:row>
    <x:row r="40" ht="38" customHeight="1">
      <x:c r="A40" s="22" t="str">
        <x:v>place_day_1_ponte_giuseppe_mazzini</x:v>
      </x:c>
      <x:c r="B40" s="22" t="str">
        <x:v>DAY_1</x:v>
      </x:c>
      <x:c r="C40" s="22" t="str">
        <x:v>D1_GIANICOLO</x:v>
      </x:c>
      <x:c r="D40" s="22" t="str">
        <x:v>Ponte Giuseppe Mazzini</x:v>
      </x:c>
      <x:c r="E40" s="22" t="str">
        <x:v>GRUEN</x:v>
      </x:c>
      <x:c r="F40" s="22" t="str">
        <x:v>GRUEN_MIT_BLICKPUNKT</x:v>
      </x:c>
      <x:c r="G40" s="22" t="str"/>
      <x:c r="H40" s="22" t="n">
        <x:f>COUNTIFS('Ortszuordnung'!$E$5:$E$85,A40,'Ortszuordnung'!$B$5:$B$85,"REGULAER")</x:f>
        <x:v>0</x:v>
      </x:c>
      <x:c r="I40" s="22" t="n">
        <x:f>COUNTIF('Ortszuordnung'!$E$5:$E$85,A40)-H40</x:f>
        <x:v>0</x:v>
      </x:c>
      <x:c r="J40" s="22" t="str">
        <x:f>IF(E40="ROT","AUSSCHLUSS",IF(H40&gt;0,"KERNQUEST",IF(I40&gt;0,"SONDERQUEST",IF(G40&lt;&gt;"","SUPPORT","RESERVE"))))</x:f>
        <x:v>RESERVE</x:v>
      </x:c>
      <x:c r="K40" s="22" t="n">
        <x:v>85</x:v>
      </x:c>
      <x:c r="L40" s="22" t="str"/>
      <x:c r="M40" s="22" t="str">
        <x:f>IF(J40="AUSSCHLUSS","Nicht als Pflichtort; nur nach neuer Evidenz neu bewerten.",IF(J40="KERNQUEST","In regulärer Quest gruppiert; aktuelle Sicht und blinden Test vor Release abschließen.",IF(J40="SONDERQUEST","Für Medien-, Hidden- oder Bossinhalt vorgesehen; separate Slot- oder Eventregel.",IF(J40="SUPPORT","Nur als Supportpunkt behalten; keine zusätzliche Pflichtquest.","Als Ersatz- oder späterer Questkandidat erhalten."))))</x:f>
        <x:v>Als Ersatz- oder späterer Questkandidat erhalten.</x:v>
      </x:c>
    </x:row>
    <x:row r="41" ht="38" customHeight="1">
      <x:c r="A41" s="22" t="str">
        <x:v>place_day_1_fontana_degli_undici_zampilli</x:v>
      </x:c>
      <x:c r="B41" s="22" t="str">
        <x:v>DAY_1</x:v>
      </x:c>
      <x:c r="C41" s="22" t="str">
        <x:v>D1_GIANICOLO</x:v>
      </x:c>
      <x:c r="D41" s="22" t="str">
        <x:v>Fontana degli undici zampilli</x:v>
      </x:c>
      <x:c r="E41" s="22" t="str">
        <x:v>GRUEN</x:v>
      </x:c>
      <x:c r="F41" s="22" t="str">
        <x:v>GRUEN_KONZEPTREIF</x:v>
      </x:c>
      <x:c r="G41" s="22" t="str"/>
      <x:c r="H41" s="22" t="n">
        <x:f>COUNTIFS('Ortszuordnung'!$E$5:$E$85,A41,'Ortszuordnung'!$B$5:$B$85,"REGULAER")</x:f>
        <x:v>0</x:v>
      </x:c>
      <x:c r="I41" s="22" t="n">
        <x:f>COUNTIF('Ortszuordnung'!$E$5:$E$85,A41)-H41</x:f>
        <x:v>0</x:v>
      </x:c>
      <x:c r="J41" s="22" t="str">
        <x:f>IF(E41="ROT","AUSSCHLUSS",IF(H41&gt;0,"KERNQUEST",IF(I41&gt;0,"SONDERQUEST",IF(G41&lt;&gt;"","SUPPORT","RESERVE"))))</x:f>
        <x:v>RESERVE</x:v>
      </x:c>
      <x:c r="K41" s="22" t="n">
        <x:v>85</x:v>
      </x:c>
      <x:c r="L41" s="22" t="str"/>
      <x:c r="M41" s="22" t="str">
        <x:f>IF(J41="AUSSCHLUSS","Nicht als Pflichtort; nur nach neuer Evidenz neu bewerten.",IF(J41="KERNQUEST","In regulärer Quest gruppiert; aktuelle Sicht und blinden Test vor Release abschließen.",IF(J41="SONDERQUEST","Für Medien-, Hidden- oder Bossinhalt vorgesehen; separate Slot- oder Eventregel.",IF(J41="SUPPORT","Nur als Supportpunkt behalten; keine zusätzliche Pflichtquest.","Als Ersatz- oder späterer Questkandidat erhalten."))))</x:f>
        <x:v>Als Ersatz- oder späterer Questkandidat erhalten.</x:v>
      </x:c>
    </x:row>
    <x:row r="42" ht="38" customHeight="1">
      <x:c r="A42" s="22" t="str">
        <x:v>place_day_1_obelisco_della_minerva</x:v>
      </x:c>
      <x:c r="B42" s="22" t="str">
        <x:v>DAY_1</x:v>
      </x:c>
      <x:c r="C42" s="22" t="str">
        <x:v>D1_NAVONA_PANTHEON</x:v>
      </x:c>
      <x:c r="D42" s="22" t="str">
        <x:v>Obelisco della Minerva</x:v>
      </x:c>
      <x:c r="E42" s="22" t="str">
        <x:v>ROT</x:v>
      </x:c>
      <x:c r="F42" s="22" t="str">
        <x:v>ROT_AKTUELL_GESPERRT</x:v>
      </x:c>
      <x:c r="G42" s="22" t="str"/>
      <x:c r="H42" s="22" t="n">
        <x:f>COUNTIFS('Ortszuordnung'!$E$5:$E$85,A42,'Ortszuordnung'!$B$5:$B$85,"REGULAER")</x:f>
        <x:v>0</x:v>
      </x:c>
      <x:c r="I42" s="22" t="n">
        <x:f>COUNTIF('Ortszuordnung'!$E$5:$E$85,A42)-H42</x:f>
        <x:v>0</x:v>
      </x:c>
      <x:c r="J42" s="22" t="str">
        <x:f>IF(E42="ROT","AUSSCHLUSS",IF(H42&gt;0,"KERNQUEST",IF(I42&gt;0,"SONDERQUEST",IF(G42&lt;&gt;"","SUPPORT","RESERVE"))))</x:f>
        <x:v>AUSSCHLUSS</x:v>
      </x:c>
      <x:c r="K42" s="22" t="n">
        <x:v>91</x:v>
      </x:c>
      <x:c r="L42" s="22" t="str">
        <x:v>Elefante Minerveo</x:v>
      </x:c>
      <x:c r="M42" s="22" t="str">
        <x:f>IF(J42="AUSSCHLUSS","Nicht als Pflichtort; nur nach neuer Evidenz neu bewerten.",IF(J42="KERNQUEST","In regulärer Quest gruppiert; aktuelle Sicht und blinden Test vor Release abschließen.",IF(J42="SONDERQUEST","Für Medien-, Hidden- oder Bossinhalt vorgesehen; separate Slot- oder Eventregel.",IF(J42="SUPPORT","Nur als Supportpunkt behalten; keine zusätzliche Pflichtquest.","Als Ersatz- oder späterer Questkandidat erhalten."))))</x:f>
        <x:v>Nicht als Pflichtort; nur nach neuer Evidenz neu bewerten.</x:v>
      </x:c>
    </x:row>
    <x:row r="43" ht="38" customHeight="1">
      <x:c r="A43" s="22" t="str">
        <x:v>place_day_1_basilica_di_sant_andrea_della_valle</x:v>
      </x:c>
      <x:c r="B43" s="22" t="str">
        <x:v>DAY_1</x:v>
      </x:c>
      <x:c r="C43" s="22" t="str">
        <x:v>D1_CAMPO_REGOLA_GHETTO</x:v>
      </x:c>
      <x:c r="D43" s="22" t="str">
        <x:v>Basilica di Sant'Andrea della Valle</x:v>
      </x:c>
      <x:c r="E43" s="22" t="str">
        <x:v>GELB</x:v>
      </x:c>
      <x:c r="F43" s="22" t="str">
        <x:v>GELB_FASSADENSICHT</x:v>
      </x:c>
      <x:c r="G43" s="22" t="str"/>
      <x:c r="H43" s="22" t="n">
        <x:f>COUNTIFS('Ortszuordnung'!$E$5:$E$85,A43,'Ortszuordnung'!$B$5:$B$85,"REGULAER")</x:f>
        <x:v>1</x:v>
      </x:c>
      <x:c r="I43" s="22" t="n">
        <x:f>COUNTIF('Ortszuordnung'!$E$5:$E$85,A43)-H43</x:f>
        <x:v>0</x:v>
      </x:c>
      <x:c r="J43" s="22" t="str">
        <x:f>IF(E43="ROT","AUSSCHLUSS",IF(H43&gt;0,"KERNQUEST",IF(I43&gt;0,"SONDERQUEST",IF(G43&lt;&gt;"","SUPPORT","RESERVE"))))</x:f>
        <x:v>KERNQUEST</x:v>
      </x:c>
      <x:c r="K43" s="22" t="n">
        <x:v>83</x:v>
      </x:c>
      <x:c r="L43" s="22" t="str">
        <x:v>Custode della Cupola</x:v>
      </x:c>
      <x:c r="M43" s="22" t="str">
        <x:f>IF(J43="AUSSCHLUSS","Nicht als Pflichtort; nur nach neuer Evidenz neu bewerten.",IF(J43="KERNQUEST","In regulärer Quest gruppiert; aktuelle Sicht und blinden Test vor Release abschließen.",IF(J43="SONDERQUEST","Für Medien-, Hidden- oder Bossinhalt vorgesehen; separate Slot- oder Eventregel.",IF(J43="SUPPORT","Nur als Supportpunkt behalten; keine zusätzliche Pflichtquest.","Als Ersatz- oder späterer Questkandidat erhalten."))))</x:f>
        <x:v>In regulärer Quest gruppiert; aktuelle Sicht und blinden Test vor Release abschließen.</x:v>
      </x:c>
    </x:row>
    <x:row r="44" ht="38" customHeight="1">
      <x:c r="A44" s="22" t="str">
        <x:v>place_day_1_obelisco_di_antinoo</x:v>
      </x:c>
      <x:c r="B44" s="22" t="str">
        <x:v>DAY_1</x:v>
      </x:c>
      <x:c r="C44" s="22" t="str">
        <x:v>D1_POPOLO_PINCIO_SPAGNA</x:v>
      </x:c>
      <x:c r="D44" s="22" t="str">
        <x:v>Obelisco di Antinoo</x:v>
      </x:c>
      <x:c r="E44" s="22" t="str">
        <x:v>GRUEN</x:v>
      </x:c>
      <x:c r="F44" s="22" t="str">
        <x:v>GRUEN_PARKZUGANG</x:v>
      </x:c>
      <x:c r="G44" s="22" t="str"/>
      <x:c r="H44" s="22" t="n">
        <x:f>COUNTIFS('Ortszuordnung'!$E$5:$E$85,A44,'Ortszuordnung'!$B$5:$B$85,"REGULAER")</x:f>
        <x:v>1</x:v>
      </x:c>
      <x:c r="I44" s="22" t="n">
        <x:f>COUNTIF('Ortszuordnung'!$E$5:$E$85,A44)-H44</x:f>
        <x:v>0</x:v>
      </x:c>
      <x:c r="J44" s="22" t="str">
        <x:f>IF(E44="ROT","AUSSCHLUSS",IF(H44&gt;0,"KERNQUEST",IF(I44&gt;0,"SONDERQUEST",IF(G44&lt;&gt;"","SUPPORT","RESERVE"))))</x:f>
        <x:v>KERNQUEST</x:v>
      </x:c>
      <x:c r="K44" s="22" t="n">
        <x:v>91</x:v>
      </x:c>
      <x:c r="L44" s="22" t="str">
        <x:v>Ombra di Antinoo</x:v>
      </x:c>
      <x:c r="M44" s="22" t="str">
        <x:f>IF(J44="AUSSCHLUSS","Nicht als Pflichtort; nur nach neuer Evidenz neu bewerten.",IF(J44="KERNQUEST","In regulärer Quest gruppiert; aktuelle Sicht und blinden Test vor Release abschließen.",IF(J44="SONDERQUEST","Für Medien-, Hidden- oder Bossinhalt vorgesehen; separate Slot- oder Eventregel.",IF(J44="SUPPORT","Nur als Supportpunkt behalten; keine zusätzliche Pflichtquest.","Als Ersatz- oder späterer Questkandidat erhalten."))))</x:f>
        <x:v>In regulärer Quest gruppiert; aktuelle Sicht und blinden Test vor Release abschließen.</x:v>
      </x:c>
    </x:row>
    <x:row r="45" ht="38" customHeight="1">
      <x:c r="A45" s="22" t="str">
        <x:v>place_day_1_terrazza_del_gianicolo</x:v>
      </x:c>
      <x:c r="B45" s="22" t="str">
        <x:v>DAY_1</x:v>
      </x:c>
      <x:c r="C45" s="22" t="str">
        <x:v>D1_GIANICOLO</x:v>
      </x:c>
      <x:c r="D45" s="22" t="str">
        <x:v>Terrazza del Gianicolo</x:v>
      </x:c>
      <x:c r="E45" s="22" t="str">
        <x:v>GRUEN</x:v>
      </x:c>
      <x:c r="F45" s="22" t="str">
        <x:v>GRUEN_SONDERROLLE</x:v>
      </x:c>
      <x:c r="G45" s="22" t="str">
        <x:v>WORLD_BOSS_LOCATION|BOSS_STAGING_SAFE_ZONE</x:v>
      </x:c>
      <x:c r="H45" s="22" t="n">
        <x:f>COUNTIFS('Ortszuordnung'!$E$5:$E$85,A45,'Ortszuordnung'!$B$5:$B$85,"REGULAER")</x:f>
        <x:v>0</x:v>
      </x:c>
      <x:c r="I45" s="22" t="n">
        <x:f>COUNTIF('Ortszuordnung'!$E$5:$E$85,A45)-H45</x:f>
        <x:v>1</x:v>
      </x:c>
      <x:c r="J45" s="22" t="str">
        <x:f>IF(E45="ROT","AUSSCHLUSS",IF(H45&gt;0,"KERNQUEST",IF(I45&gt;0,"SONDERQUEST",IF(G45&lt;&gt;"","SUPPORT","RESERVE"))))</x:f>
        <x:v>SONDERQUEST</x:v>
      </x:c>
      <x:c r="K45" s="22" t="n">
        <x:v>86</x:v>
      </x:c>
      <x:c r="L45" s="22" t="str">
        <x:v>Il Cannoniere del Gianicolo</x:v>
      </x:c>
      <x:c r="M45" s="22" t="str">
        <x:f>IF(J45="AUSSCHLUSS","Nicht als Pflichtort; nur nach neuer Evidenz neu bewerten.",IF(J45="KERNQUEST","In regulärer Quest gruppiert; aktuelle Sicht und blinden Test vor Release abschließen.",IF(J45="SONDERQUEST","Für Medien-, Hidden- oder Bossinhalt vorgesehen; separate Slot- oder Eventregel.",IF(J45="SUPPORT","Nur als Supportpunkt behalten; keine zusätzliche Pflichtquest.","Als Ersatz- oder späterer Questkandidat erhalten."))))</x:f>
        <x:v>Für Medien-, Hidden- oder Bossinhalt vorgesehen; separate Slot- oder Eventregel.</x:v>
      </x:c>
    </x:row>
    <x:row r="46" ht="38" customHeight="1">
      <x:c r="A46" s="22" t="str">
        <x:v>place_day_1_teatro_di_marcello</x:v>
      </x:c>
      <x:c r="B46" s="22" t="str">
        <x:v>DAY_1</x:v>
      </x:c>
      <x:c r="C46" s="22" t="str">
        <x:v>D1_CAMPO_REGOLA_GHETTO</x:v>
      </x:c>
      <x:c r="D46" s="22" t="str">
        <x:v>Marcellustheater</x:v>
      </x:c>
      <x:c r="E46" s="22" t="str">
        <x:v>GRUEN</x:v>
      </x:c>
      <x:c r="F46" s="22" t="str">
        <x:v>GRUEN_AUSSENPUNKT</x:v>
      </x:c>
      <x:c r="G46" s="22" t="str"/>
      <x:c r="H46" s="22" t="n">
        <x:f>COUNTIFS('Ortszuordnung'!$E$5:$E$85,A46,'Ortszuordnung'!$B$5:$B$85,"REGULAER")</x:f>
        <x:v>1</x:v>
      </x:c>
      <x:c r="I46" s="22" t="n">
        <x:f>COUNTIF('Ortszuordnung'!$E$5:$E$85,A46)-H46</x:f>
        <x:v>1</x:v>
      </x:c>
      <x:c r="J46" s="22" t="str">
        <x:f>IF(E46="ROT","AUSSCHLUSS",IF(H46&gt;0,"KERNQUEST",IF(I46&gt;0,"SONDERQUEST",IF(G46&lt;&gt;"","SUPPORT","RESERVE"))))</x:f>
        <x:v>KERNQUEST</x:v>
      </x:c>
      <x:c r="K46" s="22"/>
      <x:c r="L46" s="22" t="str">
        <x:v>Maschera del Dramma</x:v>
      </x:c>
      <x:c r="M46" s="22" t="str">
        <x:f>IF(J46="AUSSCHLUSS","Nicht als Pflichtort; nur nach neuer Evidenz neu bewerten.",IF(J46="KERNQUEST","In regulärer Quest gruppiert; aktuelle Sicht und blinden Test vor Release abschließen.",IF(J46="SONDERQUEST","Für Medien-, Hidden- oder Bossinhalt vorgesehen; separate Slot- oder Eventregel.",IF(J46="SUPPORT","Nur als Supportpunkt behalten; keine zusätzliche Pflichtquest.","Als Ersatz- oder späterer Questkandidat erhalten."))))</x:f>
        <x:v>In regulärer Quest gruppiert; aktuelle Sicht und blinden Test vor Release abschließen.</x:v>
      </x:c>
    </x:row>
    <x:row r="47" ht="38" customHeight="1">
      <x:c r="A47" s="22" t="str">
        <x:v>place_day_1_fontana_delle_tartarughe</x:v>
      </x:c>
      <x:c r="B47" s="22" t="str">
        <x:v>DAY_1</x:v>
      </x:c>
      <x:c r="C47" s="22" t="str">
        <x:v>D1_TREVI_QUIRINALE</x:v>
      </x:c>
      <x:c r="D47" s="22" t="str">
        <x:v>Fontana delle Tartarughe</x:v>
      </x:c>
      <x:c r="E47" s="22" t="str">
        <x:v>GRUEN</x:v>
      </x:c>
      <x:c r="F47" s="22" t="str">
        <x:v>GRUEN_KONZEPTREIF</x:v>
      </x:c>
      <x:c r="G47" s="22" t="str"/>
      <x:c r="H47" s="22" t="n">
        <x:f>COUNTIFS('Ortszuordnung'!$E$5:$E$85,A47,'Ortszuordnung'!$B$5:$B$85,"REGULAER")</x:f>
        <x:v>1</x:v>
      </x:c>
      <x:c r="I47" s="22" t="n">
        <x:f>COUNTIF('Ortszuordnung'!$E$5:$E$85,A47)-H47</x:f>
        <x:v>1</x:v>
      </x:c>
      <x:c r="J47" s="22" t="str">
        <x:f>IF(E47="ROT","AUSSCHLUSS",IF(H47&gt;0,"KERNQUEST",IF(I47&gt;0,"SONDERQUEST",IF(G47&lt;&gt;"","SUPPORT","RESERVE"))))</x:f>
        <x:v>KERNQUEST</x:v>
      </x:c>
      <x:c r="K47" s="22" t="n">
        <x:v>84</x:v>
      </x:c>
      <x:c r="L47" s="22" t="str">
        <x:v>Custode delle Tartarughe</x:v>
      </x:c>
      <x:c r="M47" s="22" t="str">
        <x:f>IF(J47="AUSSCHLUSS","Nicht als Pflichtort; nur nach neuer Evidenz neu bewerten.",IF(J47="KERNQUEST","In regulärer Quest gruppiert; aktuelle Sicht und blinden Test vor Release abschließen.",IF(J47="SONDERQUEST","Für Medien-, Hidden- oder Bossinhalt vorgesehen; separate Slot- oder Eventregel.",IF(J47="SUPPORT","Nur als Supportpunkt behalten; keine zusätzliche Pflichtquest.","Als Ersatz- oder späterer Questkandidat erhalten."))))</x:f>
        <x:v>In regulärer Quest gruppiert; aktuelle Sicht und blinden Test vor Release abschließen.</x:v>
      </x:c>
    </x:row>
    <x:row r="48" ht="38" customHeight="1">
      <x:c r="A48" s="22" t="str">
        <x:v>place_day_1_fontana_della_dea_di_roma</x:v>
      </x:c>
      <x:c r="B48" s="22" t="str">
        <x:v>DAY_1</x:v>
      </x:c>
      <x:c r="C48" s="22" t="str">
        <x:v>D1_POPOLO_PINCIO_SPAGNA</x:v>
      </x:c>
      <x:c r="D48" s="22" t="str">
        <x:v>Fontana della Dea di Roma</x:v>
      </x:c>
      <x:c r="E48" s="22" t="str">
        <x:v>GRUEN</x:v>
      </x:c>
      <x:c r="F48" s="22" t="str">
        <x:v>GRUEN_PARKZUGANG</x:v>
      </x:c>
      <x:c r="G48" s="22" t="str"/>
      <x:c r="H48" s="22" t="n">
        <x:f>COUNTIFS('Ortszuordnung'!$E$5:$E$85,A48,'Ortszuordnung'!$B$5:$B$85,"REGULAER")</x:f>
        <x:v>1</x:v>
      </x:c>
      <x:c r="I48" s="22" t="n">
        <x:f>COUNTIF('Ortszuordnung'!$E$5:$E$85,A48)-H48</x:f>
        <x:v>0</x:v>
      </x:c>
      <x:c r="J48" s="22" t="str">
        <x:f>IF(E48="ROT","AUSSCHLUSS",IF(H48&gt;0,"KERNQUEST",IF(I48&gt;0,"SONDERQUEST",IF(G48&lt;&gt;"","SUPPORT","RESERVE"))))</x:f>
        <x:v>KERNQUEST</x:v>
      </x:c>
      <x:c r="K48" s="22" t="n">
        <x:v>83</x:v>
      </x:c>
      <x:c r="L48" s="22" t="str">
        <x:v>Dea Roma del Pincio</x:v>
      </x:c>
      <x:c r="M48" s="22" t="str">
        <x:f>IF(J48="AUSSCHLUSS","Nicht als Pflichtort; nur nach neuer Evidenz neu bewerten.",IF(J48="KERNQUEST","In regulärer Quest gruppiert; aktuelle Sicht und blinden Test vor Release abschließen.",IF(J48="SONDERQUEST","Für Medien-, Hidden- oder Bossinhalt vorgesehen; separate Slot- oder Eventregel.",IF(J48="SUPPORT","Nur als Supportpunkt behalten; keine zusätzliche Pflichtquest.","Als Ersatz- oder späterer Questkandidat erhalten."))))</x:f>
        <x:v>In regulärer Quest gruppiert; aktuelle Sicht und blinden Test vor Release abschließen.</x:v>
      </x:c>
    </x:row>
    <x:row r="49" ht="38" customHeight="1">
      <x:c r="A49" s="22" t="str">
        <x:v>place_day_1_fontana_dei_satirelli</x:v>
      </x:c>
      <x:c r="B49" s="22" t="str">
        <x:v>DAY_1</x:v>
      </x:c>
      <x:c r="C49" s="22" t="str">
        <x:v>D1_TRASTEVERE_TIBER_ISLAND</x:v>
      </x:c>
      <x:c r="D49" s="22" t="str">
        <x:v>Fontana dei Satirelli</x:v>
      </x:c>
      <x:c r="E49" s="22" t="str">
        <x:v>GELB</x:v>
      </x:c>
      <x:c r="F49" s="22" t="str">
        <x:v>GELB_PARKOEFFNUNG</x:v>
      </x:c>
      <x:c r="G49" s="22" t="str"/>
      <x:c r="H49" s="22" t="n">
        <x:f>COUNTIFS('Ortszuordnung'!$E$5:$E$85,A49,'Ortszuordnung'!$B$5:$B$85,"REGULAER")</x:f>
        <x:v>0</x:v>
      </x:c>
      <x:c r="I49" s="22" t="n">
        <x:f>COUNTIF('Ortszuordnung'!$E$5:$E$85,A49)-H49</x:f>
        <x:v>1</x:v>
      </x:c>
      <x:c r="J49" s="22" t="str">
        <x:f>IF(E49="ROT","AUSSCHLUSS",IF(H49&gt;0,"KERNQUEST",IF(I49&gt;0,"SONDERQUEST",IF(G49&lt;&gt;"","SUPPORT","RESERVE"))))</x:f>
        <x:v>SONDERQUEST</x:v>
      </x:c>
      <x:c r="K49" s="22" t="n">
        <x:v>82</x:v>
      </x:c>
      <x:c r="L49" s="22" t="str">
        <x:v>I Satirelli Gemelli</x:v>
      </x:c>
      <x:c r="M49" s="22" t="str">
        <x:f>IF(J49="AUSSCHLUSS","Nicht als Pflichtort; nur nach neuer Evidenz neu bewerten.",IF(J49="KERNQUEST","In regulärer Quest gruppiert; aktuelle Sicht und blinden Test vor Release abschließen.",IF(J49="SONDERQUEST","Für Medien-, Hidden- oder Bossinhalt vorgesehen; separate Slot- oder Eventregel.",IF(J49="SUPPORT","Nur als Supportpunkt behalten; keine zusätzliche Pflichtquest.","Als Ersatz- oder späterer Questkandidat erhalten."))))</x:f>
        <x:v>Für Medien-, Hidden- oder Bossinhalt vorgesehen; separate Slot- oder Eventregel.</x:v>
      </x:c>
    </x:row>
    <x:row r="50" ht="38" customHeight="1">
      <x:c r="A50" s="22" t="str">
        <x:v>place_day_1_obelisco_macuteo</x:v>
      </x:c>
      <x:c r="B50" s="22" t="str">
        <x:v>DAY_1</x:v>
      </x:c>
      <x:c r="C50" s="22" t="str">
        <x:v>D1_NAVONA_PANTHEON</x:v>
      </x:c>
      <x:c r="D50" s="22" t="str">
        <x:v>Obelisco Macuteo</x:v>
      </x:c>
      <x:c r="E50" s="22" t="str">
        <x:v>GRUEN</x:v>
      </x:c>
      <x:c r="F50" s="22" t="str">
        <x:v>GRUEN_MENSCHENMENGE</x:v>
      </x:c>
      <x:c r="G50" s="22" t="str"/>
      <x:c r="H50" s="22" t="n">
        <x:f>COUNTIFS('Ortszuordnung'!$E$5:$E$85,A50,'Ortszuordnung'!$B$5:$B$85,"REGULAER")</x:f>
        <x:v>1</x:v>
      </x:c>
      <x:c r="I50" s="22" t="n">
        <x:f>COUNTIF('Ortszuordnung'!$E$5:$E$85,A50)-H50</x:f>
        <x:v>0</x:v>
      </x:c>
      <x:c r="J50" s="22" t="str">
        <x:f>IF(E50="ROT","AUSSCHLUSS",IF(H50&gt;0,"KERNQUEST",IF(I50&gt;0,"SONDERQUEST",IF(G50&lt;&gt;"","SUPPORT","RESERVE"))))</x:f>
        <x:v>KERNQUEST</x:v>
      </x:c>
      <x:c r="K50" s="22" t="n">
        <x:v>91</x:v>
      </x:c>
      <x:c r="L50" s="22" t="str">
        <x:v>Mummia dell’Iseo</x:v>
      </x:c>
      <x:c r="M50" s="22" t="str">
        <x:f>IF(J50="AUSSCHLUSS","Nicht als Pflichtort; nur nach neuer Evidenz neu bewerten.",IF(J50="KERNQUEST","In regulärer Quest gruppiert; aktuelle Sicht und blinden Test vor Release abschließen.",IF(J50="SONDERQUEST","Für Medien-, Hidden- oder Bossinhalt vorgesehen; separate Slot- oder Eventregel.",IF(J50="SUPPORT","Nur als Supportpunkt behalten; keine zusätzliche Pflichtquest.","Als Ersatz- oder späterer Questkandidat erhalten."))))</x:f>
        <x:v>In regulärer Quest gruppiert; aktuelle Sicht und blinden Test vor Release abschließen.</x:v>
      </x:c>
    </x:row>
    <x:row r="51" ht="38" customHeight="1">
      <x:c r="A51" s="22" t="str">
        <x:v>place_day_1_acquedotto_vergine</x:v>
      </x:c>
      <x:c r="B51" s="22" t="str">
        <x:v>DAY_1</x:v>
      </x:c>
      <x:c r="C51" s="22" t="str">
        <x:v>D1_TREVI_QUIRINALE</x:v>
      </x:c>
      <x:c r="D51" s="22" t="str">
        <x:v>Acquedotto Vergine</x:v>
      </x:c>
      <x:c r="E51" s="22" t="str">
        <x:v>GELB</x:v>
      </x:c>
      <x:c r="F51" s="22" t="str">
        <x:v>GELB_TEILWEISE_VERDECKT</x:v>
      </x:c>
      <x:c r="G51" s="22" t="str"/>
      <x:c r="H51" s="22" t="n">
        <x:f>COUNTIFS('Ortszuordnung'!$E$5:$E$85,A51,'Ortszuordnung'!$B$5:$B$85,"REGULAER")</x:f>
        <x:v>1</x:v>
      </x:c>
      <x:c r="I51" s="22" t="n">
        <x:f>COUNTIF('Ortszuordnung'!$E$5:$E$85,A51)-H51</x:f>
        <x:v>1</x:v>
      </x:c>
      <x:c r="J51" s="22" t="str">
        <x:f>IF(E51="ROT","AUSSCHLUSS",IF(H51&gt;0,"KERNQUEST",IF(I51&gt;0,"SONDERQUEST",IF(G51&lt;&gt;"","SUPPORT","RESERVE"))))</x:f>
        <x:v>KERNQUEST</x:v>
      </x:c>
      <x:c r="K51" s="22" t="n">
        <x:v>80</x:v>
      </x:c>
      <x:c r="L51" s="22" t="str">
        <x:v>Ratto dell’Acqua Virgo</x:v>
      </x:c>
      <x:c r="M51" s="22" t="str">
        <x:f>IF(J51="AUSSCHLUSS","Nicht als Pflichtort; nur nach neuer Evidenz neu bewerten.",IF(J51="KERNQUEST","In regulärer Quest gruppiert; aktuelle Sicht und blinden Test vor Release abschließen.",IF(J51="SONDERQUEST","Für Medien-, Hidden- oder Bossinhalt vorgesehen; separate Slot- oder Eventregel.",IF(J51="SUPPORT","Nur als Supportpunkt behalten; keine zusätzliche Pflichtquest.","Als Ersatz- oder späterer Questkandidat erhalten."))))</x:f>
        <x:v>In regulärer Quest gruppiert; aktuelle Sicht und blinden Test vor Release abschließen.</x:v>
      </x:c>
    </x:row>
    <x:row r="52" ht="38" customHeight="1">
      <x:c r="A52" s="22" t="str">
        <x:v>place_day_1_palazzo_del_quirinale</x:v>
      </x:c>
      <x:c r="B52" s="22" t="str">
        <x:v>DAY_1</x:v>
      </x:c>
      <x:c r="C52" s="22" t="str">
        <x:v>D1_TREVI_QUIRINALE</x:v>
      </x:c>
      <x:c r="D52" s="22" t="str">
        <x:v>Quirinalspalast</x:v>
      </x:c>
      <x:c r="E52" s="22" t="str">
        <x:v>GRUEN</x:v>
      </x:c>
      <x:c r="F52" s="22" t="str">
        <x:v>GRUEN_SICHERHEITSABSTAND</x:v>
      </x:c>
      <x:c r="G52" s="22" t="str"/>
      <x:c r="H52" s="22" t="n">
        <x:f>COUNTIFS('Ortszuordnung'!$E$5:$E$85,A52,'Ortszuordnung'!$B$5:$B$85,"REGULAER")</x:f>
        <x:v>1</x:v>
      </x:c>
      <x:c r="I52" s="22" t="n">
        <x:f>COUNTIF('Ortszuordnung'!$E$5:$E$85,A52)-H52</x:f>
        <x:v>0</x:v>
      </x:c>
      <x:c r="J52" s="22" t="str">
        <x:f>IF(E52="ROT","AUSSCHLUSS",IF(H52&gt;0,"KERNQUEST",IF(I52&gt;0,"SONDERQUEST",IF(G52&lt;&gt;"","SUPPORT","RESERVE"))))</x:f>
        <x:v>KERNQUEST</x:v>
      </x:c>
      <x:c r="K52" s="22" t="n">
        <x:v>80</x:v>
      </x:c>
      <x:c r="L52" s="22" t="str">
        <x:v>Corazziere del Colle</x:v>
      </x:c>
      <x:c r="M52" s="22" t="str">
        <x:f>IF(J52="AUSSCHLUSS","Nicht als Pflichtort; nur nach neuer Evidenz neu bewerten.",IF(J52="KERNQUEST","In regulärer Quest gruppiert; aktuelle Sicht und blinden Test vor Release abschließen.",IF(J52="SONDERQUEST","Für Medien-, Hidden- oder Bossinhalt vorgesehen; separate Slot- oder Eventregel.",IF(J52="SUPPORT","Nur als Supportpunkt behalten; keine zusätzliche Pflichtquest.","Als Ersatz- oder späterer Questkandidat erhalten."))))</x:f>
        <x:v>In regulärer Quest gruppiert; aktuelle Sicht und blinden Test vor Release abschließen.</x:v>
      </x:c>
    </x:row>
    <x:row r="53" ht="38" customHeight="1">
      <x:c r="A53" s="22" t="str">
        <x:v>place_day_1_balconata_del_pincio</x:v>
      </x:c>
      <x:c r="B53" s="22" t="str">
        <x:v>DAY_1</x:v>
      </x:c>
      <x:c r="C53" s="22" t="str">
        <x:v>D1_POPOLO_PINCIO_SPAGNA</x:v>
      </x:c>
      <x:c r="D53" s="22" t="str">
        <x:v>Balconata del Pincio</x:v>
      </x:c>
      <x:c r="E53" s="22" t="str">
        <x:v>GRUEN</x:v>
      </x:c>
      <x:c r="F53" s="22" t="str">
        <x:v>GRUEN_PARKZUGANG</x:v>
      </x:c>
      <x:c r="G53" s="22" t="str"/>
      <x:c r="H53" s="22" t="n">
        <x:f>COUNTIFS('Ortszuordnung'!$E$5:$E$85,A53,'Ortszuordnung'!$B$5:$B$85,"REGULAER")</x:f>
        <x:v>1</x:v>
      </x:c>
      <x:c r="I53" s="22" t="n">
        <x:f>COUNTIF('Ortszuordnung'!$E$5:$E$85,A53)-H53</x:f>
        <x:v>0</x:v>
      </x:c>
      <x:c r="J53" s="22" t="str">
        <x:f>IF(E53="ROT","AUSSCHLUSS",IF(H53&gt;0,"KERNQUEST",IF(I53&gt;0,"SONDERQUEST",IF(G53&lt;&gt;"","SUPPORT","RESERVE"))))</x:f>
        <x:v>KERNQUEST</x:v>
      </x:c>
      <x:c r="K53" s="22" t="n">
        <x:v>85</x:v>
      </x:c>
      <x:c r="L53" s="22" t="str">
        <x:v>Ombra del Belvedere</x:v>
      </x:c>
      <x:c r="M53" s="22" t="str">
        <x:f>IF(J53="AUSSCHLUSS","Nicht als Pflichtort; nur nach neuer Evidenz neu bewerten.",IF(J53="KERNQUEST","In regulärer Quest gruppiert; aktuelle Sicht und blinden Test vor Release abschließen.",IF(J53="SONDERQUEST","Für Medien-, Hidden- oder Bossinhalt vorgesehen; separate Slot- oder Eventregel.",IF(J53="SUPPORT","Nur als Supportpunkt behalten; keine zusätzliche Pflichtquest.","Als Ersatz- oder späterer Questkandidat erhalten."))))</x:f>
        <x:v>In regulärer Quest gruppiert; aktuelle Sicht und blinden Test vor Release abschließen.</x:v>
      </x:c>
    </x:row>
    <x:row r="54" ht="38" customHeight="1">
      <x:c r="A54" s="22" t="str">
        <x:v>place_day_1_mura_gianicolensi_2</x:v>
      </x:c>
      <x:c r="B54" s="22" t="str">
        <x:v>DAY_1</x:v>
      </x:c>
      <x:c r="C54" s="22" t="str">
        <x:v>D1_GIANICOLO</x:v>
      </x:c>
      <x:c r="D54" s="22" t="str">
        <x:v>Gianicolense-Mauern</x:v>
      </x:c>
      <x:c r="E54" s="22" t="str">
        <x:v>GRUEN</x:v>
      </x:c>
      <x:c r="F54" s="22" t="str">
        <x:v>GRUEN_MIT_GEWEGPUNKT</x:v>
      </x:c>
      <x:c r="G54" s="22" t="str"/>
      <x:c r="H54" s="22" t="n">
        <x:f>COUNTIFS('Ortszuordnung'!$E$5:$E$85,A54,'Ortszuordnung'!$B$5:$B$85,"REGULAER")</x:f>
        <x:v>1</x:v>
      </x:c>
      <x:c r="I54" s="22" t="n">
        <x:f>COUNTIF('Ortszuordnung'!$E$5:$E$85,A54)-H54</x:f>
        <x:v>0</x:v>
      </x:c>
      <x:c r="J54" s="22" t="str">
        <x:f>IF(E54="ROT","AUSSCHLUSS",IF(H54&gt;0,"KERNQUEST",IF(I54&gt;0,"SONDERQUEST",IF(G54&lt;&gt;"","SUPPORT","RESERVE"))))</x:f>
        <x:v>KERNQUEST</x:v>
      </x:c>
      <x:c r="K54" s="22" t="n">
        <x:v>89</x:v>
      </x:c>
      <x:c r="L54" s="22" t="str">
        <x:v>Garibaldino delle Mura</x:v>
      </x:c>
      <x:c r="M54" s="22" t="str">
        <x:f>IF(J54="AUSSCHLUSS","Nicht als Pflichtort; nur nach neuer Evidenz neu bewerten.",IF(J54="KERNQUEST","In regulärer Quest gruppiert; aktuelle Sicht und blinden Test vor Release abschließen.",IF(J54="SONDERQUEST","Für Medien-, Hidden- oder Bossinhalt vorgesehen; separate Slot- oder Eventregel.",IF(J54="SUPPORT","Nur als Supportpunkt behalten; keine zusätzliche Pflichtquest.","Als Ersatz- oder späterer Questkandidat erhalten."))))</x:f>
        <x:v>In regulärer Quest gruppiert; aktuelle Sicht und blinden Test vor Release abschließen.</x:v>
      </x:c>
    </x:row>
    <x:row r="55" ht="38" customHeight="1">
      <x:c r="A55" s="22" t="str">
        <x:v>place_day_1_chiesa_di_san_pietro_in_montorio</x:v>
      </x:c>
      <x:c r="B55" s="22" t="str">
        <x:v>DAY_1</x:v>
      </x:c>
      <x:c r="C55" s="22" t="str">
        <x:v>D1_TRASTEVERE_TIBER_ISLAND</x:v>
      </x:c>
      <x:c r="D55" s="22" t="str">
        <x:v>Kirche von San Pietro in Montorio</x:v>
      </x:c>
      <x:c r="E55" s="22" t="str">
        <x:v>GELB</x:v>
      </x:c>
      <x:c r="F55" s="22" t="str">
        <x:v>GELB_AUSSENFASSADE</x:v>
      </x:c>
      <x:c r="G55" s="22" t="str"/>
      <x:c r="H55" s="22" t="n">
        <x:f>COUNTIFS('Ortszuordnung'!$E$5:$E$85,A55,'Ortszuordnung'!$B$5:$B$85,"REGULAER")</x:f>
        <x:v>0</x:v>
      </x:c>
      <x:c r="I55" s="22" t="n">
        <x:f>COUNTIF('Ortszuordnung'!$E$5:$E$85,A55)-H55</x:f>
        <x:v>0</x:v>
      </x:c>
      <x:c r="J55" s="22" t="str">
        <x:f>IF(E55="ROT","AUSSCHLUSS",IF(H55&gt;0,"KERNQUEST",IF(I55&gt;0,"SONDERQUEST",IF(G55&lt;&gt;"","SUPPORT","RESERVE"))))</x:f>
        <x:v>RESERVE</x:v>
      </x:c>
      <x:c r="K55" s="22" t="n">
        <x:v>80</x:v>
      </x:c>
      <x:c r="L55" s="22" t="str">
        <x:v>Custode del Tempietto</x:v>
      </x:c>
      <x:c r="M55" s="22" t="str">
        <x:f>IF(J55="AUSSCHLUSS","Nicht als Pflichtort; nur nach neuer Evidenz neu bewerten.",IF(J55="KERNQUEST","In regulärer Quest gruppiert; aktuelle Sicht und blinden Test vor Release abschließen.",IF(J55="SONDERQUEST","Für Medien-, Hidden- oder Bossinhalt vorgesehen; separate Slot- oder Eventregel.",IF(J55="SUPPORT","Nur als Supportpunkt behalten; keine zusätzliche Pflichtquest.","Als Ersatz- oder späterer Questkandidat erhalten."))))</x:f>
        <x:v>Als Ersatz- oder späterer Questkandidat erhalten.</x:v>
      </x:c>
    </x:row>
    <x:row r="56" ht="38" customHeight="1">
      <x:c r="A56" s="22" t="str">
        <x:v>place_day_1_piazza_di_santa_maria_in_trastevere</x:v>
      </x:c>
      <x:c r="B56" s="22" t="str">
        <x:v>DAY_1</x:v>
      </x:c>
      <x:c r="C56" s="22" t="str">
        <x:v>D1_TRASTEVERE_TIBER_ISLAND</x:v>
      </x:c>
      <x:c r="D56" s="22" t="str">
        <x:v>Piazza di Santa Maria in Trastevere</x:v>
      </x:c>
      <x:c r="E56" s="22" t="str">
        <x:v>GRUEN</x:v>
      </x:c>
      <x:c r="F56" s="22" t="str">
        <x:v>GRUEN_REVIVE_PUNKT</x:v>
      </x:c>
      <x:c r="G56" s="22" t="str">
        <x:v>REVIVE_POINT_CANDIDATE</x:v>
      </x:c>
      <x:c r="H56" s="22" t="n">
        <x:f>COUNTIFS('Ortszuordnung'!$E$5:$E$85,A56,'Ortszuordnung'!$B$5:$B$85,"REGULAER")</x:f>
        <x:v>0</x:v>
      </x:c>
      <x:c r="I56" s="22" t="n">
        <x:f>COUNTIF('Ortszuordnung'!$E$5:$E$85,A56)-H56</x:f>
        <x:v>0</x:v>
      </x:c>
      <x:c r="J56" s="22" t="str">
        <x:f>IF(E56="ROT","AUSSCHLUSS",IF(H56&gt;0,"KERNQUEST",IF(I56&gt;0,"SONDERQUEST",IF(G56&lt;&gt;"","SUPPORT","RESERVE"))))</x:f>
        <x:v>SUPPORT</x:v>
      </x:c>
      <x:c r="K56" s="22" t="n">
        <x:v>89</x:v>
      </x:c>
      <x:c r="L56" s="22" t="str">
        <x:v>Leone del Mosaico</x:v>
      </x:c>
      <x:c r="M56" s="22" t="str">
        <x:f>IF(J56="AUSSCHLUSS","Nicht als Pflichtort; nur nach neuer Evidenz neu bewerten.",IF(J56="KERNQUEST","In regulärer Quest gruppiert; aktuelle Sicht und blinden Test vor Release abschließen.",IF(J56="SONDERQUEST","Für Medien-, Hidden- oder Bossinhalt vorgesehen; separate Slot- oder Eventregel.",IF(J56="SUPPORT","Nur als Supportpunkt behalten; keine zusätzliche Pflichtquest.","Als Ersatz- oder späterer Questkandidat erhalten."))))</x:f>
        <x:v>Nur als Supportpunkt behalten; keine zusätzliche Pflichtquest.</x:v>
      </x:c>
    </x:row>
    <x:row r="57" ht="38" customHeight="1">
      <x:c r="A57" s="22" t="str">
        <x:v>place_day_1_portico_d_ottavia</x:v>
      </x:c>
      <x:c r="B57" s="22" t="str">
        <x:v>DAY_1</x:v>
      </x:c>
      <x:c r="C57" s="22" t="str">
        <x:v>D1_CAMPO_REGOLA_GHETTO</x:v>
      </x:c>
      <x:c r="D57" s="22" t="str">
        <x:v>Portico d'Ottavia</x:v>
      </x:c>
      <x:c r="E57" s="22" t="str">
        <x:v>ROT</x:v>
      </x:c>
      <x:c r="F57" s="22" t="str">
        <x:v>ROT_AKTUELL_GESPERRT</x:v>
      </x:c>
      <x:c r="G57" s="22" t="str"/>
      <x:c r="H57" s="22" t="n">
        <x:f>COUNTIFS('Ortszuordnung'!$E$5:$E$85,A57,'Ortszuordnung'!$B$5:$B$85,"REGULAER")</x:f>
        <x:v>0</x:v>
      </x:c>
      <x:c r="I57" s="22" t="n">
        <x:f>COUNTIF('Ortszuordnung'!$E$5:$E$85,A57)-H57</x:f>
        <x:v>0</x:v>
      </x:c>
      <x:c r="J57" s="22" t="str">
        <x:f>IF(E57="ROT","AUSSCHLUSS",IF(H57&gt;0,"KERNQUEST",IF(I57&gt;0,"SONDERQUEST",IF(G57&lt;&gt;"","SUPPORT","RESERVE"))))</x:f>
        <x:v>AUSSCHLUSS</x:v>
      </x:c>
      <x:c r="K57" s="22" t="n">
        <x:v>80</x:v>
      </x:c>
      <x:c r="L57" s="22" t="str">
        <x:v>Pesce Fantasma del Ghetto</x:v>
      </x:c>
      <x:c r="M57" s="22" t="str">
        <x:f>IF(J57="AUSSCHLUSS","Nicht als Pflichtort; nur nach neuer Evidenz neu bewerten.",IF(J57="KERNQUEST","In regulärer Quest gruppiert; aktuelle Sicht und blinden Test vor Release abschließen.",IF(J57="SONDERQUEST","Für Medien-, Hidden- oder Bossinhalt vorgesehen; separate Slot- oder Eventregel.",IF(J57="SUPPORT","Nur als Supportpunkt behalten; keine zusätzliche Pflichtquest.","Als Ersatz- oder späterer Questkandidat erhalten."))))</x:f>
        <x:v>Nicht als Pflichtort; nur nach neuer Evidenz neu bewerten.</x:v>
      </x:c>
    </x:row>
    <x:row r="58" ht="38" customHeight="1">
      <x:c r="A58" s="22" t="str">
        <x:v>place_day_1_piazza_del_teatro_di_pompeo</x:v>
      </x:c>
      <x:c r="B58" s="22" t="str">
        <x:v>DAY_1</x:v>
      </x:c>
      <x:c r="C58" s="22" t="str">
        <x:v>D1_CAMPO_REGOLA_GHETTO</x:v>
      </x:c>
      <x:c r="D58" s="22" t="str">
        <x:v>Piazza del Teatro di Pompeo</x:v>
      </x:c>
      <x:c r="E58" s="22" t="str">
        <x:v>ROT</x:v>
      </x:c>
      <x:c r="F58" s="22" t="str">
        <x:v>ROT_NICHT_ALS_PFLICHT</x:v>
      </x:c>
      <x:c r="G58" s="22" t="str"/>
      <x:c r="H58" s="22" t="n">
        <x:f>COUNTIFS('Ortszuordnung'!$E$5:$E$85,A58,'Ortszuordnung'!$B$5:$B$85,"REGULAER")</x:f>
        <x:v>0</x:v>
      </x:c>
      <x:c r="I58" s="22" t="n">
        <x:f>COUNTIF('Ortszuordnung'!$E$5:$E$85,A58)-H58</x:f>
        <x:v>0</x:v>
      </x:c>
      <x:c r="J58" s="22" t="str">
        <x:f>IF(E58="ROT","AUSSCHLUSS",IF(H58&gt;0,"KERNQUEST",IF(I58&gt;0,"SONDERQUEST",IF(G58&lt;&gt;"","SUPPORT","RESERVE"))))</x:f>
        <x:v>AUSSCHLUSS</x:v>
      </x:c>
      <x:c r="K58" s="22" t="n">
        <x:v>89</x:v>
      </x:c>
      <x:c r="L58" s="22" t="str">
        <x:v>Pugnale della Curia</x:v>
      </x:c>
      <x:c r="M58" s="22" t="str">
        <x:f>IF(J58="AUSSCHLUSS","Nicht als Pflichtort; nur nach neuer Evidenz neu bewerten.",IF(J58="KERNQUEST","In regulärer Quest gruppiert; aktuelle Sicht und blinden Test vor Release abschließen.",IF(J58="SONDERQUEST","Für Medien-, Hidden- oder Bossinhalt vorgesehen; separate Slot- oder Eventregel.",IF(J58="SUPPORT","Nur als Supportpunkt behalten; keine zusätzliche Pflichtquest.","Als Ersatz- oder späterer Questkandidat erhalten."))))</x:f>
        <x:v>Nicht als Pflichtort; nur nach neuer Evidenz neu bewerten.</x:v>
      </x:c>
    </x:row>
    <x:row r="59" ht="38" customHeight="1">
      <x:c r="A59" s="22" t="str">
        <x:v>place_day_1_porta_cavalleggeri</x:v>
      </x:c>
      <x:c r="B59" s="22" t="str">
        <x:v>DAY_1</x:v>
      </x:c>
      <x:c r="C59" s="22" t="str">
        <x:v>D1_VATICANO_PRATI_BORGO</x:v>
      </x:c>
      <x:c r="D59" s="22" t="str">
        <x:v>Porta Cavalleggeri</x:v>
      </x:c>
      <x:c r="E59" s="22" t="str">
        <x:v>GELB</x:v>
      </x:c>
      <x:c r="F59" s="22" t="str">
        <x:v>GELB_KLEINER_MAUERREST</x:v>
      </x:c>
      <x:c r="G59" s="22" t="str"/>
      <x:c r="H59" s="22" t="n">
        <x:f>COUNTIFS('Ortszuordnung'!$E$5:$E$85,A59,'Ortszuordnung'!$B$5:$B$85,"REGULAER")</x:f>
        <x:v>1</x:v>
      </x:c>
      <x:c r="I59" s="22" t="n">
        <x:f>COUNTIF('Ortszuordnung'!$E$5:$E$85,A59)-H59</x:f>
        <x:v>0</x:v>
      </x:c>
      <x:c r="J59" s="22" t="str">
        <x:f>IF(E59="ROT","AUSSCHLUSS",IF(H59&gt;0,"KERNQUEST",IF(I59&gt;0,"SONDERQUEST",IF(G59&lt;&gt;"","SUPPORT","RESERVE"))))</x:f>
        <x:v>KERNQUEST</x:v>
      </x:c>
      <x:c r="K59" s="22" t="n">
        <x:v>85</x:v>
      </x:c>
      <x:c r="L59" s="22" t="str">
        <x:v>Cavalleggero Pontificio</x:v>
      </x:c>
      <x:c r="M59" s="22" t="str">
        <x:f>IF(J59="AUSSCHLUSS","Nicht als Pflichtort; nur nach neuer Evidenz neu bewerten.",IF(J59="KERNQUEST","In regulärer Quest gruppiert; aktuelle Sicht und blinden Test vor Release abschließen.",IF(J59="SONDERQUEST","Für Medien-, Hidden- oder Bossinhalt vorgesehen; separate Slot- oder Eventregel.",IF(J59="SUPPORT","Nur als Supportpunkt behalten; keine zusätzliche Pflichtquest.","Als Ersatz- oder späterer Questkandidat erhalten."))))</x:f>
        <x:v>In regulärer Quest gruppiert; aktuelle Sicht und blinden Test vor Release abschließen.</x:v>
      </x:c>
    </x:row>
    <x:row r="60" ht="38" customHeight="1">
      <x:c r="A60" s="22" t="str">
        <x:v>place_day_2_piazza_del_campidoglio</x:v>
      </x:c>
      <x:c r="B60" s="22" t="str">
        <x:v>DAY_2</x:v>
      </x:c>
      <x:c r="C60" s="22" t="str">
        <x:v>D2_CAMPIDOGLIO_FORI_TRAIANEI</x:v>
      </x:c>
      <x:c r="D60" s="22" t="str">
        <x:v>Kapitolsplatz</x:v>
      </x:c>
      <x:c r="E60" s="22" t="str">
        <x:v>GRUEN</x:v>
      </x:c>
      <x:c r="F60" s="22" t="str">
        <x:v>GRUEN_KONZEPTREIF</x:v>
      </x:c>
      <x:c r="G60" s="22" t="str">
        <x:v>REVIVE_POINT_CANDIDATE</x:v>
      </x:c>
      <x:c r="H60" s="22" t="n">
        <x:f>COUNTIFS('Ortszuordnung'!$E$5:$E$85,A60,'Ortszuordnung'!$B$5:$B$85,"REGULAER")</x:f>
        <x:v>1</x:v>
      </x:c>
      <x:c r="I60" s="22" t="n">
        <x:f>COUNTIF('Ortszuordnung'!$E$5:$E$85,A60)-H60</x:f>
        <x:v>0</x:v>
      </x:c>
      <x:c r="J60" s="22" t="str">
        <x:f>IF(E60="ROT","AUSSCHLUSS",IF(H60&gt;0,"KERNQUEST",IF(I60&gt;0,"SONDERQUEST",IF(G60&lt;&gt;"","SUPPORT","RESERVE"))))</x:f>
        <x:v>KERNQUEST</x:v>
      </x:c>
      <x:c r="K60" s="22" t="n">
        <x:v>93</x:v>
      </x:c>
      <x:c r="L60" s="22" t="str"/>
      <x:c r="M60" s="22" t="str">
        <x:f>IF(J60="AUSSCHLUSS","Nicht als Pflichtort; nur nach neuer Evidenz neu bewerten.",IF(J60="KERNQUEST","In regulärer Quest gruppiert; aktuelle Sicht und blinden Test vor Release abschließen.",IF(J60="SONDERQUEST","Für Medien-, Hidden- oder Bossinhalt vorgesehen; separate Slot- oder Eventregel.",IF(J60="SUPPORT","Nur als Supportpunkt behalten; keine zusätzliche Pflichtquest.","Als Ersatz- oder späterer Questkandidat erhalten."))))</x:f>
        <x:v>In regulärer Quest gruppiert; aktuelle Sicht und blinden Test vor Release abschließen.</x:v>
      </x:c>
    </x:row>
    <x:row r="61" ht="38" customHeight="1">
      <x:c r="A61" s="22" t="str">
        <x:v>place_day_2_giulio_cesare</x:v>
      </x:c>
      <x:c r="B61" s="22" t="str">
        <x:v>DAY_2</x:v>
      </x:c>
      <x:c r="C61" s="22" t="str">
        <x:v>D2_CAMPIDOGLIO_FORI_TRAIANEI</x:v>
      </x:c>
      <x:c r="D61" s="22" t="str">
        <x:v>Giulio Cesare</x:v>
      </x:c>
      <x:c r="E61" s="22" t="str">
        <x:v>GELB</x:v>
      </x:c>
      <x:c r="F61" s="22" t="str">
        <x:v>GELB_QUELLENLAGE</x:v>
      </x:c>
      <x:c r="G61" s="22" t="str"/>
      <x:c r="H61" s="22" t="n">
        <x:f>COUNTIFS('Ortszuordnung'!$E$5:$E$85,A61,'Ortszuordnung'!$B$5:$B$85,"REGULAER")</x:f>
        <x:v>1</x:v>
      </x:c>
      <x:c r="I61" s="22" t="n">
        <x:f>COUNTIF('Ortszuordnung'!$E$5:$E$85,A61)-H61</x:f>
        <x:v>0</x:v>
      </x:c>
      <x:c r="J61" s="22" t="str">
        <x:f>IF(E61="ROT","AUSSCHLUSS",IF(H61&gt;0,"KERNQUEST",IF(I61&gt;0,"SONDERQUEST",IF(G61&lt;&gt;"","SUPPORT","RESERVE"))))</x:f>
        <x:v>KERNQUEST</x:v>
      </x:c>
      <x:c r="K61" s="22" t="n">
        <x:v>84</x:v>
      </x:c>
      <x:c r="L61" s="22" t="str">
        <x:v>Cesare di Bronzo</x:v>
      </x:c>
      <x:c r="M61" s="22" t="str">
        <x:f>IF(J61="AUSSCHLUSS","Nicht als Pflichtort; nur nach neuer Evidenz neu bewerten.",IF(J61="KERNQUEST","In regulärer Quest gruppiert; aktuelle Sicht und blinden Test vor Release abschließen.",IF(J61="SONDERQUEST","Für Medien-, Hidden- oder Bossinhalt vorgesehen; separate Slot- oder Eventregel.",IF(J61="SUPPORT","Nur als Supportpunkt behalten; keine zusätzliche Pflichtquest.","Als Ersatz- oder späterer Questkandidat erhalten."))))</x:f>
        <x:v>In regulärer Quest gruppiert; aktuelle Sicht und blinden Test vor Release abschließen.</x:v>
      </x:c>
    </x:row>
    <x:row r="62" ht="38" customHeight="1">
      <x:c r="A62" s="22" t="str">
        <x:v>place_day_2_altare_della_patria</x:v>
      </x:c>
      <x:c r="B62" s="22" t="str">
        <x:v>DAY_2</x:v>
      </x:c>
      <x:c r="C62" s="22" t="str">
        <x:v>D2_CAMPIDOGLIO_FORI_TRAIANEI</x:v>
      </x:c>
      <x:c r="D62" s="22" t="str">
        <x:v>Nationaldenkmal für Viktor Emanuel II.</x:v>
      </x:c>
      <x:c r="E62" s="22" t="str">
        <x:v>GRUEN</x:v>
      </x:c>
      <x:c r="F62" s="22" t="str">
        <x:v>GRUEN_MENSCHENMENGE</x:v>
      </x:c>
      <x:c r="G62" s="22" t="str"/>
      <x:c r="H62" s="22" t="n">
        <x:f>COUNTIFS('Ortszuordnung'!$E$5:$E$85,A62,'Ortszuordnung'!$B$5:$B$85,"REGULAER")</x:f>
        <x:v>1</x:v>
      </x:c>
      <x:c r="I62" s="22" t="n">
        <x:f>COUNTIF('Ortszuordnung'!$E$5:$E$85,A62)-H62</x:f>
        <x:v>0</x:v>
      </x:c>
      <x:c r="J62" s="22" t="str">
        <x:f>IF(E62="ROT","AUSSCHLUSS",IF(H62&gt;0,"KERNQUEST",IF(I62&gt;0,"SONDERQUEST",IF(G62&lt;&gt;"","SUPPORT","RESERVE"))))</x:f>
        <x:v>KERNQUEST</x:v>
      </x:c>
      <x:c r="K62" s="22" t="n">
        <x:v>88</x:v>
      </x:c>
      <x:c r="L62" s="22" t="str">
        <x:v>Quadriga dell’Unità</x:v>
      </x:c>
      <x:c r="M62" s="22" t="str">
        <x:f>IF(J62="AUSSCHLUSS","Nicht als Pflichtort; nur nach neuer Evidenz neu bewerten.",IF(J62="KERNQUEST","In regulärer Quest gruppiert; aktuelle Sicht und blinden Test vor Release abschließen.",IF(J62="SONDERQUEST","Für Medien-, Hidden- oder Bossinhalt vorgesehen; separate Slot- oder Eventregel.",IF(J62="SUPPORT","Nur als Supportpunkt behalten; keine zusätzliche Pflichtquest.","Als Ersatz- oder späterer Questkandidat erhalten."))))</x:f>
        <x:v>In regulärer Quest gruppiert; aktuelle Sicht und blinden Test vor Release abschließen.</x:v>
      </x:c>
    </x:row>
    <x:row r="63" ht="38" customHeight="1">
      <x:c r="A63" s="22" t="str">
        <x:v>place_day_2_arco_di_settimio_severo</x:v>
      </x:c>
      <x:c r="B63" s="22" t="str">
        <x:v>DAY_2</x:v>
      </x:c>
      <x:c r="C63" s="22" t="str">
        <x:v>D2_CAMPIDOGLIO_FORI_TRAIANEI</x:v>
      </x:c>
      <x:c r="D63" s="22" t="str">
        <x:v>Arco di Settimio Severo</x:v>
      </x:c>
      <x:c r="E63" s="22" t="str">
        <x:v>GELB</x:v>
      </x:c>
      <x:c r="F63" s="22" t="str">
        <x:v>GELB_DISTANZ</x:v>
      </x:c>
      <x:c r="G63" s="22" t="str"/>
      <x:c r="H63" s="22" t="n">
        <x:f>COUNTIFS('Ortszuordnung'!$E$5:$E$85,A63,'Ortszuordnung'!$B$5:$B$85,"REGULAER")</x:f>
        <x:v>0</x:v>
      </x:c>
      <x:c r="I63" s="22" t="n">
        <x:f>COUNTIF('Ortszuordnung'!$E$5:$E$85,A63)-H63</x:f>
        <x:v>0</x:v>
      </x:c>
      <x:c r="J63" s="22" t="str">
        <x:f>IF(E63="ROT","AUSSCHLUSS",IF(H63&gt;0,"KERNQUEST",IF(I63&gt;0,"SONDERQUEST",IF(G63&lt;&gt;"","SUPPORT","RESERVE"))))</x:f>
        <x:v>RESERVE</x:v>
      </x:c>
      <x:c r="K63" s="22" t="n">
        <x:v>91</x:v>
      </x:c>
      <x:c r="L63" s="22" t="str"/>
      <x:c r="M63" s="22" t="str">
        <x:f>IF(J63="AUSSCHLUSS","Nicht als Pflichtort; nur nach neuer Evidenz neu bewerten.",IF(J63="KERNQUEST","In regulärer Quest gruppiert; aktuelle Sicht und blinden Test vor Release abschließen.",IF(J63="SONDERQUEST","Für Medien-, Hidden- oder Bossinhalt vorgesehen; separate Slot- oder Eventregel.",IF(J63="SUPPORT","Nur als Supportpunkt behalten; keine zusätzliche Pflichtquest.","Als Ersatz- oder späterer Questkandidat erhalten."))))</x:f>
        <x:v>Als Ersatz- oder späterer Questkandidat erhalten.</x:v>
      </x:c>
    </x:row>
    <x:row r="64" ht="38" customHeight="1">
      <x:c r="A64" s="22" t="str">
        <x:v>place_day_2_arco_di_costantino</x:v>
      </x:c>
      <x:c r="B64" s="22" t="str">
        <x:v>DAY_2</x:v>
      </x:c>
      <x:c r="C64" s="22" t="str">
        <x:v>D2_FORUM_COLOSSEO</x:v>
      </x:c>
      <x:c r="D64" s="22" t="str">
        <x:v>Konstantinsbogen</x:v>
      </x:c>
      <x:c r="E64" s="22" t="str">
        <x:v>GRUEN</x:v>
      </x:c>
      <x:c r="F64" s="22" t="str">
        <x:v>GRUEN_AUSSENPUNKT</x:v>
      </x:c>
      <x:c r="G64" s="22" t="str"/>
      <x:c r="H64" s="22" t="n">
        <x:f>COUNTIFS('Ortszuordnung'!$E$5:$E$85,A64,'Ortszuordnung'!$B$5:$B$85,"REGULAER")</x:f>
        <x:v>1</x:v>
      </x:c>
      <x:c r="I64" s="22" t="n">
        <x:f>COUNTIF('Ortszuordnung'!$E$5:$E$85,A64)-H64</x:f>
        <x:v>0</x:v>
      </x:c>
      <x:c r="J64" s="22" t="str">
        <x:f>IF(E64="ROT","AUSSCHLUSS",IF(H64&gt;0,"KERNQUEST",IF(I64&gt;0,"SONDERQUEST",IF(G64&lt;&gt;"","SUPPORT","RESERVE"))))</x:f>
        <x:v>KERNQUEST</x:v>
      </x:c>
      <x:c r="K64" s="22" t="n">
        <x:v>91</x:v>
      </x:c>
      <x:c r="L64" s="22" t="str"/>
      <x:c r="M64" s="22" t="str">
        <x:f>IF(J64="AUSSCHLUSS","Nicht als Pflichtort; nur nach neuer Evidenz neu bewerten.",IF(J64="KERNQUEST","In regulärer Quest gruppiert; aktuelle Sicht und blinden Test vor Release abschließen.",IF(J64="SONDERQUEST","Für Medien-, Hidden- oder Bossinhalt vorgesehen; separate Slot- oder Eventregel.",IF(J64="SUPPORT","Nur als Supportpunkt behalten; keine zusätzliche Pflichtquest.","Als Ersatz- oder späterer Questkandidat erhalten."))))</x:f>
        <x:v>In regulärer Quest gruppiert; aktuelle Sicht und blinden Test vor Release abschließen.</x:v>
      </x:c>
    </x:row>
    <x:row r="65" ht="38" customHeight="1">
      <x:c r="A65" s="22" t="str">
        <x:v>place_day_2_colosseo</x:v>
      </x:c>
      <x:c r="B65" s="22" t="str">
        <x:v>DAY_2</x:v>
      </x:c>
      <x:c r="C65" s="22" t="str">
        <x:v>D2_FORUM_COLOSSEO</x:v>
      </x:c>
      <x:c r="D65" s="22" t="str">
        <x:v>Kolosseum</x:v>
      </x:c>
      <x:c r="E65" s="22" t="str">
        <x:v>GRUEN</x:v>
      </x:c>
      <x:c r="F65" s="22" t="str">
        <x:v>GRUEN_AUSSENPUNKT</x:v>
      </x:c>
      <x:c r="G65" s="22" t="str">
        <x:v>MEDIA_QUEST_LOCATION|LOCAL_MEDIA_QUEST|STORE_LOCATION_CANDIDATE</x:v>
      </x:c>
      <x:c r="H65" s="22" t="n">
        <x:f>COUNTIFS('Ortszuordnung'!$E$5:$E$85,A65,'Ortszuordnung'!$B$5:$B$85,"REGULAER")</x:f>
        <x:v>1</x:v>
      </x:c>
      <x:c r="I65" s="22" t="n">
        <x:f>COUNTIF('Ortszuordnung'!$E$5:$E$85,A65)-H65</x:f>
        <x:v>1</x:v>
      </x:c>
      <x:c r="J65" s="22" t="str">
        <x:f>IF(E65="ROT","AUSSCHLUSS",IF(H65&gt;0,"KERNQUEST",IF(I65&gt;0,"SONDERQUEST",IF(G65&lt;&gt;"","SUPPORT","RESERVE"))))</x:f>
        <x:v>KERNQUEST</x:v>
      </x:c>
      <x:c r="K65" s="22" t="n">
        <x:v>84</x:v>
      </x:c>
      <x:c r="L65" s="22" t="str"/>
      <x:c r="M65" s="22" t="str">
        <x:f>IF(J65="AUSSCHLUSS","Nicht als Pflichtort; nur nach neuer Evidenz neu bewerten.",IF(J65="KERNQUEST","In regulärer Quest gruppiert; aktuelle Sicht und blinden Test vor Release abschließen.",IF(J65="SONDERQUEST","Für Medien-, Hidden- oder Bossinhalt vorgesehen; separate Slot- oder Eventregel.",IF(J65="SUPPORT","Nur als Supportpunkt behalten; keine zusätzliche Pflichtquest.","Als Ersatz- oder späterer Questkandidat erhalten."))))</x:f>
        <x:v>In regulärer Quest gruppiert; aktuelle Sicht und blinden Test vor Release abschließen.</x:v>
      </x:c>
    </x:row>
    <x:row r="66" ht="38" customHeight="1">
      <x:c r="A66" s="22" t="str">
        <x:v>place_day_2_ludus_magnus</x:v>
      </x:c>
      <x:c r="B66" s="22" t="str">
        <x:v>DAY_2</x:v>
      </x:c>
      <x:c r="C66" s="22" t="str">
        <x:v>D2_FORUM_COLOSSEO</x:v>
      </x:c>
      <x:c r="D66" s="22" t="str">
        <x:v>Ludus Magnus</x:v>
      </x:c>
      <x:c r="E66" s="22" t="str">
        <x:v>GRUEN</x:v>
      </x:c>
      <x:c r="F66" s="22" t="str">
        <x:v>GRUEN_AUSSENPUNKT</x:v>
      </x:c>
      <x:c r="G66" s="22" t="str"/>
      <x:c r="H66" s="22" t="n">
        <x:f>COUNTIFS('Ortszuordnung'!$E$5:$E$85,A66,'Ortszuordnung'!$B$5:$B$85,"REGULAER")</x:f>
        <x:v>1</x:v>
      </x:c>
      <x:c r="I66" s="22" t="n">
        <x:f>COUNTIF('Ortszuordnung'!$E$5:$E$85,A66)-H66</x:f>
        <x:v>0</x:v>
      </x:c>
      <x:c r="J66" s="22" t="str">
        <x:f>IF(E66="ROT","AUSSCHLUSS",IF(H66&gt;0,"KERNQUEST",IF(I66&gt;0,"SONDERQUEST",IF(G66&lt;&gt;"","SUPPORT","RESERVE"))))</x:f>
        <x:v>KERNQUEST</x:v>
      </x:c>
      <x:c r="K66" s="22" t="n">
        <x:v>80</x:v>
      </x:c>
      <x:c r="L66" s="22" t="str"/>
      <x:c r="M66" s="22" t="str">
        <x:f>IF(J66="AUSSCHLUSS","Nicht als Pflichtort; nur nach neuer Evidenz neu bewerten.",IF(J66="KERNQUEST","In regulärer Quest gruppiert; aktuelle Sicht und blinden Test vor Release abschließen.",IF(J66="SONDERQUEST","Für Medien-, Hidden- oder Bossinhalt vorgesehen; separate Slot- oder Eventregel.",IF(J66="SUPPORT","Nur als Supportpunkt behalten; keine zusätzliche Pflichtquest.","Als Ersatz- oder späterer Questkandidat erhalten."))))</x:f>
        <x:v>In regulärer Quest gruppiert; aktuelle Sicht und blinden Test vor Release abschließen.</x:v>
      </x:c>
    </x:row>
    <x:row r="67" ht="38" customHeight="1">
      <x:c r="A67" s="22" t="str">
        <x:v>place_day_2_fontana_della_navicella</x:v>
      </x:c>
      <x:c r="B67" s="22" t="str">
        <x:v>DAY_2</x:v>
      </x:c>
      <x:c r="C67" s="22" t="str">
        <x:v>D2_FORUM_COLOSSEO</x:v>
      </x:c>
      <x:c r="D67" s="22" t="str">
        <x:v>Fontana della Navicella</x:v>
      </x:c>
      <x:c r="E67" s="22" t="str">
        <x:v>GRUEN</x:v>
      </x:c>
      <x:c r="F67" s="22" t="str">
        <x:v>GRUEN_KONZEPTREIF</x:v>
      </x:c>
      <x:c r="G67" s="22" t="str"/>
      <x:c r="H67" s="22" t="n">
        <x:f>COUNTIFS('Ortszuordnung'!$E$5:$E$85,A67,'Ortszuordnung'!$B$5:$B$85,"REGULAER")</x:f>
        <x:v>1</x:v>
      </x:c>
      <x:c r="I67" s="22" t="n">
        <x:f>COUNTIF('Ortszuordnung'!$E$5:$E$85,A67)-H67</x:f>
        <x:v>0</x:v>
      </x:c>
      <x:c r="J67" s="22" t="str">
        <x:f>IF(E67="ROT","AUSSCHLUSS",IF(H67&gt;0,"KERNQUEST",IF(I67&gt;0,"SONDERQUEST",IF(G67&lt;&gt;"","SUPPORT","RESERVE"))))</x:f>
        <x:v>KERNQUEST</x:v>
      </x:c>
      <x:c r="K67" s="22" t="n">
        <x:v>85</x:v>
      </x:c>
      <x:c r="L67" s="22" t="str">
        <x:v>Nocchiero della Navicella</x:v>
      </x:c>
      <x:c r="M67" s="22" t="str">
        <x:f>IF(J67="AUSSCHLUSS","Nicht als Pflichtort; nur nach neuer Evidenz neu bewerten.",IF(J67="KERNQUEST","In regulärer Quest gruppiert; aktuelle Sicht und blinden Test vor Release abschließen.",IF(J67="SONDERQUEST","Für Medien-, Hidden- oder Bossinhalt vorgesehen; separate Slot- oder Eventregel.",IF(J67="SUPPORT","Nur als Supportpunkt behalten; keine zusätzliche Pflichtquest.","Als Ersatz- oder späterer Questkandidat erhalten."))))</x:f>
        <x:v>In regulärer Quest gruppiert; aktuelle Sicht und blinden Test vor Release abschließen.</x:v>
      </x:c>
    </x:row>
    <x:row r="68" ht="38" customHeight="1">
      <x:c r="A68" s="22" t="str">
        <x:v>place_day_2_bocca_della_verita</x:v>
      </x:c>
      <x:c r="B68" s="22" t="str">
        <x:v>DAY_2</x:v>
      </x:c>
      <x:c r="C68" s="22" t="str">
        <x:v>D2_AVENTINO_FORUM_BOARIUM</x:v>
      </x:c>
      <x:c r="D68" s="22" t="str">
        <x:v>Mund der Wahrheit</x:v>
      </x:c>
      <x:c r="E68" s="22" t="str">
        <x:v>GELB</x:v>
      </x:c>
      <x:c r="F68" s="22" t="str">
        <x:v>GELB_WARTESCHLANGE</x:v>
      </x:c>
      <x:c r="G68" s="22" t="str"/>
      <x:c r="H68" s="22" t="n">
        <x:f>COUNTIFS('Ortszuordnung'!$E$5:$E$85,A68,'Ortszuordnung'!$B$5:$B$85,"REGULAER")</x:f>
        <x:v>1</x:v>
      </x:c>
      <x:c r="I68" s="22" t="n">
        <x:f>COUNTIF('Ortszuordnung'!$E$5:$E$85,A68)-H68</x:f>
        <x:v>0</x:v>
      </x:c>
      <x:c r="J68" s="22" t="str">
        <x:f>IF(E68="ROT","AUSSCHLUSS",IF(H68&gt;0,"KERNQUEST",IF(I68&gt;0,"SONDERQUEST",IF(G68&lt;&gt;"","SUPPORT","RESERVE"))))</x:f>
        <x:v>KERNQUEST</x:v>
      </x:c>
      <x:c r="K68" s="22" t="n">
        <x:v>88</x:v>
      </x:c>
      <x:c r="L68" s="22" t="str"/>
      <x:c r="M68" s="22" t="str">
        <x:f>IF(J68="AUSSCHLUSS","Nicht als Pflichtort; nur nach neuer Evidenz neu bewerten.",IF(J68="KERNQUEST","In regulärer Quest gruppiert; aktuelle Sicht und blinden Test vor Release abschließen.",IF(J68="SONDERQUEST","Für Medien-, Hidden- oder Bossinhalt vorgesehen; separate Slot- oder Eventregel.",IF(J68="SUPPORT","Nur als Supportpunkt behalten; keine zusätzliche Pflichtquest.","Als Ersatz- oder späterer Questkandidat erhalten."))))</x:f>
        <x:v>In regulärer Quest gruppiert; aktuelle Sicht und blinden Test vor Release abschließen.</x:v>
      </x:c>
    </x:row>
    <x:row r="69" ht="38" customHeight="1">
      <x:c r="A69" s="22" t="str">
        <x:v>place_day_2_tempio_di_ercole_vincitore</x:v>
      </x:c>
      <x:c r="B69" s="22" t="str">
        <x:v>DAY_2</x:v>
      </x:c>
      <x:c r="C69" s="22" t="str">
        <x:v>D2_AVENTINO_FORUM_BOARIUM</x:v>
      </x:c>
      <x:c r="D69" s="22" t="str">
        <x:v>Tempel des Hercules Victor</x:v>
      </x:c>
      <x:c r="E69" s="22" t="str">
        <x:v>GRUEN</x:v>
      </x:c>
      <x:c r="F69" s="22" t="str">
        <x:v>GRUEN_AUSSENPUNKT</x:v>
      </x:c>
      <x:c r="G69" s="22" t="str"/>
      <x:c r="H69" s="22" t="n">
        <x:f>COUNTIFS('Ortszuordnung'!$E$5:$E$85,A69,'Ortszuordnung'!$B$5:$B$85,"REGULAER")</x:f>
        <x:v>1</x:v>
      </x:c>
      <x:c r="I69" s="22" t="n">
        <x:f>COUNTIF('Ortszuordnung'!$E$5:$E$85,A69)-H69</x:f>
        <x:v>0</x:v>
      </x:c>
      <x:c r="J69" s="22" t="str">
        <x:f>IF(E69="ROT","AUSSCHLUSS",IF(H69&gt;0,"KERNQUEST",IF(I69&gt;0,"SONDERQUEST",IF(G69&lt;&gt;"","SUPPORT","RESERVE"))))</x:f>
        <x:v>KERNQUEST</x:v>
      </x:c>
      <x:c r="K69" s="22" t="n">
        <x:v>83</x:v>
      </x:c>
      <x:c r="L69" s="22" t="str"/>
      <x:c r="M69" s="22" t="str">
        <x:f>IF(J69="AUSSCHLUSS","Nicht als Pflichtort; nur nach neuer Evidenz neu bewerten.",IF(J69="KERNQUEST","In regulärer Quest gruppiert; aktuelle Sicht und blinden Test vor Release abschließen.",IF(J69="SONDERQUEST","Für Medien-, Hidden- oder Bossinhalt vorgesehen; separate Slot- oder Eventregel.",IF(J69="SUPPORT","Nur als Supportpunkt behalten; keine zusätzliche Pflichtquest.","Als Ersatz- oder späterer Questkandidat erhalten."))))</x:f>
        <x:v>In regulärer Quest gruppiert; aktuelle Sicht und blinden Test vor Release abschließen.</x:v>
      </x:c>
    </x:row>
    <x:row r="70" ht="38" customHeight="1">
      <x:c r="A70" s="22" t="str">
        <x:v>place_day_2_arco_degli_argentari</x:v>
      </x:c>
      <x:c r="B70" s="22" t="str">
        <x:v>DAY_2</x:v>
      </x:c>
      <x:c r="C70" s="22" t="str">
        <x:v>D2_AVENTINO_FORUM_BOARIUM</x:v>
      </x:c>
      <x:c r="D70" s="22" t="str">
        <x:v>Arco degli Argentari</x:v>
      </x:c>
      <x:c r="E70" s="22" t="str">
        <x:v>GRUEN</x:v>
      </x:c>
      <x:c r="F70" s="22" t="str">
        <x:v>GRUEN_KONZEPTREIF</x:v>
      </x:c>
      <x:c r="G70" s="22" t="str"/>
      <x:c r="H70" s="22" t="n">
        <x:f>COUNTIFS('Ortszuordnung'!$E$5:$E$85,A70,'Ortszuordnung'!$B$5:$B$85,"REGULAER")</x:f>
        <x:v>1</x:v>
      </x:c>
      <x:c r="I70" s="22" t="n">
        <x:f>COUNTIF('Ortszuordnung'!$E$5:$E$85,A70)-H70</x:f>
        <x:v>0</x:v>
      </x:c>
      <x:c r="J70" s="22" t="str">
        <x:f>IF(E70="ROT","AUSSCHLUSS",IF(H70&gt;0,"KERNQUEST",IF(I70&gt;0,"SONDERQUEST",IF(G70&lt;&gt;"","SUPPORT","RESERVE"))))</x:f>
        <x:v>KERNQUEST</x:v>
      </x:c>
      <x:c r="K70" s="22" t="n">
        <x:v>89</x:v>
      </x:c>
      <x:c r="L70" s="22" t="str"/>
      <x:c r="M70" s="22" t="str">
        <x:f>IF(J70="AUSSCHLUSS","Nicht als Pflichtort; nur nach neuer Evidenz neu bewerten.",IF(J70="KERNQUEST","In regulärer Quest gruppiert; aktuelle Sicht und blinden Test vor Release abschließen.",IF(J70="SONDERQUEST","Für Medien-, Hidden- oder Bossinhalt vorgesehen; separate Slot- oder Eventregel.",IF(J70="SUPPORT","Nur als Supportpunkt behalten; keine zusätzliche Pflichtquest.","Als Ersatz- oder späterer Questkandidat erhalten."))))</x:f>
        <x:v>In regulärer Quest gruppiert; aktuelle Sicht und blinden Test vor Release abschließen.</x:v>
      </x:c>
    </x:row>
    <x:row r="71" ht="38" customHeight="1">
      <x:c r="A71" s="22" t="str">
        <x:v>place_day_2_arco_di_giano</x:v>
      </x:c>
      <x:c r="B71" s="22" t="str">
        <x:v>DAY_2</x:v>
      </x:c>
      <x:c r="C71" s="22" t="str">
        <x:v>D2_AVENTINO_FORUM_BOARIUM</x:v>
      </x:c>
      <x:c r="D71" s="22" t="str">
        <x:v>Janusbogen</x:v>
      </x:c>
      <x:c r="E71" s="22" t="str">
        <x:v>GRUEN</x:v>
      </x:c>
      <x:c r="F71" s="22" t="str">
        <x:v>GRUEN_KONZEPTREIF</x:v>
      </x:c>
      <x:c r="G71" s="22" t="str"/>
      <x:c r="H71" s="22" t="n">
        <x:f>COUNTIFS('Ortszuordnung'!$E$5:$E$85,A71,'Ortszuordnung'!$B$5:$B$85,"REGULAER")</x:f>
        <x:v>1</x:v>
      </x:c>
      <x:c r="I71" s="22" t="n">
        <x:f>COUNTIF('Ortszuordnung'!$E$5:$E$85,A71)-H71</x:f>
        <x:v>0</x:v>
      </x:c>
      <x:c r="J71" s="22" t="str">
        <x:f>IF(E71="ROT","AUSSCHLUSS",IF(H71&gt;0,"KERNQUEST",IF(I71&gt;0,"SONDERQUEST",IF(G71&lt;&gt;"","SUPPORT","RESERVE"))))</x:f>
        <x:v>KERNQUEST</x:v>
      </x:c>
      <x:c r="K71" s="22" t="n">
        <x:v>88</x:v>
      </x:c>
      <x:c r="L71" s="22" t="str"/>
      <x:c r="M71" s="22" t="str">
        <x:f>IF(J71="AUSSCHLUSS","Nicht als Pflichtort; nur nach neuer Evidenz neu bewerten.",IF(J71="KERNQUEST","In regulärer Quest gruppiert; aktuelle Sicht und blinden Test vor Release abschließen.",IF(J71="SONDERQUEST","Für Medien-, Hidden- oder Bossinhalt vorgesehen; separate Slot- oder Eventregel.",IF(J71="SUPPORT","Nur als Supportpunkt behalten; keine zusätzliche Pflichtquest.","Als Ersatz- oder späterer Questkandidat erhalten."))))</x:f>
        <x:v>In regulärer Quest gruppiert; aktuelle Sicht und blinden Test vor Release abschließen.</x:v>
      </x:c>
    </x:row>
    <x:row r="72" ht="38" customHeight="1">
      <x:c r="A72" s="22" t="str">
        <x:v>place_day_2_basilica_di_san_giovanni_in_laterano</x:v>
      </x:c>
      <x:c r="B72" s="22" t="str">
        <x:v>DAY_2</x:v>
      </x:c>
      <x:c r="C72" s="22" t="str">
        <x:v>D2_CELIO_SAN_GIOVANNI</x:v>
      </x:c>
      <x:c r="D72" s="22" t="str">
        <x:v>Lateranbasilika</x:v>
      </x:c>
      <x:c r="E72" s="22" t="str">
        <x:v>GRUEN</x:v>
      </x:c>
      <x:c r="F72" s="22" t="str">
        <x:v>GRUEN_AUSSENPUNKT</x:v>
      </x:c>
      <x:c r="G72" s="22" t="str"/>
      <x:c r="H72" s="22" t="n">
        <x:f>COUNTIFS('Ortszuordnung'!$E$5:$E$85,A72,'Ortszuordnung'!$B$5:$B$85,"REGULAER")</x:f>
        <x:v>1</x:v>
      </x:c>
      <x:c r="I72" s="22" t="n">
        <x:f>COUNTIF('Ortszuordnung'!$E$5:$E$85,A72)-H72</x:f>
        <x:v>0</x:v>
      </x:c>
      <x:c r="J72" s="22" t="str">
        <x:f>IF(E72="ROT","AUSSCHLUSS",IF(H72&gt;0,"KERNQUEST",IF(I72&gt;0,"SONDERQUEST",IF(G72&lt;&gt;"","SUPPORT","RESERVE"))))</x:f>
        <x:v>KERNQUEST</x:v>
      </x:c>
      <x:c r="K72" s="22" t="n">
        <x:v>81</x:v>
      </x:c>
      <x:c r="L72" s="22" t="str"/>
      <x:c r="M72" s="22" t="str">
        <x:f>IF(J72="AUSSCHLUSS","Nicht als Pflichtort; nur nach neuer Evidenz neu bewerten.",IF(J72="KERNQUEST","In regulärer Quest gruppiert; aktuelle Sicht und blinden Test vor Release abschließen.",IF(J72="SONDERQUEST","Für Medien-, Hidden- oder Bossinhalt vorgesehen; separate Slot- oder Eventregel.",IF(J72="SUPPORT","Nur als Supportpunkt behalten; keine zusätzliche Pflichtquest.","Als Ersatz- oder späterer Questkandidat erhalten."))))</x:f>
        <x:v>In regulärer Quest gruppiert; aktuelle Sicht und blinden Test vor Release abschließen.</x:v>
      </x:c>
    </x:row>
    <x:row r="73" ht="38" customHeight="1">
      <x:c r="A73" s="22" t="str">
        <x:v>place_day_2_obelisco_lateranense</x:v>
      </x:c>
      <x:c r="B73" s="22" t="str">
        <x:v>DAY_2</x:v>
      </x:c>
      <x:c r="C73" s="22" t="str">
        <x:v>D2_CELIO_SAN_GIOVANNI</x:v>
      </x:c>
      <x:c r="D73" s="22" t="str">
        <x:v>Lateranischer Obelisk</x:v>
      </x:c>
      <x:c r="E73" s="22" t="str">
        <x:v>GRUEN</x:v>
      </x:c>
      <x:c r="F73" s="22" t="str">
        <x:v>GRUEN_KONZEPTREIF</x:v>
      </x:c>
      <x:c r="G73" s="22" t="str"/>
      <x:c r="H73" s="22" t="n">
        <x:f>COUNTIFS('Ortszuordnung'!$E$5:$E$85,A73,'Ortszuordnung'!$B$5:$B$85,"REGULAER")</x:f>
        <x:v>1</x:v>
      </x:c>
      <x:c r="I73" s="22" t="n">
        <x:f>COUNTIF('Ortszuordnung'!$E$5:$E$85,A73)-H73</x:f>
        <x:v>0</x:v>
      </x:c>
      <x:c r="J73" s="22" t="str">
        <x:f>IF(E73="ROT","AUSSCHLUSS",IF(H73&gt;0,"KERNQUEST",IF(I73&gt;0,"SONDERQUEST",IF(G73&lt;&gt;"","SUPPORT","RESERVE"))))</x:f>
        <x:v>KERNQUEST</x:v>
      </x:c>
      <x:c r="K73" s="22" t="n">
        <x:v>90</x:v>
      </x:c>
      <x:c r="L73" s="22" t="str"/>
      <x:c r="M73" s="22" t="str">
        <x:f>IF(J73="AUSSCHLUSS","Nicht als Pflichtort; nur nach neuer Evidenz neu bewerten.",IF(J73="KERNQUEST","In regulärer Quest gruppiert; aktuelle Sicht und blinden Test vor Release abschließen.",IF(J73="SONDERQUEST","Für Medien-, Hidden- oder Bossinhalt vorgesehen; separate Slot- oder Eventregel.",IF(J73="SUPPORT","Nur als Supportpunkt behalten; keine zusätzliche Pflichtquest.","Als Ersatz- oder späterer Questkandidat erhalten."))))</x:f>
        <x:v>In regulärer Quest gruppiert; aktuelle Sicht und blinden Test vor Release abschließen.</x:v>
      </x:c>
    </x:row>
    <x:row r="74" ht="38" customHeight="1">
      <x:c r="A74" s="22" t="str">
        <x:v>place_day_2_porta_san_giovanni</x:v>
      </x:c>
      <x:c r="B74" s="22" t="str">
        <x:v>DAY_2</x:v>
      </x:c>
      <x:c r="C74" s="22" t="str">
        <x:v>D2_CELIO_SAN_GIOVANNI</x:v>
      </x:c>
      <x:c r="D74" s="22" t="str">
        <x:v>Porta San Giovanni</x:v>
      </x:c>
      <x:c r="E74" s="22" t="str">
        <x:v>GRUEN</x:v>
      </x:c>
      <x:c r="F74" s="22" t="str">
        <x:v>GRUEN_VERKEHRSABSTAND</x:v>
      </x:c>
      <x:c r="G74" s="22" t="str"/>
      <x:c r="H74" s="22" t="n">
        <x:f>COUNTIFS('Ortszuordnung'!$E$5:$E$85,A74,'Ortszuordnung'!$B$5:$B$85,"REGULAER")</x:f>
        <x:v>1</x:v>
      </x:c>
      <x:c r="I74" s="22" t="n">
        <x:f>COUNTIF('Ortszuordnung'!$E$5:$E$85,A74)-H74</x:f>
        <x:v>0</x:v>
      </x:c>
      <x:c r="J74" s="22" t="str">
        <x:f>IF(E74="ROT","AUSSCHLUSS",IF(H74&gt;0,"KERNQUEST",IF(I74&gt;0,"SONDERQUEST",IF(G74&lt;&gt;"","SUPPORT","RESERVE"))))</x:f>
        <x:v>KERNQUEST</x:v>
      </x:c>
      <x:c r="K74" s="22" t="n">
        <x:v>89</x:v>
      </x:c>
      <x:c r="L74" s="22" t="str"/>
      <x:c r="M74" s="22" t="str">
        <x:f>IF(J74="AUSSCHLUSS","Nicht als Pflichtort; nur nach neuer Evidenz neu bewerten.",IF(J74="KERNQUEST","In regulärer Quest gruppiert; aktuelle Sicht und blinden Test vor Release abschließen.",IF(J74="SONDERQUEST","Für Medien-, Hidden- oder Bossinhalt vorgesehen; separate Slot- oder Eventregel.",IF(J74="SUPPORT","Nur als Supportpunkt behalten; keine zusätzliche Pflichtquest.","Als Ersatz- oder späterer Questkandidat erhalten."))))</x:f>
        <x:v>In regulärer Quest gruppiert; aktuelle Sicht und blinden Test vor Release abschließen.</x:v>
      </x:c>
    </x:row>
    <x:row r="75" ht="38" customHeight="1">
      <x:c r="A75" s="22" t="str">
        <x:v>place_day_2_porta_latina</x:v>
      </x:c>
      <x:c r="B75" s="22" t="str">
        <x:v>DAY_2</x:v>
      </x:c>
      <x:c r="C75" s="22" t="str">
        <x:v>D2_CELIO_SAN_GIOVANNI</x:v>
      </x:c>
      <x:c r="D75" s="22" t="str">
        <x:v>Porta Latina</x:v>
      </x:c>
      <x:c r="E75" s="22" t="str">
        <x:v>GRUEN</x:v>
      </x:c>
      <x:c r="F75" s="22" t="str">
        <x:v>GRUEN_KONZEPTREIF</x:v>
      </x:c>
      <x:c r="G75" s="22" t="str"/>
      <x:c r="H75" s="22" t="n">
        <x:f>COUNTIFS('Ortszuordnung'!$E$5:$E$85,A75,'Ortszuordnung'!$B$5:$B$85,"REGULAER")</x:f>
        <x:v>1</x:v>
      </x:c>
      <x:c r="I75" s="22" t="n">
        <x:f>COUNTIF('Ortszuordnung'!$E$5:$E$85,A75)-H75</x:f>
        <x:v>0</x:v>
      </x:c>
      <x:c r="J75" s="22" t="str">
        <x:f>IF(E75="ROT","AUSSCHLUSS",IF(H75&gt;0,"KERNQUEST",IF(I75&gt;0,"SONDERQUEST",IF(G75&lt;&gt;"","SUPPORT","RESERVE"))))</x:f>
        <x:v>KERNQUEST</x:v>
      </x:c>
      <x:c r="K75" s="22" t="n">
        <x:v>87</x:v>
      </x:c>
      <x:c r="L75" s="22" t="str"/>
      <x:c r="M75" s="22" t="str">
        <x:f>IF(J75="AUSSCHLUSS","Nicht als Pflichtort; nur nach neuer Evidenz neu bewerten.",IF(J75="KERNQUEST","In regulärer Quest gruppiert; aktuelle Sicht und blinden Test vor Release abschließen.",IF(J75="SONDERQUEST","Für Medien-, Hidden- oder Bossinhalt vorgesehen; separate Slot- oder Eventregel.",IF(J75="SUPPORT","Nur als Supportpunkt behalten; keine zusätzliche Pflichtquest.","Als Ersatz- oder späterer Questkandidat erhalten."))))</x:f>
        <x:v>In regulärer Quest gruppiert; aktuelle Sicht und blinden Test vor Release abschließen.</x:v>
      </x:c>
    </x:row>
    <x:row r="76" ht="38" customHeight="1">
      <x:c r="A76" s="22" t="str">
        <x:v>place_day_2_mura_serviane</x:v>
      </x:c>
      <x:c r="B76" s="22" t="str">
        <x:v>DAY_2</x:v>
      </x:c>
      <x:c r="C76" s="22" t="str">
        <x:v>D2_MONTI_ESQUILINO</x:v>
      </x:c>
      <x:c r="D76" s="22" t="str">
        <x:v>Mura Serviane</x:v>
      </x:c>
      <x:c r="E76" s="22" t="str">
        <x:v>GELB</x:v>
      </x:c>
      <x:c r="F76" s="22" t="str">
        <x:v>GELB_EXAKTER_MAUERABSCHNITT</x:v>
      </x:c>
      <x:c r="G76" s="22" t="str"/>
      <x:c r="H76" s="22" t="n">
        <x:f>COUNTIFS('Ortszuordnung'!$E$5:$E$85,A76,'Ortszuordnung'!$B$5:$B$85,"REGULAER")</x:f>
        <x:v>0</x:v>
      </x:c>
      <x:c r="I76" s="22" t="n">
        <x:f>COUNTIF('Ortszuordnung'!$E$5:$E$85,A76)-H76</x:f>
        <x:v>0</x:v>
      </x:c>
      <x:c r="J76" s="22" t="str">
        <x:f>IF(E76="ROT","AUSSCHLUSS",IF(H76&gt;0,"KERNQUEST",IF(I76&gt;0,"SONDERQUEST",IF(G76&lt;&gt;"","SUPPORT","RESERVE"))))</x:f>
        <x:v>RESERVE</x:v>
      </x:c>
      <x:c r="K76" s="22" t="n">
        <x:v>86</x:v>
      </x:c>
      <x:c r="L76" s="22" t="str"/>
      <x:c r="M76" s="22" t="str">
        <x:f>IF(J76="AUSSCHLUSS","Nicht als Pflichtort; nur nach neuer Evidenz neu bewerten.",IF(J76="KERNQUEST","In regulärer Quest gruppiert; aktuelle Sicht und blinden Test vor Release abschließen.",IF(J76="SONDERQUEST","Für Medien-, Hidden- oder Bossinhalt vorgesehen; separate Slot- oder Eventregel.",IF(J76="SUPPORT","Nur als Supportpunkt behalten; keine zusätzliche Pflichtquest.","Als Ersatz- oder späterer Questkandidat erhalten."))))</x:f>
        <x:v>Als Ersatz- oder späterer Questkandidat erhalten.</x:v>
      </x:c>
    </x:row>
    <x:row r="77" ht="38" customHeight="1">
      <x:c r="A77" s="22" t="str">
        <x:v>place_day_2_fontana_delle_anfore</x:v>
      </x:c>
      <x:c r="B77" s="22" t="str">
        <x:v>DAY_2</x:v>
      </x:c>
      <x:c r="C77" s="22" t="str">
        <x:v>D2_MONTI_ESQUILINO</x:v>
      </x:c>
      <x:c r="D77" s="22" t="str">
        <x:v>Fontana delle Anfore</x:v>
      </x:c>
      <x:c r="E77" s="22" t="str">
        <x:v>GRUEN</x:v>
      </x:c>
      <x:c r="F77" s="22" t="str">
        <x:v>GRUEN_PARKZUGANG</x:v>
      </x:c>
      <x:c r="G77" s="22" t="str"/>
      <x:c r="H77" s="22" t="n">
        <x:f>COUNTIFS('Ortszuordnung'!$E$5:$E$85,A77,'Ortszuordnung'!$B$5:$B$85,"REGULAER")</x:f>
        <x:v>0</x:v>
      </x:c>
      <x:c r="I77" s="22" t="n">
        <x:f>COUNTIF('Ortszuordnung'!$E$5:$E$85,A77)-H77</x:f>
        <x:v>0</x:v>
      </x:c>
      <x:c r="J77" s="22" t="str">
        <x:f>IF(E77="ROT","AUSSCHLUSS",IF(H77&gt;0,"KERNQUEST",IF(I77&gt;0,"SONDERQUEST",IF(G77&lt;&gt;"","SUPPORT","RESERVE"))))</x:f>
        <x:v>RESERVE</x:v>
      </x:c>
      <x:c r="K77" s="22" t="n">
        <x:v>83</x:v>
      </x:c>
      <x:c r="L77" s="22" t="str"/>
      <x:c r="M77" s="22" t="str">
        <x:f>IF(J77="AUSSCHLUSS","Nicht als Pflichtort; nur nach neuer Evidenz neu bewerten.",IF(J77="KERNQUEST","In regulärer Quest gruppiert; aktuelle Sicht und blinden Test vor Release abschließen.",IF(J77="SONDERQUEST","Für Medien-, Hidden- oder Bossinhalt vorgesehen; separate Slot- oder Eventregel.",IF(J77="SUPPORT","Nur als Supportpunkt behalten; keine zusätzliche Pflichtquest.","Als Ersatz- oder späterer Questkandidat erhalten."))))</x:f>
        <x:v>Als Ersatz- oder späterer Questkandidat erhalten.</x:v>
      </x:c>
    </x:row>
    <x:row r="78" ht="38" customHeight="1">
      <x:c r="A78" s="22" t="str">
        <x:v>place_day_2_fontana_dei_monti</x:v>
      </x:c>
      <x:c r="B78" s="22" t="str">
        <x:v>DAY_2</x:v>
      </x:c>
      <x:c r="C78" s="22" t="str">
        <x:v>D2_MONTI_ESQUILINO</x:v>
      </x:c>
      <x:c r="D78" s="22" t="str">
        <x:v>Fontana dei Monti</x:v>
      </x:c>
      <x:c r="E78" s="22" t="str">
        <x:v>GRUEN</x:v>
      </x:c>
      <x:c r="F78" s="22" t="str">
        <x:v>GRUEN_KONZEPTREIF</x:v>
      </x:c>
      <x:c r="G78" s="22" t="str"/>
      <x:c r="H78" s="22" t="n">
        <x:f>COUNTIFS('Ortszuordnung'!$E$5:$E$85,A78,'Ortszuordnung'!$B$5:$B$85,"REGULAER")</x:f>
        <x:v>0</x:v>
      </x:c>
      <x:c r="I78" s="22" t="n">
        <x:f>COUNTIF('Ortszuordnung'!$E$5:$E$85,A78)-H78</x:f>
        <x:v>0</x:v>
      </x:c>
      <x:c r="J78" s="22" t="str">
        <x:f>IF(E78="ROT","AUSSCHLUSS",IF(H78&gt;0,"KERNQUEST",IF(I78&gt;0,"SONDERQUEST",IF(G78&lt;&gt;"","SUPPORT","RESERVE"))))</x:f>
        <x:v>RESERVE</x:v>
      </x:c>
      <x:c r="K78" s="22" t="n">
        <x:v>83</x:v>
      </x:c>
      <x:c r="L78" s="22" t="str"/>
      <x:c r="M78" s="22" t="str">
        <x:f>IF(J78="AUSSCHLUSS","Nicht als Pflichtort; nur nach neuer Evidenz neu bewerten.",IF(J78="KERNQUEST","In regulärer Quest gruppiert; aktuelle Sicht und blinden Test vor Release abschließen.",IF(J78="SONDERQUEST","Für Medien-, Hidden- oder Bossinhalt vorgesehen; separate Slot- oder Eventregel.",IF(J78="SUPPORT","Nur als Supportpunkt behalten; keine zusätzliche Pflichtquest.","Als Ersatz- oder späterer Questkandidat erhalten."))))</x:f>
        <x:v>Als Ersatz- oder späterer Questkandidat erhalten.</x:v>
      </x:c>
    </x:row>
    <x:row r="79" ht="38" customHeight="1">
      <x:c r="A79" s="22" t="str">
        <x:v>place_day_2_piazza_vittorio_emanuele_secondo</x:v>
      </x:c>
      <x:c r="B79" s="22" t="str">
        <x:v>DAY_2</x:v>
      </x:c>
      <x:c r="C79" s="22" t="str">
        <x:v>D2_MONTI_ESQUILINO</x:v>
      </x:c>
      <x:c r="D79" s="22" t="str">
        <x:v>Piazza Vittorio Emanuele Secondo</x:v>
      </x:c>
      <x:c r="E79" s="22" t="str">
        <x:v>GELB</x:v>
      </x:c>
      <x:c r="F79" s="22" t="str">
        <x:v>GELB_PARKOEFFNUNG</x:v>
      </x:c>
      <x:c r="G79" s="22" t="str">
        <x:v>REVIVE_POINT_CANDIDATE|STORE_LOCATION_CANDIDATE</x:v>
      </x:c>
      <x:c r="H79" s="22" t="n">
        <x:f>COUNTIFS('Ortszuordnung'!$E$5:$E$85,A79,'Ortszuordnung'!$B$5:$B$85,"REGULAER")</x:f>
        <x:v>0</x:v>
      </x:c>
      <x:c r="I79" s="22" t="n">
        <x:f>COUNTIF('Ortszuordnung'!$E$5:$E$85,A79)-H79</x:f>
        <x:v>1</x:v>
      </x:c>
      <x:c r="J79" s="22" t="str">
        <x:f>IF(E79="ROT","AUSSCHLUSS",IF(H79&gt;0,"KERNQUEST",IF(I79&gt;0,"SONDERQUEST",IF(G79&lt;&gt;"","SUPPORT","RESERVE"))))</x:f>
        <x:v>SONDERQUEST</x:v>
      </x:c>
      <x:c r="K79" s="22" t="n">
        <x:v>88</x:v>
      </x:c>
      <x:c r="L79" s="22" t="str"/>
      <x:c r="M79" s="22" t="str">
        <x:f>IF(J79="AUSSCHLUSS","Nicht als Pflichtort; nur nach neuer Evidenz neu bewerten.",IF(J79="KERNQUEST","In regulärer Quest gruppiert; aktuelle Sicht und blinden Test vor Release abschließen.",IF(J79="SONDERQUEST","Für Medien-, Hidden- oder Bossinhalt vorgesehen; separate Slot- oder Eventregel.",IF(J79="SUPPORT","Nur als Supportpunkt behalten; keine zusätzliche Pflichtquest.","Als Ersatz- oder späterer Questkandidat erhalten."))))</x:f>
        <x:v>Für Medien-, Hidden- oder Bossinhalt vorgesehen; separate Slot- oder Eventregel.</x:v>
      </x:c>
    </x:row>
    <x:row r="80" ht="38" customHeight="1">
      <x:c r="A80" s="22" t="str">
        <x:v>place_day_2_basilica_di_santa_maria_maggiore</x:v>
      </x:c>
      <x:c r="B80" s="22" t="str">
        <x:v>DAY_2</x:v>
      </x:c>
      <x:c r="C80" s="22" t="str">
        <x:v>D2_SANTA_MARIA_MAGGIORE</x:v>
      </x:c>
      <x:c r="D80" s="22" t="str">
        <x:v>Basilika Groß Sankt Marien</x:v>
      </x:c>
      <x:c r="E80" s="22" t="str">
        <x:v>GELB</x:v>
      </x:c>
      <x:c r="F80" s="22" t="str">
        <x:v>GELB_BOSS_MENSCHENMENGE</x:v>
      </x:c>
      <x:c r="G80" s="22" t="str">
        <x:v>REVIVE_POINT_CANDIDATE|WORLD_BOSS_LOCATION|BOSS_STAGING_SAFE_ZONE</x:v>
      </x:c>
      <x:c r="H80" s="22" t="n">
        <x:f>COUNTIFS('Ortszuordnung'!$E$5:$E$85,A80,'Ortszuordnung'!$B$5:$B$85,"REGULAER")</x:f>
        <x:v>1</x:v>
      </x:c>
      <x:c r="I80" s="22" t="n">
        <x:f>COUNTIF('Ortszuordnung'!$E$5:$E$85,A80)-H80</x:f>
        <x:v>1</x:v>
      </x:c>
      <x:c r="J80" s="22" t="str">
        <x:f>IF(E80="ROT","AUSSCHLUSS",IF(H80&gt;0,"KERNQUEST",IF(I80&gt;0,"SONDERQUEST",IF(G80&lt;&gt;"","SUPPORT","RESERVE"))))</x:f>
        <x:v>KERNQUEST</x:v>
      </x:c>
      <x:c r="K80" s="22" t="n">
        <x:v>84</x:v>
      </x:c>
      <x:c r="L80" s="22" t="str"/>
      <x:c r="M80" s="22" t="str">
        <x:f>IF(J80="AUSSCHLUSS","Nicht als Pflichtort; nur nach neuer Evidenz neu bewerten.",IF(J80="KERNQUEST","In regulärer Quest gruppiert; aktuelle Sicht und blinden Test vor Release abschließen.",IF(J80="SONDERQUEST","Für Medien-, Hidden- oder Bossinhalt vorgesehen; separate Slot- oder Eventregel.",IF(J80="SUPPORT","Nur als Supportpunkt behalten; keine zusätzliche Pflichtquest.","Als Ersatz- oder späterer Questkandidat erhalten."))))</x:f>
        <x:v>In regulärer Quest gruppiert; aktuelle Sicht und blinden Test vor Release abschließen.</x:v>
      </x:c>
    </x:row>
    <x:row r="81" ht="38" customHeight="1">
      <x:c r="A81" s="22" t="str">
        <x:v>place_day_2_arco_su_porta_san_lorenzo</x:v>
      </x:c>
      <x:c r="B81" s="22" t="str">
        <x:v>DAY_2</x:v>
      </x:c>
      <x:c r="C81" s="22" t="str">
        <x:v>D2_SANTA_MARIA_MAGGIORE</x:v>
      </x:c>
      <x:c r="D81" s="22" t="str">
        <x:v>Arco su Porta San Lorenzo</x:v>
      </x:c>
      <x:c r="E81" s="22" t="str">
        <x:v>GRUEN</x:v>
      </x:c>
      <x:c r="F81" s="22" t="str">
        <x:v>GRUEN_MIT_VERKEHRSBLICKPUNKT</x:v>
      </x:c>
      <x:c r="G81" s="22" t="str"/>
      <x:c r="H81" s="22" t="n">
        <x:f>COUNTIFS('Ortszuordnung'!$E$5:$E$85,A81,'Ortszuordnung'!$B$5:$B$85,"REGULAER")</x:f>
        <x:v>0</x:v>
      </x:c>
      <x:c r="I81" s="22" t="n">
        <x:f>COUNTIF('Ortszuordnung'!$E$5:$E$85,A81)-H81</x:f>
        <x:v>0</x:v>
      </x:c>
      <x:c r="J81" s="22" t="str">
        <x:f>IF(E81="ROT","AUSSCHLUSS",IF(H81&gt;0,"KERNQUEST",IF(I81&gt;0,"SONDERQUEST",IF(G81&lt;&gt;"","SUPPORT","RESERVE"))))</x:f>
        <x:v>RESERVE</x:v>
      </x:c>
      <x:c r="K81" s="22" t="n">
        <x:v>83</x:v>
      </x:c>
      <x:c r="L81" s="22" t="str"/>
      <x:c r="M81" s="22" t="str">
        <x:f>IF(J81="AUSSCHLUSS","Nicht als Pflichtort; nur nach neuer Evidenz neu bewerten.",IF(J81="KERNQUEST","In regulärer Quest gruppiert; aktuelle Sicht und blinden Test vor Release abschließen.",IF(J81="SONDERQUEST","Für Medien-, Hidden- oder Bossinhalt vorgesehen; separate Slot- oder Eventregel.",IF(J81="SUPPORT","Nur als Supportpunkt behalten; keine zusätzliche Pflichtquest.","Als Ersatz- oder späterer Questkandidat erhalten."))))</x:f>
        <x:v>Als Ersatz- oder späterer Questkandidat erhalten.</x:v>
      </x:c>
    </x:row>
    <x:row r="82" ht="38" customHeight="1">
      <x:c r="A82" s="22" t="str">
        <x:v>place_day_2_obelisco_esquilino</x:v>
      </x:c>
      <x:c r="B82" s="22" t="str">
        <x:v>DAY_2</x:v>
      </x:c>
      <x:c r="C82" s="22" t="str">
        <x:v>D2_SANTA_MARIA_MAGGIORE</x:v>
      </x:c>
      <x:c r="D82" s="22" t="str">
        <x:v>Obelisco Esquilino</x:v>
      </x:c>
      <x:c r="E82" s="22" t="str">
        <x:v>GRUEN</x:v>
      </x:c>
      <x:c r="F82" s="22" t="str">
        <x:v>GRUEN_KONZEPTREIF</x:v>
      </x:c>
      <x:c r="G82" s="22" t="str"/>
      <x:c r="H82" s="22" t="n">
        <x:f>COUNTIFS('Ortszuordnung'!$E$5:$E$85,A82,'Ortszuordnung'!$B$5:$B$85,"REGULAER")</x:f>
        <x:v>1</x:v>
      </x:c>
      <x:c r="I82" s="22" t="n">
        <x:f>COUNTIF('Ortszuordnung'!$E$5:$E$85,A82)-H82</x:f>
        <x:v>0</x:v>
      </x:c>
      <x:c r="J82" s="22" t="str">
        <x:f>IF(E82="ROT","AUSSCHLUSS",IF(H82&gt;0,"KERNQUEST",IF(I82&gt;0,"SONDERQUEST",IF(G82&lt;&gt;"","SUPPORT","RESERVE"))))</x:f>
        <x:v>KERNQUEST</x:v>
      </x:c>
      <x:c r="K82" s="22" t="n">
        <x:v>91</x:v>
      </x:c>
      <x:c r="L82" s="22" t="str"/>
      <x:c r="M82" s="22" t="str">
        <x:f>IF(J82="AUSSCHLUSS","Nicht als Pflichtort; nur nach neuer Evidenz neu bewerten.",IF(J82="KERNQUEST","In regulärer Quest gruppiert; aktuelle Sicht und blinden Test vor Release abschließen.",IF(J82="SONDERQUEST","Für Medien-, Hidden- oder Bossinhalt vorgesehen; separate Slot- oder Eventregel.",IF(J82="SUPPORT","Nur als Supportpunkt behalten; keine zusätzliche Pflichtquest.","Als Ersatz- oder späterer Questkandidat erhalten."))))</x:f>
        <x:v>In regulärer Quest gruppiert; aktuelle Sicht und blinden Test vor Release abschließen.</x:v>
      </x:c>
    </x:row>
    <x:row r="83" ht="38" customHeight="1">
      <x:c r="A83" s="22" t="str">
        <x:v>place_day_2_circo_massimo</x:v>
      </x:c>
      <x:c r="B83" s="22" t="str">
        <x:v>DAY_2</x:v>
      </x:c>
      <x:c r="C83" s="22" t="str">
        <x:v>D2_AVENTINO_FORUM_BOARIUM</x:v>
      </x:c>
      <x:c r="D83" s="22" t="str">
        <x:v>Circus Maximus</x:v>
      </x:c>
      <x:c r="E83" s="22" t="str">
        <x:v>GRUEN</x:v>
      </x:c>
      <x:c r="F83" s="22" t="str">
        <x:v>GRUEN_MEDIENQUEST</x:v>
      </x:c>
      <x:c r="G83" s="22" t="str">
        <x:v>MEDIA_QUEST_LOCATION|LOCAL_MEDIA_QUEST|REVIVE_POINT_CANDIDATE</x:v>
      </x:c>
      <x:c r="H83" s="22" t="n">
        <x:f>COUNTIFS('Ortszuordnung'!$E$5:$E$85,A83,'Ortszuordnung'!$B$5:$B$85,"REGULAER")</x:f>
        <x:v>0</x:v>
      </x:c>
      <x:c r="I83" s="22" t="n">
        <x:f>COUNTIF('Ortszuordnung'!$E$5:$E$85,A83)-H83</x:f>
        <x:v>1</x:v>
      </x:c>
      <x:c r="J83" s="22" t="str">
        <x:f>IF(E83="ROT","AUSSCHLUSS",IF(H83&gt;0,"KERNQUEST",IF(I83&gt;0,"SONDERQUEST",IF(G83&lt;&gt;"","SUPPORT","RESERVE"))))</x:f>
        <x:v>SONDERQUEST</x:v>
      </x:c>
      <x:c r="K83" s="22" t="n">
        <x:v>83</x:v>
      </x:c>
      <x:c r="L83" s="22" t="str">
        <x:v>Rasender Kutschergeist</x:v>
      </x:c>
      <x:c r="M83" s="22" t="str">
        <x:f>IF(J83="AUSSCHLUSS","Nicht als Pflichtort; nur nach neuer Evidenz neu bewerten.",IF(J83="KERNQUEST","In regulärer Quest gruppiert; aktuelle Sicht und blinden Test vor Release abschließen.",IF(J83="SONDERQUEST","Für Medien-, Hidden- oder Bossinhalt vorgesehen; separate Slot- oder Eventregel.",IF(J83="SUPPORT","Nur als Supportpunkt behalten; keine zusätzliche Pflichtquest.","Als Ersatz- oder späterer Questkandidat erhalten."))))</x:f>
        <x:v>Für Medien-, Hidden- oder Bossinhalt vorgesehen; separate Slot- oder Eventregel.</x:v>
      </x:c>
    </x:row>
    <x:row r="84" ht="38" customHeight="1">
      <x:c r="A84" s="22" t="str">
        <x:v>place_day_2_fontana_del_mascherone_di_santa_sabina</x:v>
      </x:c>
      <x:c r="B84" s="22" t="str">
        <x:v>DAY_2</x:v>
      </x:c>
      <x:c r="C84" s="22" t="str">
        <x:v>D2_AVENTINO_FORUM_BOARIUM</x:v>
      </x:c>
      <x:c r="D84" s="22" t="str">
        <x:v>Maskenbrunnen bei Santa Sabina</x:v>
      </x:c>
      <x:c r="E84" s="22" t="str">
        <x:v>GRUEN</x:v>
      </x:c>
      <x:c r="F84" s="22" t="str">
        <x:v>GRUEN_KONZEPTREIF</x:v>
      </x:c>
      <x:c r="G84" s="22" t="str"/>
      <x:c r="H84" s="22" t="n">
        <x:f>COUNTIFS('Ortszuordnung'!$E$5:$E$85,A84,'Ortszuordnung'!$B$5:$B$85,"REGULAER")</x:f>
        <x:v>1</x:v>
      </x:c>
      <x:c r="I84" s="22" t="n">
        <x:f>COUNTIF('Ortszuordnung'!$E$5:$E$85,A84)-H84</x:f>
        <x:v>0</x:v>
      </x:c>
      <x:c r="J84" s="22" t="str">
        <x:f>IF(E84="ROT","AUSSCHLUSS",IF(H84&gt;0,"KERNQUEST",IF(I84&gt;0,"SONDERQUEST",IF(G84&lt;&gt;"","SUPPORT","RESERVE"))))</x:f>
        <x:v>KERNQUEST</x:v>
      </x:c>
      <x:c r="K84" s="22" t="n">
        <x:v>85</x:v>
      </x:c>
      <x:c r="L84" s="22" t="str">
        <x:v>Mascherone dell’Aventino</x:v>
      </x:c>
      <x:c r="M84" s="22" t="str">
        <x:f>IF(J84="AUSSCHLUSS","Nicht als Pflichtort; nur nach neuer Evidenz neu bewerten.",IF(J84="KERNQUEST","In regulärer Quest gruppiert; aktuelle Sicht und blinden Test vor Release abschließen.",IF(J84="SONDERQUEST","Für Medien-, Hidden- oder Bossinhalt vorgesehen; separate Slot- oder Eventregel.",IF(J84="SUPPORT","Nur als Supportpunkt behalten; keine zusätzliche Pflichtquest.","Als Ersatz- oder späterer Questkandidat erhalten."))))</x:f>
        <x:v>In regulärer Quest gruppiert; aktuelle Sicht und blinden Test vor Release abschließen.</x:v>
      </x:c>
    </x:row>
    <x:row r="85" ht="38" customHeight="1">
      <x:c r="A85" s="22" t="str">
        <x:v>place_day_2_fontana_dei_tritoni</x:v>
      </x:c>
      <x:c r="B85" s="22" t="str">
        <x:v>DAY_2</x:v>
      </x:c>
      <x:c r="C85" s="22" t="str">
        <x:v>D2_AVENTINO_FORUM_BOARIUM</x:v>
      </x:c>
      <x:c r="D85" s="22" t="str">
        <x:v>Tritonenbrunnen</x:v>
      </x:c>
      <x:c r="E85" s="22" t="str">
        <x:v>GRUEN</x:v>
      </x:c>
      <x:c r="F85" s="22" t="str">
        <x:v>GRUEN_KONZEPTREIF</x:v>
      </x:c>
      <x:c r="G85" s="22" t="str"/>
      <x:c r="H85" s="22" t="n">
        <x:f>COUNTIFS('Ortszuordnung'!$E$5:$E$85,A85,'Ortszuordnung'!$B$5:$B$85,"REGULAER")</x:f>
        <x:v>1</x:v>
      </x:c>
      <x:c r="I85" s="22" t="n">
        <x:f>COUNTIF('Ortszuordnung'!$E$5:$E$85,A85)-H85</x:f>
        <x:v>0</x:v>
      </x:c>
      <x:c r="J85" s="22" t="str">
        <x:f>IF(E85="ROT","AUSSCHLUSS",IF(H85&gt;0,"KERNQUEST",IF(I85&gt;0,"SONDERQUEST",IF(G85&lt;&gt;"","SUPPORT","RESERVE"))))</x:f>
        <x:v>KERNQUEST</x:v>
      </x:c>
      <x:c r="K85" s="22" t="n">
        <x:v>88</x:v>
      </x:c>
      <x:c r="L85" s="22" t="str">
        <x:v>Coppia dei Tritoni</x:v>
      </x:c>
      <x:c r="M85" s="22" t="str">
        <x:f>IF(J85="AUSSCHLUSS","Nicht als Pflichtort; nur nach neuer Evidenz neu bewerten.",IF(J85="KERNQUEST","In regulärer Quest gruppiert; aktuelle Sicht und blinden Test vor Release abschließen.",IF(J85="SONDERQUEST","Für Medien-, Hidden- oder Bossinhalt vorgesehen; separate Slot- oder Eventregel.",IF(J85="SUPPORT","Nur als Supportpunkt behalten; keine zusätzliche Pflichtquest.","Als Ersatz- oder späterer Questkandidat erhalten."))))</x:f>
        <x:v>In regulärer Quest gruppiert; aktuelle Sicht und blinden Test vor Release abschließen.</x:v>
      </x:c>
    </x:row>
    <x:row r="86" ht="38" customHeight="1">
      <x:c r="A86" s="22" t="str">
        <x:v>place_day_2_mercati_di_traiano</x:v>
      </x:c>
      <x:c r="B86" s="22" t="str">
        <x:v>DAY_2</x:v>
      </x:c>
      <x:c r="C86" s="22" t="str">
        <x:v>D2_CAMPIDOGLIO_FORI_TRAIANEI</x:v>
      </x:c>
      <x:c r="D86" s="22" t="str">
        <x:v>Trajansmärkte</x:v>
      </x:c>
      <x:c r="E86" s="22" t="str">
        <x:v>GRUEN</x:v>
      </x:c>
      <x:c r="F86" s="22" t="str">
        <x:v>GRUEN_AUSSENPUNKT</x:v>
      </x:c>
      <x:c r="G86" s="22" t="str"/>
      <x:c r="H86" s="22" t="n">
        <x:f>COUNTIFS('Ortszuordnung'!$E$5:$E$85,A86,'Ortszuordnung'!$B$5:$B$85,"REGULAER")</x:f>
        <x:v>0</x:v>
      </x:c>
      <x:c r="I86" s="22" t="n">
        <x:f>COUNTIF('Ortszuordnung'!$E$5:$E$85,A86)-H86</x:f>
        <x:v>1</x:v>
      </x:c>
      <x:c r="J86" s="22" t="str">
        <x:f>IF(E86="ROT","AUSSCHLUSS",IF(H86&gt;0,"KERNQUEST",IF(I86&gt;0,"SONDERQUEST",IF(G86&lt;&gt;"","SUPPORT","RESERVE"))))</x:f>
        <x:v>SONDERQUEST</x:v>
      </x:c>
      <x:c r="K86" s="22" t="n">
        <x:v>83</x:v>
      </x:c>
      <x:c r="L86" s="22" t="str">
        <x:v>Spettro della Taberna</x:v>
      </x:c>
      <x:c r="M86" s="22" t="str">
        <x:f>IF(J86="AUSSCHLUSS","Nicht als Pflichtort; nur nach neuer Evidenz neu bewerten.",IF(J86="KERNQUEST","In regulärer Quest gruppiert; aktuelle Sicht und blinden Test vor Release abschließen.",IF(J86="SONDERQUEST","Für Medien-, Hidden- oder Bossinhalt vorgesehen; separate Slot- oder Eventregel.",IF(J86="SUPPORT","Nur als Supportpunkt behalten; keine zusätzliche Pflichtquest.","Als Ersatz- oder späterer Questkandidat erhalten."))))</x:f>
        <x:v>Für Medien-, Hidden- oder Bossinhalt vorgesehen; separate Slot- oder Eventregel.</x:v>
      </x:c>
    </x:row>
    <x:row r="87" ht="38" customHeight="1">
      <x:c r="A87" s="22" t="str">
        <x:v>place_day_2_porta_maggiore_aqua_claudia</x:v>
      </x:c>
      <x:c r="B87" s="22" t="str">
        <x:v>DAY_2</x:v>
      </x:c>
      <x:c r="C87" s="22" t="str">
        <x:v>D2_SANTA_MARIA_MAGGIORE</x:v>
      </x:c>
      <x:c r="D87" s="22" t="str">
        <x:v>Porta Maggiore und Aqua Claudia</x:v>
      </x:c>
      <x:c r="E87" s="22" t="str">
        <x:v>GRUEN</x:v>
      </x:c>
      <x:c r="F87" s="22" t="str">
        <x:v>GRUEN_VERKEHRSABSTAND</x:v>
      </x:c>
      <x:c r="G87" s="22" t="str"/>
      <x:c r="H87" s="22" t="n">
        <x:f>COUNTIFS('Ortszuordnung'!$E$5:$E$85,A87,'Ortszuordnung'!$B$5:$B$85,"REGULAER")</x:f>
        <x:v>1</x:v>
      </x:c>
      <x:c r="I87" s="22" t="n">
        <x:f>COUNTIF('Ortszuordnung'!$E$5:$E$85,A87)-H87</x:f>
        <x:v>0</x:v>
      </x:c>
      <x:c r="J87" s="22" t="str">
        <x:f>IF(E87="ROT","AUSSCHLUSS",IF(H87&gt;0,"KERNQUEST",IF(I87&gt;0,"SONDERQUEST",IF(G87&lt;&gt;"","SUPPORT","RESERVE"))))</x:f>
        <x:v>KERNQUEST</x:v>
      </x:c>
      <x:c r="K87" s="22"/>
      <x:c r="L87" s="22" t="str">
        <x:v>Idra dell’Aqua Claudia</x:v>
      </x:c>
      <x:c r="M87" s="22" t="str">
        <x:f>IF(J87="AUSSCHLUSS","Nicht als Pflichtort; nur nach neuer Evidenz neu bewerten.",IF(J87="KERNQUEST","In regulärer Quest gruppiert; aktuelle Sicht und blinden Test vor Release abschließen.",IF(J87="SONDERQUEST","Für Medien-, Hidden- oder Bossinhalt vorgesehen; separate Slot- oder Eventregel.",IF(J87="SUPPORT","Nur als Supportpunkt behalten; keine zusätzliche Pflichtquest.","Als Ersatz- oder späterer Questkandidat erhalten."))))</x:f>
        <x:v>In regulärer Quest gruppiert; aktuelle Sicht und blinden Test vor Release abschließen.</x:v>
      </x:c>
    </x:row>
    <x:row r="88" ht="38" customHeight="1">
      <x:c r="A88" s="22" t="str">
        <x:v>place_day_2_meta_sudans</x:v>
      </x:c>
      <x:c r="B88" s="22" t="str">
        <x:v>DAY_2</x:v>
      </x:c>
      <x:c r="C88" s="22" t="str">
        <x:v>D2_FORUM_COLOSSEO</x:v>
      </x:c>
      <x:c r="D88" s="22" t="str">
        <x:v>Meta sudans</x:v>
      </x:c>
      <x:c r="E88" s="22" t="str">
        <x:v>ROT</x:v>
      </x:c>
      <x:c r="F88" s="22" t="str">
        <x:v>ROT_NICHT_ALS_PFLICHT</x:v>
      </x:c>
      <x:c r="G88" s="22" t="str"/>
      <x:c r="H88" s="22" t="n">
        <x:f>COUNTIFS('Ortszuordnung'!$E$5:$E$85,A88,'Ortszuordnung'!$B$5:$B$85,"REGULAER")</x:f>
        <x:v>0</x:v>
      </x:c>
      <x:c r="I88" s="22" t="n">
        <x:f>COUNTIF('Ortszuordnung'!$E$5:$E$85,A88)-H88</x:f>
        <x:v>0</x:v>
      </x:c>
      <x:c r="J88" s="22" t="str">
        <x:f>IF(E88="ROT","AUSSCHLUSS",IF(H88&gt;0,"KERNQUEST",IF(I88&gt;0,"SONDERQUEST",IF(G88&lt;&gt;"","SUPPORT","RESERVE"))))</x:f>
        <x:v>AUSSCHLUSS</x:v>
      </x:c>
      <x:c r="K88" s="22" t="n">
        <x:v>80</x:v>
      </x:c>
      <x:c r="L88" s="22" t="str">
        <x:v>Custode della Meta Sudans</x:v>
      </x:c>
      <x:c r="M88" s="22" t="str">
        <x:f>IF(J88="AUSSCHLUSS","Nicht als Pflichtort; nur nach neuer Evidenz neu bewerten.",IF(J88="KERNQUEST","In regulärer Quest gruppiert; aktuelle Sicht und blinden Test vor Release abschließen.",IF(J88="SONDERQUEST","Für Medien-, Hidden- oder Bossinhalt vorgesehen; separate Slot- oder Eventregel.",IF(J88="SUPPORT","Nur als Supportpunkt behalten; keine zusätzliche Pflichtquest.","Als Ersatz- oder späterer Questkandidat erhalten."))))</x:f>
        <x:v>Nicht als Pflichtort; nur nach neuer Evidenz neu bewerten.</x:v>
      </x:c>
    </x:row>
    <x:row r="89" ht="38" customHeight="1">
      <x:c r="A89" s="22" t="str">
        <x:v>place_day_2_fontana_celimontana</x:v>
      </x:c>
      <x:c r="B89" s="22" t="str">
        <x:v>DAY_2</x:v>
      </x:c>
      <x:c r="C89" s="22" t="str">
        <x:v>D2_FORUM_COLOSSEO</x:v>
      </x:c>
      <x:c r="D89" s="22" t="str">
        <x:v>Fontana Celimontana</x:v>
      </x:c>
      <x:c r="E89" s="22" t="str">
        <x:v>GELB</x:v>
      </x:c>
      <x:c r="F89" s="22" t="str">
        <x:v>GELB_PARKOEFFNUNG</x:v>
      </x:c>
      <x:c r="G89" s="22" t="str"/>
      <x:c r="H89" s="22" t="n">
        <x:f>COUNTIFS('Ortszuordnung'!$E$5:$E$85,A89,'Ortszuordnung'!$B$5:$B$85,"REGULAER")</x:f>
        <x:v>0</x:v>
      </x:c>
      <x:c r="I89" s="22" t="n">
        <x:f>COUNTIF('Ortszuordnung'!$E$5:$E$85,A89)-H89</x:f>
        <x:v>0</x:v>
      </x:c>
      <x:c r="J89" s="22" t="str">
        <x:f>IF(E89="ROT","AUSSCHLUSS",IF(H89&gt;0,"KERNQUEST",IF(I89&gt;0,"SONDERQUEST",IF(G89&lt;&gt;"","SUPPORT","RESERVE"))))</x:f>
        <x:v>RESERVE</x:v>
      </x:c>
      <x:c r="K89" s="22" t="n">
        <x:v>86</x:v>
      </x:c>
      <x:c r="L89" s="22" t="str">
        <x:v>Genio del Fiume Nera</x:v>
      </x:c>
      <x:c r="M89" s="22" t="str">
        <x:f>IF(J89="AUSSCHLUSS","Nicht als Pflichtort; nur nach neuer Evidenz neu bewerten.",IF(J89="KERNQUEST","In regulärer Quest gruppiert; aktuelle Sicht und blinden Test vor Release abschließen.",IF(J89="SONDERQUEST","Für Medien-, Hidden- oder Bossinhalt vorgesehen; separate Slot- oder Eventregel.",IF(J89="SUPPORT","Nur als Supportpunkt behalten; keine zusätzliche Pflichtquest.","Als Ersatz- oder späterer Questkandidat erhalten."))))</x:f>
        <x:v>Als Ersatz- oder späterer Questkandidat erhalten.</x:v>
      </x:c>
    </x:row>
    <x:row r="90" ht="38" customHeight="1">
      <x:c r="A90" s="22" t="str">
        <x:v>place_day_2_porta_metronia</x:v>
      </x:c>
      <x:c r="B90" s="22" t="str">
        <x:v>DAY_2</x:v>
      </x:c>
      <x:c r="C90" s="22" t="str">
        <x:v>D2_CELIO_SAN_GIOVANNI</x:v>
      </x:c>
      <x:c r="D90" s="22" t="str">
        <x:v>Porta Metronia</x:v>
      </x:c>
      <x:c r="E90" s="22" t="str">
        <x:v>GELB</x:v>
      </x:c>
      <x:c r="F90" s="22" t="str">
        <x:v>GELB_VERKEHRSUMFELD</x:v>
      </x:c>
      <x:c r="G90" s="22" t="str"/>
      <x:c r="H90" s="22" t="n">
        <x:f>COUNTIFS('Ortszuordnung'!$E$5:$E$85,A90,'Ortszuordnung'!$B$5:$B$85,"REGULAER")</x:f>
        <x:v>1</x:v>
      </x:c>
      <x:c r="I90" s="22" t="n">
        <x:f>COUNTIF('Ortszuordnung'!$E$5:$E$85,A90)-H90</x:f>
        <x:v>0</x:v>
      </x:c>
      <x:c r="J90" s="22" t="str">
        <x:f>IF(E90="ROT","AUSSCHLUSS",IF(H90&gt;0,"KERNQUEST",IF(I90&gt;0,"SONDERQUEST",IF(G90&lt;&gt;"","SUPPORT","RESERVE"))))</x:f>
        <x:v>KERNQUEST</x:v>
      </x:c>
      <x:c r="K90" s="22" t="n">
        <x:v>89</x:v>
      </x:c>
      <x:c r="L90" s="22" t="str">
        <x:v>Scorpione delle Mura</x:v>
      </x:c>
      <x:c r="M90" s="22" t="str">
        <x:f>IF(J90="AUSSCHLUSS","Nicht als Pflichtort; nur nach neuer Evidenz neu bewerten.",IF(J90="KERNQUEST","In regulärer Quest gruppiert; aktuelle Sicht und blinden Test vor Release abschließen.",IF(J90="SONDERQUEST","Für Medien-, Hidden- oder Bossinhalt vorgesehen; separate Slot- oder Eventregel.",IF(J90="SUPPORT","Nur als Supportpunkt behalten; keine zusätzliche Pflichtquest.","Als Ersatz- oder späterer Questkandidat erhalten."))))</x:f>
        <x:v>In regulärer Quest gruppiert; aktuelle Sicht und blinden Test vor Release abschließen.</x:v>
      </x:c>
    </x:row>
    <x:row r="91" ht="38" customHeight="1">
      <x:c r="A91" s="22" t="str">
        <x:v>place_day_2_thermae_traianae</x:v>
      </x:c>
      <x:c r="B91" s="22" t="str">
        <x:v>DAY_2</x:v>
      </x:c>
      <x:c r="C91" s="22" t="str">
        <x:v>D2_MONTI_ESQUILINO</x:v>
      </x:c>
      <x:c r="D91" s="22" t="str">
        <x:v>Thermae Traianae</x:v>
      </x:c>
      <x:c r="E91" s="22" t="str">
        <x:v>GRUEN</x:v>
      </x:c>
      <x:c r="F91" s="22" t="str">
        <x:v>GRUEN_PARKZUGANG</x:v>
      </x:c>
      <x:c r="G91" s="22" t="str"/>
      <x:c r="H91" s="22" t="n">
        <x:f>COUNTIFS('Ortszuordnung'!$E$5:$E$85,A91,'Ortszuordnung'!$B$5:$B$85,"REGULAER")</x:f>
        <x:v>1</x:v>
      </x:c>
      <x:c r="I91" s="22" t="n">
        <x:f>COUNTIF('Ortszuordnung'!$E$5:$E$85,A91)-H91</x:f>
        <x:v>0</x:v>
      </x:c>
      <x:c r="J91" s="22" t="str">
        <x:f>IF(E91="ROT","AUSSCHLUSS",IF(H91&gt;0,"KERNQUEST",IF(I91&gt;0,"SONDERQUEST",IF(G91&lt;&gt;"","SUPPORT","RESERVE"))))</x:f>
        <x:v>KERNQUEST</x:v>
      </x:c>
      <x:c r="K91" s="22" t="n">
        <x:v>82</x:v>
      </x:c>
      <x:c r="L91" s="22" t="str">
        <x:v>Vapore delle Terme</x:v>
      </x:c>
      <x:c r="M91" s="22" t="str">
        <x:f>IF(J91="AUSSCHLUSS","Nicht als Pflichtort; nur nach neuer Evidenz neu bewerten.",IF(J91="KERNQUEST","In regulärer Quest gruppiert; aktuelle Sicht und blinden Test vor Release abschließen.",IF(J91="SONDERQUEST","Für Medien-, Hidden- oder Bossinhalt vorgesehen; separate Slot- oder Eventregel.",IF(J91="SUPPORT","Nur als Supportpunkt behalten; keine zusätzliche Pflichtquest.","Als Ersatz- oder späterer Questkandidat erhalten."))))</x:f>
        <x:v>In regulärer Quest gruppiert; aktuelle Sicht und blinden Test vor Release abschließen.</x:v>
      </x:c>
    </x:row>
    <x:row r="92" ht="38" customHeight="1">
      <x:c r="A92" s="22" t="str">
        <x:v>place_day_2_piazza_dante</x:v>
      </x:c>
      <x:c r="B92" s="22" t="str">
        <x:v>DAY_2</x:v>
      </x:c>
      <x:c r="C92" s="22" t="str">
        <x:v>D2_MONTI_ESQUILINO</x:v>
      </x:c>
      <x:c r="D92" s="22" t="str">
        <x:v>Piazza Dante</x:v>
      </x:c>
      <x:c r="E92" s="22" t="str">
        <x:v>GELB</x:v>
      </x:c>
      <x:c r="F92" s="22" t="str">
        <x:v>GELB_PARKOEFFNUNG</x:v>
      </x:c>
      <x:c r="G92" s="22" t="str"/>
      <x:c r="H92" s="22" t="n">
        <x:f>COUNTIFS('Ortszuordnung'!$E$5:$E$85,A92,'Ortszuordnung'!$B$5:$B$85,"REGULAER")</x:f>
        <x:v>0</x:v>
      </x:c>
      <x:c r="I92" s="22" t="n">
        <x:f>COUNTIF('Ortszuordnung'!$E$5:$E$85,A92)-H92</x:f>
        <x:v>1</x:v>
      </x:c>
      <x:c r="J92" s="22" t="str">
        <x:f>IF(E92="ROT","AUSSCHLUSS",IF(H92&gt;0,"KERNQUEST",IF(I92&gt;0,"SONDERQUEST",IF(G92&lt;&gt;"","SUPPORT","RESERVE"))))</x:f>
        <x:v>SONDERQUEST</x:v>
      </x:c>
      <x:c r="K92" s="22" t="n">
        <x:v>88</x:v>
      </x:c>
      <x:c r="L92" s="22" t="str">
        <x:v>Custode dell’Inferno</x:v>
      </x:c>
      <x:c r="M92" s="22" t="str">
        <x:f>IF(J92="AUSSCHLUSS","Nicht als Pflichtort; nur nach neuer Evidenz neu bewerten.",IF(J92="KERNQUEST","In regulärer Quest gruppiert; aktuelle Sicht und blinden Test vor Release abschließen.",IF(J92="SONDERQUEST","Für Medien-, Hidden- oder Bossinhalt vorgesehen; separate Slot- oder Eventregel.",IF(J92="SUPPORT","Nur als Supportpunkt behalten; keine zusätzliche Pflichtquest.","Als Ersatz- oder späterer Questkandidat erhalten."))))</x:f>
        <x:v>Für Medien-, Hidden- oder Bossinhalt vorgesehen; separate Slot- oder Eventregel.</x:v>
      </x:c>
    </x:row>
    <x:row r="93" ht="38" customHeight="1">
      <x:c r="A93" s="22" t="str">
        <x:v>place_day_2_belvedere_romolo_e_remo</x:v>
      </x:c>
      <x:c r="B93" s="22" t="str">
        <x:v>DAY_2</x:v>
      </x:c>
      <x:c r="C93" s="22" t="str">
        <x:v>D2_AVENTINO_FORUM_BOARIUM</x:v>
      </x:c>
      <x:c r="D93" s="22" t="str">
        <x:v>Belvedere Romolo E Remo</x:v>
      </x:c>
      <x:c r="E93" s="22" t="str">
        <x:v>GRUEN</x:v>
      </x:c>
      <x:c r="F93" s="22" t="str">
        <x:v>GRUEN_AUSSICHTSPUNKT</x:v>
      </x:c>
      <x:c r="G93" s="22" t="str"/>
      <x:c r="H93" s="22" t="n">
        <x:f>COUNTIFS('Ortszuordnung'!$E$5:$E$85,A93,'Ortszuordnung'!$B$5:$B$85,"REGULAER")</x:f>
        <x:v>1</x:v>
      </x:c>
      <x:c r="I93" s="22" t="n">
        <x:f>COUNTIF('Ortszuordnung'!$E$5:$E$85,A93)-H93</x:f>
        <x:v>0</x:v>
      </x:c>
      <x:c r="J93" s="22" t="str">
        <x:f>IF(E93="ROT","AUSSCHLUSS",IF(H93&gt;0,"KERNQUEST",IF(I93&gt;0,"SONDERQUEST",IF(G93&lt;&gt;"","SUPPORT","RESERVE"))))</x:f>
        <x:v>KERNQUEST</x:v>
      </x:c>
      <x:c r="K93" s="22" t="n">
        <x:v>85</x:v>
      </x:c>
      <x:c r="L93" s="22" t="str">
        <x:v>Lupa dei Gemelli</x:v>
      </x:c>
      <x:c r="M93" s="22" t="str">
        <x:f>IF(J93="AUSSCHLUSS","Nicht als Pflichtort; nur nach neuer Evidenz neu bewerten.",IF(J93="KERNQUEST","In regulärer Quest gruppiert; aktuelle Sicht und blinden Test vor Release abschließen.",IF(J93="SONDERQUEST","Für Medien-, Hidden- oder Bossinhalt vorgesehen; separate Slot- oder Eventregel.",IF(J93="SUPPORT","Nur als Supportpunkt behalten; keine zusätzliche Pflichtquest.","Als Ersatz- oder späterer Questkandidat erhalten."))))</x:f>
        <x:v>In regulärer Quest gruppiert; aktuelle Sicht und blinden Test vor Release abschließen.</x:v>
      </x:c>
    </x:row>
    <x:row r="94" ht="38" customHeight="1">
      <x:c r="A94" s="23" t="str">
        <x:v>place_day_2_arco_di_via_nola</x:v>
      </x:c>
      <x:c r="B94" s="23" t="str">
        <x:v>DAY_2</x:v>
      </x:c>
      <x:c r="C94" s="23" t="str">
        <x:v>D2_CELIO_SAN_GIOVANNI</x:v>
      </x:c>
      <x:c r="D94" s="23" t="str">
        <x:v>Arco di Via Nola</x:v>
      </x:c>
      <x:c r="E94" s="23" t="str">
        <x:v>ROT</x:v>
      </x:c>
      <x:c r="F94" s="23" t="str">
        <x:v>ROT_QUELLE_UNZUREICHEND</x:v>
      </x:c>
      <x:c r="G94" s="23" t="str"/>
      <x:c r="H94" s="23" t="n">
        <x:f>COUNTIFS('Ortszuordnung'!$E$5:$E$85,A94,'Ortszuordnung'!$B$5:$B$85,"REGULAER")</x:f>
        <x:v>0</x:v>
      </x:c>
      <x:c r="I94" s="23" t="n">
        <x:f>COUNTIF('Ortszuordnung'!$E$5:$E$85,A94)-H94</x:f>
        <x:v>0</x:v>
      </x:c>
      <x:c r="J94" s="23" t="str">
        <x:f>IF(E94="ROT","AUSSCHLUSS",IF(H94&gt;0,"KERNQUEST",IF(I94&gt;0,"SONDERQUEST",IF(G94&lt;&gt;"","SUPPORT","RESERVE"))))</x:f>
        <x:v>AUSSCHLUSS</x:v>
      </x:c>
      <x:c r="K94" s="23" t="n">
        <x:v>84</x:v>
      </x:c>
      <x:c r="L94" s="23" t="str">
        <x:v>Arciere di Via Nola</x:v>
      </x:c>
      <x:c r="M94" s="23" t="str">
        <x:f>IF(J94="AUSSCHLUSS","Nicht als Pflichtort; nur nach neuer Evidenz neu bewerten.",IF(J94="KERNQUEST","In regulärer Quest gruppiert; aktuelle Sicht und blinden Test vor Release abschließen.",IF(J94="SONDERQUEST","Für Medien-, Hidden- oder Bossinhalt vorgesehen; separate Slot- oder Eventregel.",IF(J94="SUPPORT","Nur als Supportpunkt behalten; keine zusätzliche Pflichtquest.","Als Ersatz- oder späterer Questkandidat erhalten."))))</x:f>
        <x:v>Nicht als Pflichtort; nur nach neuer Evidenz neu bewerten.</x:v>
      </x:c>
    </x:row>
  </x:sheetData>
  <x:mergeCells>
    <x:mergeCell ref="A1:M1"/>
    <x:mergeCell ref="A2:M2"/>
  </x:mergeCells>
  <x:conditionalFormatting sqref="J5:J94">
    <x:cfRule type="containsText" dxfId="11" priority="1" operator="containsText" text="KERNQUEST"/>
    <x:cfRule type="containsText" dxfId="12" priority="2" operator="containsText" text="SONDERQUEST"/>
    <x:cfRule type="containsText" dxfId="13" priority="3" operator="containsText" text="AUSSCHLUSS"/>
  </x:conditionalFormatting>
  <x:pageMargins left="0.7" right="0.7" top="0.75" bottom="0.75" header="0.3" footer="0.3"/>
  <x:tableParts count="1">
    <x:tablePart xmlns:r="http://schemas.openxmlformats.org/officeDocument/2006/relationships" r:id="R7b85dce9e93f442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5" hidden="0" customWidth="1"/>
    <x:col min="2" max="2" width="25" hidden="0" customWidth="1"/>
    <x:col min="3" max="3" width="42" hidden="0" customWidth="1"/>
    <x:col min="4" max="4" width="42" hidden="0" customWidth="1"/>
    <x:col min="5" max="5" width="3" hidden="0" customWidth="1"/>
    <x:col min="6" max="6" width="3" hidden="0" customWidth="1"/>
  </x:cols>
  <x:sheetData>
    <x:row r="1" ht="30" customHeight="1">
      <x:c r="A1" s="3" t="str">
        <x:v>Via Romae – Bewertungsregeln</x:v>
      </x:c>
      <x:c r="B1" s="3"/>
      <x:c r="C1" s="3"/>
      <x:c r="D1" s="3"/>
      <x:c r="E1" s="3"/>
      <x:c r="F1" s="3"/>
    </x:row>
    <x:row r="2" ht="32" customHeight="1">
      <x:c r="A2" s="7" t="str">
        <x:v>Transparente Annahmen für Distanz, Dauer, Ampel und Kombinationseignung.</x:v>
      </x:c>
      <x:c r="B2" s="7"/>
      <x:c r="C2" s="7"/>
      <x:c r="D2" s="7"/>
      <x:c r="E2" s="7"/>
      <x:c r="F2" s="7"/>
    </x:row>
    <x:row r="4">
      <x:c r="A4" s="10" t="str">
        <x:v>Parameter</x:v>
      </x:c>
      <x:c r="B4" s="10" t="str">
        <x:v>Wert</x:v>
      </x:c>
      <x:c r="C4" s="12"/>
      <x:c r="D4" s="12"/>
      <x:c r="E4" s="12"/>
      <x:c r="F4" s="12"/>
    </x:row>
    <x:row r="5">
      <x:c r="A5" s="12" t="str">
        <x:v>Gehgeschwindigkeit (m/min)</x:v>
      </x:c>
      <x:c r="B5" s="12" t="n">
        <x:v>75</x:v>
      </x:c>
      <x:c r="C5" s="12"/>
      <x:c r="D5" s="12"/>
      <x:c r="E5" s="12"/>
      <x:c r="F5" s="12"/>
    </x:row>
    <x:row r="6">
      <x:c r="A6" s="12" t="str">
        <x:v>Umwegfaktor Straße/Luftlinie</x:v>
      </x:c>
      <x:c r="B6" s="12" t="n">
        <x:v>1.25</x:v>
      </x:c>
      <x:c r="C6" s="12"/>
      <x:c r="D6" s="12"/>
      <x:c r="E6" s="12"/>
      <x:c r="F6" s="12"/>
    </x:row>
    <x:row r="7">
      <x:c r="A7" s="12" t="str">
        <x:v>Score Route</x:v>
      </x:c>
      <x:c r="B7" s="13" t="n">
        <x:v>0.2</x:v>
      </x:c>
      <x:c r="C7" s="12"/>
      <x:c r="D7" s="12"/>
      <x:c r="E7" s="12"/>
      <x:c r="F7" s="12"/>
    </x:row>
    <x:row r="8">
      <x:c r="A8" s="12" t="str">
        <x:v>Score Narrativ</x:v>
      </x:c>
      <x:c r="B8" s="13" t="n">
        <x:v>0.25</x:v>
      </x:c>
      <x:c r="C8" s="12"/>
      <x:c r="D8" s="12"/>
      <x:c r="E8" s="12"/>
      <x:c r="F8" s="12"/>
    </x:row>
    <x:row r="9">
      <x:c r="A9" s="12" t="str">
        <x:v>Score Hinweisrobustheit</x:v>
      </x:c>
      <x:c r="B9" s="13" t="n">
        <x:v>0.25</x:v>
      </x:c>
      <x:c r="C9" s="12"/>
      <x:c r="D9" s="12"/>
      <x:c r="E9" s="12"/>
      <x:c r="F9" s="12"/>
    </x:row>
    <x:row r="10">
      <x:c r="A10" s="12" t="str">
        <x:v>Score Zugang</x:v>
      </x:c>
      <x:c r="B10" s="13" t="n">
        <x:v>0.15</x:v>
      </x:c>
      <x:c r="C10" s="12"/>
      <x:c r="D10" s="12"/>
      <x:c r="E10" s="12"/>
      <x:c r="F10" s="12"/>
    </x:row>
    <x:row r="11">
      <x:c r="A11" s="12" t="str">
        <x:v>Score Mechanikfit</x:v>
      </x:c>
      <x:c r="B11" s="13" t="n">
        <x:v>0.15</x:v>
      </x:c>
      <x:c r="C11" s="12"/>
      <x:c r="D11" s="12"/>
      <x:c r="E11" s="12"/>
      <x:c r="F11" s="12"/>
    </x:row>
    <x:row r="12">
      <x:c r="A12" s="12"/>
      <x:c r="B12" s="12"/>
      <x:c r="C12" s="12"/>
      <x:c r="D12" s="12"/>
      <x:c r="E12" s="12"/>
      <x:c r="F12" s="12"/>
    </x:row>
    <x:row r="13">
      <x:c r="A13" s="10" t="str">
        <x:v>Bewertung</x:v>
      </x:c>
      <x:c r="B13" s="10" t="str">
        <x:v>Grenze</x:v>
      </x:c>
      <x:c r="C13" s="10" t="str">
        <x:v>Bedeutung</x:v>
      </x:c>
      <x:c r="D13" s="10" t="str">
        <x:v>Konsequenz</x:v>
      </x:c>
      <x:c r="E13" s="10" t="str"/>
      <x:c r="F13" s="10" t="str"/>
    </x:row>
    <x:row r="14">
      <x:c r="A14" s="12" t="str">
        <x:v>SEHR_GUT</x:v>
      </x:c>
      <x:c r="B14" s="12" t="n">
        <x:v>4.2</x:v>
      </x:c>
      <x:c r="C14" s="12" t="str">
        <x:v>Kombination ist stark und relativ robust.</x:v>
      </x:c>
      <x:c r="D14" s="12" t="str">
        <x:v>Quest Card ausarbeiten.</x:v>
      </x:c>
      <x:c r="E14" s="12" t="str"/>
      <x:c r="F14" s="12" t="str"/>
    </x:row>
    <x:row r="15">
      <x:c r="A15" s="12" t="str">
        <x:v>GUT</x:v>
      </x:c>
      <x:c r="B15" s="12" t="n">
        <x:v>3.6</x:v>
      </x:c>
      <x:c r="C15" s="12" t="str">
        <x:v>Kombination funktioniert mit klarer QA.</x:v>
      </x:c>
      <x:c r="D15" s="12" t="str">
        <x:v>Quest Card ausarbeiten; Risiko schließen.</x:v>
      </x:c>
      <x:c r="E15" s="12" t="str"/>
      <x:c r="F15" s="12" t="str"/>
    </x:row>
    <x:row r="16">
      <x:c r="A16" s="12" t="str">
        <x:v>BEDINGT</x:v>
      </x:c>
      <x:c r="B16" s="12" t="n">
        <x:v>3</x:v>
      </x:c>
      <x:c r="C16" s="12" t="str">
        <x:v>Konzept brauchbar, aber operativ fragil.</x:v>
      </x:c>
      <x:c r="D16" s="12" t="str">
        <x:v>Nur mit Fallback und Sichtbeleg.</x:v>
      </x:c>
      <x:c r="E16" s="12" t="str"/>
      <x:c r="F16" s="12" t="str"/>
    </x:row>
    <x:row r="17">
      <x:c r="A17" s="12" t="str">
        <x:v>NICHT_EMPFOHLEN</x:v>
      </x:c>
      <x:c r="B17" s="12" t="n">
        <x:v>0</x:v>
      </x:c>
      <x:c r="C17" s="12" t="str">
        <x:v>Pflichtkombination zu schwach.</x:v>
      </x:c>
      <x:c r="D17" s="12" t="str">
        <x:v>Nicht veröffentlichen.</x:v>
      </x:c>
      <x:c r="E17" s="12" t="str"/>
      <x:c r="F17" s="12" t="str"/>
    </x:row>
    <x:row r="18">
      <x:c r="A18" s="12" t="str">
        <x:v>Skala</x:v>
      </x:c>
      <x:c r="B18" s="12" t="str">
        <x:v>0–5</x:v>
      </x:c>
      <x:c r="C18" s="12" t="str">
        <x:v>0 = ungeeignet, 3 = brauchbar, 5 = ideal.</x:v>
      </x:c>
      <x:c r="D18" s="12" t="str"/>
      <x:c r="E18" s="12" t="str"/>
      <x:c r="F18" s="12" t="str"/>
    </x:row>
    <x:row r="19">
      <x:c r="A19" s="12"/>
      <x:c r="B19" s="12"/>
      <x:c r="C19" s="12"/>
      <x:c r="D19" s="12"/>
      <x:c r="E19" s="12"/>
      <x:c r="F19" s="12"/>
    </x:row>
    <x:row r="20">
      <x:c r="A20" s="10" t="str">
        <x:v>Harte Regel</x:v>
      </x:c>
      <x:c r="B20" s="10" t="str">
        <x:v>Festlegung</x:v>
      </x:c>
      <x:c r="C20" s="10" t="str">
        <x:v>Begründung</x:v>
      </x:c>
      <x:c r="D20" s="10" t="str"/>
      <x:c r="E20" s="10" t="str"/>
      <x:c r="F20" s="10" t="str"/>
    </x:row>
    <x:row r="21">
      <x:c r="A21" s="12" t="str">
        <x:v>Eintritt</x:v>
      </x:c>
      <x:c r="B21" s="12" t="str">
        <x:v>Kein kostenpflichtiger Eintritt</x:v>
      </x:c>
      <x:c r="C21" s="12" t="str">
        <x:v>Alle Pflichtschritte funktionieren im öffentlichen Außenraum.</x:v>
      </x:c>
      <x:c r="D21" s="12" t="str"/>
      <x:c r="E21" s="12" t="str"/>
      <x:c r="F21" s="12" t="str"/>
    </x:row>
    <x:row r="22">
      <x:c r="A22" s="12" t="str">
        <x:v>AR/Bilderkennung</x:v>
      </x:c>
      <x:c r="B22" s="12" t="str">
        <x:v>Nicht verwenden</x:v>
      </x:c>
      <x:c r="C22" s="12" t="str">
        <x:v>Keine AR- oder automatische Bilderkennungsaufgaben.</x:v>
      </x:c>
      <x:c r="D22" s="12" t="str"/>
      <x:c r="E22" s="12" t="str"/>
      <x:c r="F22" s="12" t="str"/>
    </x:row>
    <x:row r="23">
      <x:c r="A23" s="12" t="str">
        <x:v>Rote Orte</x:v>
      </x:c>
      <x:c r="B23" s="12" t="str">
        <x:v>Nie Pflichtstation</x:v>
      </x:c>
      <x:c r="C23" s="12" t="str">
        <x:v>Nur Reserve, Erzählung oder deaktivierter Hidden Hook.</x:v>
      </x:c>
      <x:c r="D23" s="12" t="str"/>
      <x:c r="E23" s="12" t="str"/>
      <x:c r="F23" s="12" t="str"/>
    </x:row>
    <x:row r="24">
      <x:c r="A24" s="12" t="str">
        <x:v>Aktuelle Sicht</x:v>
      </x:c>
      <x:c r="B24" s="12" t="str">
        <x:v>Vor Release offen</x:v>
      </x:c>
      <x:c r="C24" s="12" t="str">
        <x:v>Remote-only ersetzt keinen aktuellen datierten Sichtbeleg.</x:v>
      </x:c>
      <x:c r="D24" s="12" t="str"/>
      <x:c r="E24" s="12" t="str"/>
      <x:c r="F24" s="12" t="str"/>
    </x:row>
    <x:row r="25">
      <x:c r="A25" s="12" t="str">
        <x:v>Blinder Test</x:v>
      </x:c>
      <x:c r="B25" s="12" t="str">
        <x:v>Vor Release Pflicht</x:v>
      </x:c>
      <x:c r="C25" s="12" t="str">
        <x:v>Eine zweite Person muss Frage und Antwort ohne Vorwissen eindeutig lösen.</x:v>
      </x:c>
      <x:c r="D25" s="12" t="str"/>
      <x:c r="E25" s="12" t="str"/>
      <x:c r="F25" s="12" t="str"/>
    </x:row>
    <x:row r="26">
      <x:c r="A26" s="12" t="str">
        <x:v>Gehdistanz</x:v>
      </x:c>
      <x:c r="B26" s="12" t="str">
        <x:v>Planungswert</x:v>
      </x:c>
      <x:c r="C26" s="12" t="str">
        <x:v>Luftliniensegmente × 1,25; kein Turn-by-Turn-Routing.</x:v>
      </x:c>
      <x:c r="D26" s="12" t="str"/>
      <x:c r="E26" s="12" t="str"/>
      <x:c r="F26" s="12" t="str"/>
    </x:row>
  </x:sheetData>
  <x:mergeCells>
    <x:mergeCell ref="A1:F1"/>
    <x:mergeCell ref="A2:F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6" hidden="0" customWidth="1"/>
    <x:col min="2" max="2" width="14" hidden="0" customWidth="1"/>
    <x:col min="3" max="3" width="16" hidden="0" customWidth="1"/>
    <x:col min="4" max="4" width="10" hidden="0" customWidth="1"/>
    <x:col min="5" max="5" width="34" hidden="0" customWidth="1"/>
    <x:col min="6" max="6" width="30" hidden="0" customWidth="1"/>
    <x:col min="7" max="7" width="31" hidden="0" customWidth="1"/>
    <x:col min="8" max="8" width="28" hidden="0" customWidth="1"/>
    <x:col min="9" max="9" width="26" hidden="0" customWidth="1"/>
    <x:col min="10" max="10" width="47" hidden="0" customWidth="1"/>
    <x:col min="11" max="11" width="19" hidden="0" customWidth="1"/>
    <x:col min="12" max="12" width="11" hidden="0" customWidth="1"/>
    <x:col min="13" max="13" width="13" hidden="0" customWidth="1"/>
    <x:col min="14" max="14" width="10" hidden="0" customWidth="1"/>
    <x:col min="15" max="15" width="13" hidden="0" customWidth="1"/>
    <x:col min="16" max="16" width="12" hidden="0" customWidth="1"/>
    <x:col min="17" max="17" width="16" hidden="0" customWidth="1"/>
    <x:col min="18" max="18" width="47" hidden="0" customWidth="1"/>
    <x:col min="19" max="19" width="52" hidden="0" customWidth="1"/>
    <x:col min="20" max="20" width="27" hidden="0" customWidth="1"/>
    <x:col min="21" max="21" width="44" hidden="0" customWidth="1"/>
    <x:col min="22" max="22" width="44" hidden="0" customWidth="1"/>
    <x:col min="23" max="23" width="28" hidden="0" customWidth="1"/>
    <x:col min="24" max="24" width="11" hidden="0" customWidth="1"/>
    <x:col min="25" max="25" width="25" hidden="0" customWidth="1"/>
    <x:col min="26" max="26" width="58" hidden="0" customWidth="1"/>
    <x:col min="27" max="27" width="58" hidden="0" customWidth="1"/>
    <x:col min="28" max="28" width="55" hidden="0" customWidth="1"/>
    <x:col min="29" max="29" width="38" hidden="0" customWidth="1"/>
    <x:col min="30" max="30" width="24" hidden="0" customWidth="1"/>
    <x:col min="31" max="31" width="72" hidden="0" customWidth="1"/>
    <x:col min="32" max="32" width="24" hidden="0" customWidth="1"/>
  </x:cols>
  <x:sheetData>
    <x:row r="1" ht="28" customHeight="1">
      <x:c r="A1" s="55" t="str">
        <x:v>Via Romae – Unique-Enemy-Definitionen v0.9</x:v>
      </x:c>
      <x:c r="B1" s="55"/>
      <x:c r="C1" s="55"/>
      <x:c r="D1" s="55"/>
      <x:c r="E1" s="55"/>
      <x:c r="F1" s="55"/>
      <x:c r="G1" s="55"/>
      <x:c r="H1" s="55"/>
      <x:c r="I1" s="55"/>
      <x:c r="J1" s="55"/>
      <x:c r="K1" s="55"/>
      <x:c r="L1" s="55"/>
      <x:c r="M1" s="55"/>
      <x:c r="N1" s="55"/>
      <x:c r="O1" s="55"/>
      <x:c r="P1" s="55"/>
      <x:c r="Q1" s="55"/>
      <x:c r="R1" s="55"/>
      <x:c r="S1" s="55"/>
      <x:c r="T1" s="55"/>
      <x:c r="U1" s="55"/>
      <x:c r="V1" s="55"/>
      <x:c r="W1" s="55"/>
    </x:row>
    <x:row r="2" ht="38" customHeight="1">
      <x:c r="A2" s="59" t="str">
        <x:v>12 global persistente WORLD_ENEMIES. Numerische Werte und Team-Belohnungen stehen im Blatt Gegnerbalance und sind mit GDD v0.16 sowie GeoJSON v0.9 synchronisiert.</x:v>
      </x:c>
      <x:c r="B2" s="59"/>
      <x:c r="C2" s="59"/>
      <x:c r="D2" s="59"/>
      <x:c r="E2" s="59"/>
      <x:c r="F2" s="59"/>
      <x:c r="G2" s="59"/>
      <x:c r="H2" s="59"/>
      <x:c r="I2" s="59"/>
      <x:c r="J2" s="59"/>
      <x:c r="K2" s="59"/>
      <x:c r="L2" s="59"/>
      <x:c r="M2" s="59"/>
      <x:c r="N2" s="59"/>
      <x:c r="O2" s="59"/>
      <x:c r="P2" s="59"/>
      <x:c r="Q2" s="59"/>
      <x:c r="R2" s="59"/>
      <x:c r="S2" s="59"/>
      <x:c r="T2" s="59"/>
      <x:c r="U2" s="59"/>
      <x:c r="V2" s="59"/>
      <x:c r="W2" s="59"/>
    </x:row>
    <x:row r="3">
      <x:c r="A3" s="52"/>
      <x:c r="B3" s="52"/>
      <x:c r="C3" s="52"/>
      <x:c r="D3" s="52"/>
      <x:c r="E3" s="52"/>
      <x:c r="F3" s="52"/>
      <x:c r="G3" s="52"/>
      <x:c r="H3" s="52"/>
      <x:c r="I3" s="52"/>
      <x:c r="J3" s="52"/>
      <x:c r="K3" s="52"/>
      <x:c r="L3" s="52"/>
      <x:c r="M3" s="52"/>
      <x:c r="N3" s="52"/>
      <x:c r="O3" s="52"/>
      <x:c r="P3" s="52"/>
      <x:c r="Q3" s="52"/>
      <x:c r="R3" s="52"/>
      <x:c r="S3" s="52"/>
      <x:c r="T3" s="52"/>
      <x:c r="U3" s="52"/>
      <x:c r="V3" s="52"/>
      <x:c r="W3" s="52"/>
    </x:row>
    <x:row r="4" ht="42" customHeight="1">
      <x:c r="A4" s="62" t="str">
        <x:v>Nr.</x:v>
      </x:c>
      <x:c r="B4" s="62" t="str">
        <x:v>Encounter-ID</x:v>
      </x:c>
      <x:c r="C4" s="62" t="str">
        <x:v>Systemtyp</x:v>
      </x:c>
      <x:c r="D4" s="62" t="str">
        <x:v>Tag</x:v>
      </x:c>
      <x:c r="E4" s="62" t="str">
        <x:v>Kandidaten-ID</x:v>
      </x:c>
      <x:c r="F4" s="62" t="str">
        <x:v>Ort</x:v>
      </x:c>
      <x:c r="G4" s="62" t="str">
        <x:v>Cluster</x:v>
      </x:c>
      <x:c r="H4" s="62" t="str">
        <x:v>Gegnername</x:v>
      </x:c>
      <x:c r="I4" s="62" t="str">
        <x:v>Gegnerart</x:v>
      </x:c>
      <x:c r="J4" s="62" t="str">
        <x:v>Was ist es?</x:v>
      </x:c>
      <x:c r="K4" s="62" t="str">
        <x:v>Referenzart</x:v>
      </x:c>
      <x:c r="L4" s="62" t="str">
        <x:v>Ortsbezug</x:v>
      </x:c>
      <x:c r="M4" s="62" t="str">
        <x:v>Visuelle Inspiration</x:v>
      </x:c>
      <x:c r="N4" s="62" t="str">
        <x:v>Themenfit</x:v>
      </x:c>
      <x:c r="O4" s="62" t="str">
        <x:v>Operative Robustheit</x:v>
      </x:c>
      <x:c r="P4" s="62" t="str">
        <x:v>Gesamtscore</x:v>
      </x:c>
      <x:c r="Q4" s="62" t="str">
        <x:v>Empfehlung</x:v>
      </x:c>
      <x:c r="R4" s="62" t="str">
        <x:v>Sichtbarer / historischer Anker</x:v>
      </x:c>
      <x:c r="S4" s="62" t="str">
        <x:v>Einsatz- und Konfliktregel</x:v>
      </x:c>
      <x:c r="T4" s="62" t="str">
        <x:v>Research-Ampel</x:v>
      </x:c>
      <x:c r="U4" s="62" t="str">
        <x:v>Quellenlink</x:v>
      </x:c>
      <x:c r="V4" s="62" t="str">
        <x:v>Google Maps</x:v>
      </x:c>
      <x:c r="W4" s="62" t="str">
        <x:v>Noch offen</x:v>
      </x:c>
      <x:c r="X4" s="98" t="str">
        <x:v>Rarität</x:v>
      </x:c>
      <x:c r="Y4" s="98" t="str">
        <x:v>Kampfrolle</x:v>
      </x:c>
      <x:c r="Z4" s="98" t="str">
        <x:v>Kampfmuster</x:v>
      </x:c>
      <x:c r="AA4" s="98" t="str">
        <x:v>Signaturfähigkeit</x:v>
      </x:c>
      <x:c r="AB4" s="98" t="str">
        <x:v>Gegenstrategie</x:v>
      </x:c>
      <x:c r="AC4" s="98" t="str">
        <x:v>Status-/Zielregeln</x:v>
      </x:c>
      <x:c r="AD4" s="98" t="str">
        <x:v>Bildreferenz</x:v>
      </x:c>
      <x:c r="AE4" s="98" t="str">
        <x:v>Bildgenerierungsbeschreibung</x:v>
      </x:c>
      <x:c r="AF4" s="98" t="str">
        <x:v>Content-Status</x:v>
      </x:c>
    </x:row>
    <x:row r="5" ht="108" customHeight="1">
      <x:c r="A5" s="69" t="n">
        <x:v>1</x:v>
      </x:c>
      <x:c r="B5" s="65" t="str">
        <x:v>UE-D1-01</x:v>
      </x:c>
      <x:c r="C5" s="69" t="str">
        <x:v>WORLD_ENEMY</x:v>
      </x:c>
      <x:c r="D5" s="69" t="str">
        <x:v>DAY_1</x:v>
      </x:c>
      <x:c r="E5" s="65" t="str">
        <x:v>place_day_1_ponte_sant_angelo</x:v>
      </x:c>
      <x:c r="F5" s="65" t="str">
        <x:v>Engelsbrücke</x:v>
      </x:c>
      <x:c r="G5" s="65" t="str">
        <x:v>D1_VATICANO_PRATI_BORGO</x:v>
      </x:c>
      <x:c r="H5" s="65" t="str">
        <x:v>Angelo della Passione</x:v>
      </x:c>
      <x:c r="I5" s="65" t="str">
        <x:v>BELEBTE_ENGELSSTATUE</x:v>
      </x:c>
      <x:c r="J5" s="65" t="str">
        <x:v>Eine lebendig gewordene Marmorstatue eines Brückenengels; sie trägt eines der sichtbaren Passionsinstrumente.</x:v>
      </x:c>
      <x:c r="K5" s="69" t="str">
        <x:v>DIREKT</x:v>
      </x:c>
      <x:c r="L5" s="71" t="n">
        <x:v>5</x:v>
      </x:c>
      <x:c r="M5" s="71" t="n">
        <x:v>5</x:v>
      </x:c>
      <x:c r="N5" s="71" t="n">
        <x:v>5</x:v>
      </x:c>
      <x:c r="O5" s="71" t="n">
        <x:v>3</x:v>
      </x:c>
      <x:c r="P5" s="73" t="n">
        <x:v>4.5</x:v>
      </x:c>
      <x:c r="Q5" s="69" t="str">
        <x:v>SEHR_GUT</x:v>
      </x:c>
      <x:c r="R5" s="65" t="str">
        <x:v>Zehn große Engelsfiguren auf den Balustraden; Petrus und Paulus stehen getrennt an den Brückenköpfen.</x:v>
      </x:c>
      <x:c r="S5" s="65" t="str">
        <x:v>Global persistenter World Enemy. Spawn am breiteren Brückenkopf; seine 20-m-Aggrozone darf den Medien-Pickup von M-D1-02 in der Brückenmitte nicht überdecken.</x:v>
      </x:c>
      <x:c r="T5" s="69" t="str">
        <x:v>GRUEN_KONZEPTREIF</x:v>
      </x:c>
      <x:c r="U5" s="65" t="str">
        <x:v>https://www.turismoroma.it/en/places/terrace-castel-santangelo</x:v>
      </x:c>
      <x:c r="V5" s="65" t="str">
        <x:v>https://www.google.com/maps/search/?api=1&amp;query=41.9018932,12.4664274</x:v>
      </x:c>
      <x:c r="W5" s="65" t="str">
        <x:v>HP/ATK/DEF/INIT/Statuschance/Rewards: siehe Blatt Gegnerbalance; Respawn gemäss GDD v0.16 §29.5.</x:v>
      </x:c>
      <x:c r="X5" s="101" t="str">
        <x:v>SR</x:v>
      </x:c>
      <x:c r="Y5" s="101" t="str">
        <x:v>CONTROL_COUNTER</x:v>
      </x:c>
      <x:c r="Z5" s="101" t="str">
        <x:v>Hebt ein Passionsinstrument sichtbar an und kontert in der Folgerunde die zuerst wiederholte Aktionsart.</x:v>
      </x:c>
      <x:c r="AA5" s="101" t="str">
        <x:v>Gewicht der Passion: markiert einen Spieler; Schutz oder Heilung durch ein anderes Mitglied löst die Marke sicher.</x:v>
      </x:c>
      <x:c r="AB5" s="101" t="str">
        <x:v>Aktionsarten abwechseln; Bildhauer-Schwachstelle öffnet Marmorfugen.</x:v>
      </x:c>
      <x:c r="AC5" s="101" t="str">
        <x:v>MARKED|COUNTER_READY</x:v>
      </x:c>
      <x:c r="AD5" s="111"/>
      <x:c r="AE5" s="101" t="str">
        <x:v>Mobile-RPG-Gegnerkonzept, vollständige Figur, gut lesbare Kampfsilhouette, Rom-Fantasy, Lebendig gewordener Brückenengel aus hellem Marmor, große gefiederte Flügel, verwittertes Passionsinstrument, goldene Risse, entschlossener trauriger Blick, Tibernebel, Ganzkörper. Dramatisches aber nicht fotorealistisches Licht, neutraler transparenzgeeigneter Hintergrund, keine Schrift, kein Logo, keine Gore.</x:v>
      </x:c>
      <x:c r="AF5" s="101" t="str">
        <x:v>EDITORIAL_REVIEW</x:v>
      </x:c>
    </x:row>
    <x:row r="6" ht="108" customHeight="1">
      <x:c r="A6" s="70" t="n">
        <x:v>2</x:v>
      </x:c>
      <x:c r="B6" s="68" t="str">
        <x:v>UE-D1-02</x:v>
      </x:c>
      <x:c r="C6" s="70" t="str">
        <x:v>WORLD_ENEMY</x:v>
      </x:c>
      <x:c r="D6" s="70" t="str">
        <x:v>DAY_1</x:v>
      </x:c>
      <x:c r="E6" s="68" t="str">
        <x:v>place_day_1_obelisco_flaminio</x:v>
      </x:c>
      <x:c r="F6" s="68" t="str">
        <x:v>Obelisco Flaminio</x:v>
      </x:c>
      <x:c r="G6" s="68" t="str">
        <x:v>D1_POPOLO_PINCIO_SPAGNA</x:v>
      </x:c>
      <x:c r="H6" s="68" t="str">
        <x:v>Leone del Flaminio</x:v>
      </x:c>
      <x:c r="I6" s="68" t="str">
        <x:v>BELEBTE_TIERSTATUE</x:v>
      </x:c>
      <x:c r="J6" s="68" t="str">
        <x:v>Eine der vier monumentalen Löwenstatuen am Sockel des Obelisken erwacht als steinernes Raubtier.</x:v>
      </x:c>
      <x:c r="K6" s="70" t="str">
        <x:v>DIREKT</x:v>
      </x:c>
      <x:c r="L6" s="72" t="n">
        <x:v>5</x:v>
      </x:c>
      <x:c r="M6" s="72" t="n">
        <x:v>5</x:v>
      </x:c>
      <x:c r="N6" s="72" t="n">
        <x:v>5</x:v>
      </x:c>
      <x:c r="O6" s="72" t="n">
        <x:v>4</x:v>
      </x:c>
      <x:c r="P6" s="74" t="n">
        <x:v>4.8</x:v>
      </x:c>
      <x:c r="Q6" s="70" t="str">
        <x:v>SEHR_GUT</x:v>
      </x:c>
      <x:c r="R6" s="68" t="str">
        <x:v>Vier monumentale Löwenbrunnen unmittelbar um den Obelisksockel.</x:v>
      </x:c>
      <x:c r="S6" s="68" t="str">
        <x:v>Spawn seitlich auf der Piazza; die 20-m-Aggrozone darf den Pflicht-Blickpunkt von D1-Q03 am Obelisk nicht vollständig blockieren.</x:v>
      </x:c>
      <x:c r="T6" s="70" t="str">
        <x:v>GRUEN_KONZEPTREIF</x:v>
      </x:c>
      <x:c r="U6" s="68" t="str">
        <x:v>https://en.wikipedia.org/wiki/Flaminio_Obelisk</x:v>
      </x:c>
      <x:c r="V6" s="68" t="str">
        <x:v>https://www.google.com/maps/search/?api=1&amp;query=41.9107077,12.4763431</x:v>
      </x:c>
      <x:c r="W6" s="68" t="str">
        <x:v>HP/ATK/DEF/INIT/Statuschance/Rewards: siehe Blatt Gegnerbalance; Respawn gemäss GDD v0.16 §29.5.</x:v>
      </x:c>
      <x:c r="X6" s="104" t="str">
        <x:v>R</x:v>
      </x:c>
      <x:c r="Y6" s="104" t="str">
        <x:v>FAST_BRUISER</x:v>
      </x:c>
      <x:c r="Z6" s="104" t="str">
        <x:v>Umkreist das Team und kündigt einen geraden Sprungangriff durch gesenkte Steinpranken an.</x:v>
      </x:c>
      <x:c r="AA6" s="104" t="str">
        <x:v>Löwensprung: trifft Frontlinie; verfehlt teilweise, wenn ein Verteidiger die Linie abfängt.</x:v>
      </x:c>
      <x:c r="AB6" s="104" t="str">
        <x:v>Defensive Haltung vor Telegraph; Wasser-/Kontrolleffekt verlangsamt.</x:v>
      </x:c>
      <x:c r="AC6" s="104" t="str">
        <x:v>POUNCING|SLOWED</x:v>
      </x:c>
      <x:c r="AD6" s="111"/>
      <x:c r="AE6" s="104" t="str">
        <x:v>Mobile-RPG-Gegnerkonzept, vollständige Figur, gut lesbare Kampfsilhouette, Rom-Fantasy, Monumentaler ägyptisierender Löwe aus warmem Stein, Brunnenwasser tropft aus der Mähne, bronzene Augen, Hieroglyphensockel-Fragmente, kraftvolle niedrige Haltung. Dramatisches aber nicht fotorealistisches Licht, neutraler transparenzgeeigneter Hintergrund, keine Schrift, kein Logo, keine Gore.</x:v>
      </x:c>
      <x:c r="AF6" s="104" t="str">
        <x:v>EDITORIAL_REVIEW</x:v>
      </x:c>
    </x:row>
    <x:row r="7" ht="108" customHeight="1">
      <x:c r="A7" s="69" t="n">
        <x:v>3</x:v>
      </x:c>
      <x:c r="B7" s="65" t="str">
        <x:v>UE-D1-03</x:v>
      </x:c>
      <x:c r="C7" s="69" t="str">
        <x:v>WORLD_ENEMY</x:v>
      </x:c>
      <x:c r="D7" s="69" t="str">
        <x:v>DAY_1</x:v>
      </x:c>
      <x:c r="E7" s="65" t="str">
        <x:v>place_day_1_fontana_della_dea_di_roma</x:v>
      </x:c>
      <x:c r="F7" s="65" t="str">
        <x:v>Fontana della Dea di Roma</x:v>
      </x:c>
      <x:c r="G7" s="65" t="str">
        <x:v>D1_POPOLO_PINCIO_SPAGNA</x:v>
      </x:c>
      <x:c r="H7" s="65" t="str">
        <x:v>Dea Roma del Pincio</x:v>
      </x:c>
      <x:c r="I7" s="65" t="str">
        <x:v>BELEBTE_GÖTTERSTATUE</x:v>
      </x:c>
      <x:c r="J7" s="65" t="str">
        <x:v>Die sitzende Personifikation Roms steigt als monumentale Marmorwächterin aus der Brunnenkomposition.</x:v>
      </x:c>
      <x:c r="K7" s="69" t="str">
        <x:v>DIREKT</x:v>
      </x:c>
      <x:c r="L7" s="71" t="n">
        <x:v>5</x:v>
      </x:c>
      <x:c r="M7" s="71" t="n">
        <x:v>5</x:v>
      </x:c>
      <x:c r="N7" s="71" t="n">
        <x:v>5</x:v>
      </x:c>
      <x:c r="O7" s="71" t="n">
        <x:v>4</x:v>
      </x:c>
      <x:c r="P7" s="73" t="n">
        <x:v>4.8</x:v>
      </x:c>
      <x:c r="Q7" s="69" t="str">
        <x:v>SEHR_GUT</x:v>
      </x:c>
      <x:c r="R7" s="65" t="str">
        <x:v>Zentrale sitzende Göttin; im unteren Bereich sind die Wölfin und die Zwillinge deutlich erkennbar.</x:v>
      </x:c>
      <x:c r="S7" s="65" t="str">
        <x:v>Spawn seitlich der Brunnenachse; der Pflicht-Blickpunkt von D1-Q04 bleibt außerhalb der 20-m-Aggrozone. Die Questbegegnung Ombra di Antinoo bleibt getrennt.</x:v>
      </x:c>
      <x:c r="T7" s="69" t="str">
        <x:v>GRUEN_PARKZUGANG</x:v>
      </x:c>
      <x:c r="U7" s="65" t="str">
        <x:v>https://www.openstreetmap.org/relation/11496554</x:v>
      </x:c>
      <x:c r="V7" s="65" t="str">
        <x:v>https://www.google.com/maps/search/?api=1&amp;query=41.9109167,12.4771784</x:v>
      </x:c>
      <x:c r="W7" s="65" t="str">
        <x:v>HP/ATK/DEF/INIT/Statuschance/Rewards: siehe Blatt Gegnerbalance; Respawn gemäss GDD v0.16 §29.5.</x:v>
      </x:c>
      <x:c r="X7" s="101" t="str">
        <x:v>SSR</x:v>
      </x:c>
      <x:c r="Y7" s="101" t="str">
        <x:v>AURA_COMMANDER</x:v>
      </x:c>
      <x:c r="Z7" s="101" t="str">
        <x:v>Wechselt zwischen Roma-Aura, Wölfinruf und Zwillingsmarken; jede Haltung ist sichtbar telegraphiert.</x:v>
      </x:c>
      <x:c r="AA7" s="101" t="str">
        <x:v>Ruf der Stadt: verstärkt sich, wenn zwei markierte Spieler dieselbe Aktion wählen.</x:v>
      </x:c>
      <x:c r="AB7" s="101" t="str">
        <x:v>Markierte Spieler wählen unterschiedliche Rollen; Ordensperson entfernt Furcht, Bildhauer bricht Auraanker.</x:v>
      </x:c>
      <x:c r="AC7" s="101" t="str">
        <x:v>AURA|TWIN_MARK|FEAR</x:v>
      </x:c>
      <x:c r="AD7" s="111"/>
      <x:c r="AE7" s="101" t="str">
        <x:v>Mobile-RPG-Gegnerkonzept, vollständige Figur, gut lesbare Kampfsilhouette, Rom-Fantasy, Monumentale sitzende Göttin Roma aus weißem Marmor, roter Mantel als magisches Licht, Helm, Speer gesenkt, Wölfin und zwei geisterhafte Zwillinge am Sockel, würdevoll. Dramatisches aber nicht fotorealistisches Licht, neutraler transparenzgeeigneter Hintergrund, keine Schrift, kein Logo, keine Gore.</x:v>
      </x:c>
      <x:c r="AF7" s="101" t="str">
        <x:v>EDITORIAL_REVIEW</x:v>
      </x:c>
    </x:row>
    <x:row r="8" ht="108" customHeight="1">
      <x:c r="A8" s="70" t="n">
        <x:v>4</x:v>
      </x:c>
      <x:c r="B8" s="68" t="str">
        <x:v>UE-D1-04</x:v>
      </x:c>
      <x:c r="C8" s="70" t="str">
        <x:v>WORLD_ENEMY</x:v>
      </x:c>
      <x:c r="D8" s="70" t="str">
        <x:v>DAY_1</x:v>
      </x:c>
      <x:c r="E8" s="68" t="str">
        <x:v>place_day_1_colonna_di_marco_aurelio</x:v>
      </x:c>
      <x:c r="F8" s="68" t="str">
        <x:v>Mark-Aurel-Säule</x:v>
      </x:c>
      <x:c r="G8" s="68" t="str">
        <x:v>D1_NAVONA_PANTHEON</x:v>
      </x:c>
      <x:c r="H8" s="68" t="str">
        <x:v>Legionario della Colonna</x:v>
      </x:c>
      <x:c r="I8" s="68" t="str">
        <x:v>RELIEF_WIEDERGÄNGER</x:v>
      </x:c>
      <x:c r="J8" s="68" t="str">
        <x:v>Ein römischer Legionär löst sich aus dem spiralförmigen Reliefband und wird zum steinernen Wiedergänger.</x:v>
      </x:c>
      <x:c r="K8" s="70" t="str">
        <x:v>DIREKT_ABGELEITET</x:v>
      </x:c>
      <x:c r="L8" s="72" t="n">
        <x:v>5</x:v>
      </x:c>
      <x:c r="M8" s="72" t="n">
        <x:v>5</x:v>
      </x:c>
      <x:c r="N8" s="72" t="n">
        <x:v>5</x:v>
      </x:c>
      <x:c r="O8" s="72" t="n">
        <x:v>3</x:v>
      </x:c>
      <x:c r="P8" s="74" t="n">
        <x:v>4.5</x:v>
      </x:c>
      <x:c r="Q8" s="70" t="str">
        <x:v>SEHR_GUT</x:v>
      </x:c>
      <x:c r="R8" s="68" t="str">
        <x:v>Breites spiralförmiges Reliefband mit zahlreichen Soldaten- und Schlachtszenen.</x:v>
      </x:c>
      <x:c r="S8" s="68" t="str">
        <x:v>Spawn am Rand der Piazza Colonna; die 20-m-Aggrozone muss einen freien Pflicht-Blickpunkt für D1-Q08 lassen. Kleine Reliefdetails sind keine Triggerbedingung.</x:v>
      </x:c>
      <x:c r="T8" s="70" t="str">
        <x:v>GRUEN_KONZEPTREIF</x:v>
      </x:c>
      <x:c r="U8" s="68" t="str">
        <x:v>https://it.wikipedia.org/wiki/Colonna_di_Marco_Aurelio</x:v>
      </x:c>
      <x:c r="V8" s="68" t="str">
        <x:v>https://www.google.com/maps/search/?api=1&amp;query=41.9008477,12.4799871</x:v>
      </x:c>
      <x:c r="W8" s="68" t="str">
        <x:v>HP/ATK/DEF/INIT/Statuschance/Rewards: siehe Blatt Gegnerbalance; Respawn gemäss GDD v0.16 §29.5.</x:v>
      </x:c>
      <x:c r="X8" s="104" t="str">
        <x:v>SR</x:v>
      </x:c>
      <x:c r="Y8" s="104" t="str">
        <x:v>FORMATION_SOLDIER</x:v>
      </x:c>
      <x:c r="Z8" s="104" t="str">
        <x:v>Baut eine Schildlinie auf und wechselt nach jeder dritten Teamaktion zur Speerformation.</x:v>
      </x:c>
      <x:c r="AA8" s="104" t="str">
        <x:v>Reliefmarsch: ruft flache Soldatenschatten, die eine Aktionskategorie blockieren.</x:v>
      </x:c>
      <x:c r="AB8" s="104" t="str">
        <x:v>Flanke/Schwachstelle statt Frontalangriff; unterschiedliche Ziele lösen Schatten auf.</x:v>
      </x:c>
      <x:c r="AC8" s="104" t="str">
        <x:v>SHIELD_WALL|ACTION_BLOCK</x:v>
      </x:c>
      <x:c r="AD8" s="111"/>
      <x:c r="AE8" s="104" t="str">
        <x:v>Mobile-RPG-Gegnerkonzept, vollständige Figur, gut lesbare Kampfsilhouette, Rom-Fantasy, Römischer Legionär aus grauem Reliefstein, Körper teilweise flach wie aus einer Säule geschnitten, Rechteckschild, Speer, spiralförmige Reliefbänder schweben hinter ihm. Dramatisches aber nicht fotorealistisches Licht, neutraler transparenzgeeigneter Hintergrund, keine Schrift, kein Logo, keine Gore.</x:v>
      </x:c>
      <x:c r="AF8" s="104" t="str">
        <x:v>EDITORIAL_REVIEW</x:v>
      </x:c>
    </x:row>
    <x:row r="9" ht="108" customHeight="1">
      <x:c r="A9" s="69" t="n">
        <x:v>5</x:v>
      </x:c>
      <x:c r="B9" s="65" t="str">
        <x:v>UE-D1-05</x:v>
      </x:c>
      <x:c r="C9" s="69" t="str">
        <x:v>WORLD_ENEMY</x:v>
      </x:c>
      <x:c r="D9" s="69" t="str">
        <x:v>DAY_1</x:v>
      </x:c>
      <x:c r="E9" s="65" t="str">
        <x:v>place_day_1_obelisco_di_montecitorio</x:v>
      </x:c>
      <x:c r="F9" s="65" t="str">
        <x:v>Obelisco di Montecitorio</x:v>
      </x:c>
      <x:c r="G9" s="65" t="str">
        <x:v>D1_NAVONA_PANTHEON</x:v>
      </x:c>
      <x:c r="H9" s="65" t="str">
        <x:v>Ombra dell’Horologium</x:v>
      </x:c>
      <x:c r="I9" s="65" t="str">
        <x:v>ZEIT_UND_SCHATTENGEIST</x:v>
      </x:c>
      <x:c r="J9" s="65" t="str">
        <x:v>Ein Zeitgeist aus wanderndem Schatten, abgeleitet von der antiken Nutzung des Obelisken als Zeiger des Horologium Augusti.</x:v>
      </x:c>
      <x:c r="K9" s="69" t="str">
        <x:v>INDIREKT_HISTORISCH</x:v>
      </x:c>
      <x:c r="L9" s="71" t="n">
        <x:v>5</x:v>
      </x:c>
      <x:c r="M9" s="71" t="n">
        <x:v>4</x:v>
      </x:c>
      <x:c r="N9" s="71" t="n">
        <x:v>5</x:v>
      </x:c>
      <x:c r="O9" s="71" t="n">
        <x:v>4</x:v>
      </x:c>
      <x:c r="P9" s="73" t="n">
        <x:v>4.5</x:v>
      </x:c>
      <x:c r="Q9" s="69" t="str">
        <x:v>SEHR_GUT</x:v>
      </x:c>
      <x:c r="R9" s="65" t="str">
        <x:v>Monumentaler Obelisk mit Hieroglyphen; die historische Gnomon-Funktion liefert das Schattenmotiv.</x:v>
      </x:c>
      <x:c r="S9" s="65" t="str">
        <x:v>Spawn seitlich auf der Piazza di Monte Citorio; Pflicht-Blickpunkt von D1-Q08 freihalten. Reale Schattenposition und Tageszeit sind keine Triggerbedingung.</x:v>
      </x:c>
      <x:c r="T9" s="69" t="str">
        <x:v>GRUEN_KONZEPTREIF</x:v>
      </x:c>
      <x:c r="U9" s="65" t="str">
        <x:v>https://it.wikipedia.org/wiki/Obelisco_di_Montecitorio</x:v>
      </x:c>
      <x:c r="V9" s="65" t="str">
        <x:v>https://www.google.com/maps/search/?api=1&amp;query=41.9006787,12.4786653</x:v>
      </x:c>
      <x:c r="W9" s="65" t="str">
        <x:v>HP/ATK/DEF/INIT/Statuschance/Rewards: siehe Blatt Gegnerbalance; Respawn gemäss GDD v0.16 §29.5.</x:v>
      </x:c>
      <x:c r="X9" s="101" t="str">
        <x:v>SSR</x:v>
      </x:c>
      <x:c r="Y9" s="101" t="str">
        <x:v>TIME_CONTROLLER</x:v>
      </x:c>
      <x:c r="Z9" s="101" t="str">
        <x:v>Legt eine sichtbare Drei-Schritt-Zeitleiste an; verzögerte Aktionen werden verstärkt, hektische Wiederholungen bestraft.</x:v>
      </x:c>
      <x:c r="AA9" s="101" t="str">
        <x:v>Schattenstunde: setzt Initiative nach sichtbarem Countdown neu.</x:v>
      </x:c>
      <x:c r="AB9" s="101" t="str">
        <x:v>Aktionen vor Countdown koordinieren; Licht-/Beobachtungseffekt fixiert den Schatten.</x:v>
      </x:c>
      <x:c r="AC9" s="101" t="str">
        <x:v>DELAYED|INITIATIVE_SHIFT</x:v>
      </x:c>
      <x:c r="AD9" s="111"/>
      <x:c r="AE9" s="101" t="str">
        <x:v>Mobile-RPG-Gegnerkonzept, vollständige Figur, gut lesbare Kampfsilhouette, Rom-Fantasy, Humanoider Geist aus schwarzem Schatten und goldenen Sonnenlinien, Obelisken-Silhouette als Rücken, schwebende römische Stundenmarken, keine reale Schattenposition nötig. Dramatisches aber nicht fotorealistisches Licht, neutraler transparenzgeeigneter Hintergrund, keine Schrift, kein Logo, keine Gore.</x:v>
      </x:c>
      <x:c r="AF9" s="101" t="str">
        <x:v>EDITORIAL_REVIEW</x:v>
      </x:c>
    </x:row>
    <x:row r="10" ht="108" customHeight="1">
      <x:c r="A10" s="70" t="n">
        <x:v>6</x:v>
      </x:c>
      <x:c r="B10" s="68" t="str">
        <x:v>UE-D1-06</x:v>
      </x:c>
      <x:c r="C10" s="70" t="str">
        <x:v>WORLD_ENEMY</x:v>
      </x:c>
      <x:c r="D10" s="70" t="str">
        <x:v>DAY_1</x:v>
      </x:c>
      <x:c r="E10" s="68" t="str">
        <x:v>place_day_1_basilica_di_sant_andrea_della_valle</x:v>
      </x:c>
      <x:c r="F10" s="68" t="str">
        <x:v>Basilica di Sant'Andrea della Valle</x:v>
      </x:c>
      <x:c r="G10" s="68" t="str">
        <x:v>D1_CAMPO_REGOLA_GHETTO</x:v>
      </x:c>
      <x:c r="H10" s="68" t="str">
        <x:v>Custode della Cupola</x:v>
      </x:c>
      <x:c r="I10" s="68" t="str">
        <x:v>BELEBTER_FASSADENENGEL</x:v>
      </x:c>
      <x:c r="J10" s="68" t="str">
        <x:v>Die einzelne große Engelsfigur der Fassade erwacht als steinerner Wächter der Kuppelbasilika.</x:v>
      </x:c>
      <x:c r="K10" s="70" t="str">
        <x:v>DIREKT</x:v>
      </x:c>
      <x:c r="L10" s="72" t="n">
        <x:v>5</x:v>
      </x:c>
      <x:c r="M10" s="72" t="n">
        <x:v>5</x:v>
      </x:c>
      <x:c r="N10" s="72" t="n">
        <x:v>4</x:v>
      </x:c>
      <x:c r="O10" s="72" t="n">
        <x:v>2</x:v>
      </x:c>
      <x:c r="P10" s="74" t="n">
        <x:v>4</x:v>
      </x:c>
      <x:c r="Q10" s="70" t="str">
        <x:v>GUT</x:v>
      </x:c>
      <x:c r="R10" s="68" t="str">
        <x:v>Einzelne große Engelsfigur auf der linken Fassadenseite vom öffentlichen Außenpunkt aus.</x:v>
      </x:c>
      <x:c r="S10" s="68" t="str">
        <x:v>Nur mit bestätigtem seitlichem Spawnpunkt einsetzen; die 20-m-Aggrozone darf den Außenhinweis von D1-Q13 und den Gehweg nicht vollständig blockieren.</x:v>
      </x:c>
      <x:c r="T10" s="70" t="str">
        <x:v>GELB_FASSADENSICHT</x:v>
      </x:c>
      <x:c r="U10" s="68" t="str">
        <x:v>https://it.wikipedia.org/wiki/Basilica_di_Sant%27Andrea_della_Valle</x:v>
      </x:c>
      <x:c r="V10" s="68" t="str">
        <x:v>https://www.google.com/maps/search/?api=1&amp;query=41.8960034,12.4743329</x:v>
      </x:c>
      <x:c r="W10" s="68" t="str">
        <x:v>HP/ATK/DEF/INIT/Statuschance/Rewards: siehe Blatt Gegnerbalance; Respawn gemäss GDD v0.16 §29.5.</x:v>
      </x:c>
      <x:c r="X10" s="104" t="str">
        <x:v>R</x:v>
      </x:c>
      <x:c r="Y10" s="104" t="str">
        <x:v>AERIAL_GUARD</x:v>
      </x:c>
      <x:c r="Z10" s="104" t="str">
        <x:v>Schützt sich mit Steinflügeln und stößt nach einem Fassadenruf auf ein Ziel herab.</x:v>
      </x:c>
      <x:c r="AA10" s="104" t="str">
        <x:v>Kuppelwacht: erhält Schutz, solange kein Teammitglied eine Beobachtungs-/Schwachstellenaktion nutzt.</x:v>
      </x:c>
      <x:c r="AB10" s="104" t="str">
        <x:v>Fassadenanker identifizieren; Fern- oder Kontrollaktion unterbricht Sturzflug.</x:v>
      </x:c>
      <x:c r="AC10" s="104" t="str">
        <x:v>WING_GUARD|DIVE_READY</x:v>
      </x:c>
      <x:c r="AD10" s="111"/>
      <x:c r="AE10" s="104" t="str">
        <x:v>Mobile-RPG-Gegnerkonzept, vollständige Figur, gut lesbare Kampfsilhouette, Rom-Fantasy, Einzelner barocker Fassadenengel aus hellem Stein, asymmetrische leicht beschädigte Flügel, Schriftrolle, Kuppelsilhouette im Hintergrund, wachsam statt religiös verehrt. Dramatisches aber nicht fotorealistisches Licht, neutraler transparenzgeeigneter Hintergrund, keine Schrift, kein Logo, keine Gore.</x:v>
      </x:c>
      <x:c r="AF10" s="104" t="str">
        <x:v>EDITORIAL_REVIEW</x:v>
      </x:c>
    </x:row>
    <x:row r="11" ht="108" customHeight="1">
      <x:c r="A11" s="69" t="n">
        <x:v>7</x:v>
      </x:c>
      <x:c r="B11" s="65" t="str">
        <x:v>UE-D1-07</x:v>
      </x:c>
      <x:c r="C11" s="69" t="str">
        <x:v>WORLD_ENEMY</x:v>
      </x:c>
      <x:c r="D11" s="69" t="str">
        <x:v>DAY_1</x:v>
      </x:c>
      <x:c r="E11" s="65" t="str">
        <x:v>place_day_1_isola_tiberina</x:v>
      </x:c>
      <x:c r="F11" s="65" t="str">
        <x:v>Isola Tiberina</x:v>
      </x:c>
      <x:c r="G11" s="65" t="str">
        <x:v>D1_CAMPO_REGOLA_GHETTO</x:v>
      </x:c>
      <x:c r="H11" s="65" t="str">
        <x:v>Serpente di Esculapio</x:v>
      </x:c>
      <x:c r="I11" s="65" t="str">
        <x:v>MYTHISCHER_SCHLANGENGEIST</x:v>
      </x:c>
      <x:c r="J11" s="65" t="str">
        <x:v>Ein heiliger Schlangengeist des antiken Asklepios-Kults, der die schiffsförmige Insel als sein steinernes Lager nutzt.</x:v>
      </x:c>
      <x:c r="K11" s="69" t="str">
        <x:v>INDIREKT_HISTORISCH</x:v>
      </x:c>
      <x:c r="L11" s="71" t="n">
        <x:v>5</x:v>
      </x:c>
      <x:c r="M11" s="71" t="n">
        <x:v>4</x:v>
      </x:c>
      <x:c r="N11" s="71" t="n">
        <x:v>5</x:v>
      </x:c>
      <x:c r="O11" s="71" t="n">
        <x:v>2</x:v>
      </x:c>
      <x:c r="P11" s="73" t="n">
        <x:v>4</x:v>
      </x:c>
      <x:c r="Q11" s="69" t="str">
        <x:v>GUT</x:v>
      </x:c>
      <x:c r="R11" s="65" t="str">
        <x:v>Travertinreste eines Schiffsbugs und ein Asklepios-Relief am östlichen Inselende.</x:v>
      </x:c>
      <x:c r="S11" s="65" t="str">
        <x:v>Spawn auf einer breiteren Inselfläche, nicht an einem Brückenhals. Die Aggrozone darf D1-Q14 nicht erzwingen; Insel- und Schiffsform dienen als visueller Fallback.</x:v>
      </x:c>
      <x:c r="T11" s="69" t="str">
        <x:v>GELB_SICHTWINKEL</x:v>
      </x:c>
      <x:c r="U11" s="65" t="str">
        <x:v>https://www.openstreetmap.org/node/4798313727</x:v>
      </x:c>
      <x:c r="V11" s="65" t="str">
        <x:v>https://www.google.com/maps/search/?api=1&amp;query=41.8896365,12.4792342</x:v>
      </x:c>
      <x:c r="W11" s="65" t="str">
        <x:v>HP/ATK/DEF/INIT/Statuschance/Rewards: siehe Blatt Gegnerbalance; Respawn gemäss GDD v0.16 §29.5.</x:v>
      </x:c>
      <x:c r="X11" s="101" t="str">
        <x:v>SSR</x:v>
      </x:c>
      <x:c r="Y11" s="101" t="str">
        <x:v>HEAL_DENIAL</x:v>
      </x:c>
      <x:c r="Z11" s="101" t="str">
        <x:v>Schlängelt sich zwischen Heilzeichen und verwandelt übermäßige Heilung in einen Schild.</x:v>
      </x:c>
      <x:c r="AA11" s="101" t="str">
        <x:v>Asklepios-Windung: bindet den zuletzt geheilten Spieler und kopiert einen Teil der Heilung als Barriere.</x:v>
      </x:c>
      <x:c r="AB11" s="101" t="str">
        <x:v>Heilung zeitlich verteilen; Einzelziel-Kontrolle löst Windung; Ordensperson reinigt Bindung.</x:v>
      </x:c>
      <x:c r="AC11" s="101" t="str">
        <x:v>BOUND|ABSORB_HEAL</x:v>
      </x:c>
      <x:c r="AD11" s="111"/>
      <x:c r="AE11" s="101" t="str">
        <x:v>Mobile-RPG-Gegnerkonzept, vollständige Figur, gut lesbare Kampfsilhouette, Rom-Fantasy, Großer heiliger Schlangengeist aus grünem Stein und blauem Licht, um einen verwitterten Asklepiosstab gewunden, Travertin-Schiffsbug-Fragmente, ruhig und bedrohlich. Dramatisches aber nicht fotorealistisches Licht, neutraler transparenzgeeigneter Hintergrund, keine Schrift, kein Logo, keine Gore.</x:v>
      </x:c>
      <x:c r="AF11" s="101" t="str">
        <x:v>EDITORIAL_REVIEW</x:v>
      </x:c>
    </x:row>
    <x:row r="12" ht="108" customHeight="1">
      <x:c r="A12" s="70" t="n">
        <x:v>8</x:v>
      </x:c>
      <x:c r="B12" s="68" t="str">
        <x:v>UE-D1-08</x:v>
      </x:c>
      <x:c r="C12" s="70" t="str">
        <x:v>WORLD_ENEMY</x:v>
      </x:c>
      <x:c r="D12" s="70" t="str">
        <x:v>DAY_1</x:v>
      </x:c>
      <x:c r="E12" s="68" t="str">
        <x:v>place_day_1_ponte_sisto</x:v>
      </x:c>
      <x:c r="F12" s="68" t="str">
        <x:v>Ponte Sisto</x:v>
      </x:c>
      <x:c r="G12" s="68" t="str">
        <x:v>D1_CAMPO_REGOLA_GHETTO</x:v>
      </x:c>
      <x:c r="H12" s="68" t="str">
        <x:v>Occhio del Tevere</x:v>
      </x:c>
      <x:c r="I12" s="68" t="str">
        <x:v>WASSER_UND_BRÜCKENGEIST</x:v>
      </x:c>
      <x:c r="J12" s="68" t="str">
        <x:v>Ein kreisförmiger Tibergeist, der sich als flüssiges Auge in der großen Mittelöffnung der Brücke manifestiert.</x:v>
      </x:c>
      <x:c r="K12" s="70" t="str">
        <x:v>DIREKT_ABGELEITET</x:v>
      </x:c>
      <x:c r="L12" s="72" t="n">
        <x:v>4</x:v>
      </x:c>
      <x:c r="M12" s="72" t="n">
        <x:v>4</x:v>
      </x:c>
      <x:c r="N12" s="72" t="n">
        <x:v>4</x:v>
      </x:c>
      <x:c r="O12" s="72" t="n">
        <x:v>3</x:v>
      </x:c>
      <x:c r="P12" s="74" t="n">
        <x:v>3.8</x:v>
      </x:c>
      <x:c r="Q12" s="70" t="str">
        <x:v>GUT</x:v>
      </x:c>
      <x:c r="R12" s="68" t="str">
        <x:v>Große kreisrunde Öffnung zwischen den beiden mittleren Brückenbögen.</x:v>
      </x:c>
      <x:c r="S12" s="68" t="str">
        <x:v>Spawn am Uferblickpunkt statt auf dem Brückendeck; die 20-m-Aggrozone darf den Weg und Dialogschritt von D1-Q12 nicht vollständig sperren.</x:v>
      </x:c>
      <x:c r="T12" s="70" t="str">
        <x:v>GRUEN_MIT_BLICKPUNKT</x:v>
      </x:c>
      <x:c r="U12" s="68" t="str">
        <x:v>https://www.turismoroma.it/it/luoghi/ponte-sisto</x:v>
      </x:c>
      <x:c r="V12" s="68" t="str">
        <x:v>https://www.google.com/maps/search/?api=1&amp;query=41.8923463,12.4707703</x:v>
      </x:c>
      <x:c r="W12" s="68" t="str">
        <x:v>HP/ATK/DEF/INIT/Statuschance/Rewards: siehe Blatt Gegnerbalance; Respawn gemäss GDD v0.16 §29.5.</x:v>
      </x:c>
      <x:c r="X12" s="104" t="str">
        <x:v>R</x:v>
      </x:c>
      <x:c r="Y12" s="104" t="str">
        <x:v>AREA_HAZARD</x:v>
      </x:c>
      <x:c r="Z12" s="104" t="str">
        <x:v>Öffnet und schließt ein kreisförmiges Wasserauge; Angriff trifft nur die zuletzt markierte Reihe.</x:v>
      </x:c>
      <x:c r="AA12" s="104" t="str">
        <x:v>Tiberblick: beobachtet eine Aktion und spiegelt deren Statuseffekt abgeschwächt.</x:v>
      </x:c>
      <x:c r="AB12" s="104" t="str">
        <x:v>Reihe wechseln; reine Schadensaktion kann ohne spiegelbaren Debuff gewählt werden.</x:v>
      </x:c>
      <x:c r="AC12" s="104" t="str">
        <x:v>WATCHED|SOAKED</x:v>
      </x:c>
      <x:c r="AD12" s="111"/>
      <x:c r="AE12" s="104" t="str">
        <x:v>Mobile-RPG-Gegnerkonzept, vollständige Figur, gut lesbare Kampfsilhouette, Rom-Fantasy, Schwebendes kreisförmiges Auge aus Tiberwasser, steinerner Ring wie die Mittelöffnung der Brücke, Strömungsiris, kleine Brückenbogen-Fragmente, surreal aber klar lesbar. Dramatisches aber nicht fotorealistisches Licht, neutraler transparenzgeeigneter Hintergrund, keine Schrift, kein Logo, keine Gore.</x:v>
      </x:c>
      <x:c r="AF12" s="104" t="str">
        <x:v>EDITORIAL_REVIEW</x:v>
      </x:c>
    </x:row>
    <x:row r="13" ht="108" customHeight="1">
      <x:c r="A13" s="69" t="n">
        <x:v>9</x:v>
      </x:c>
      <x:c r="B13" s="65" t="str">
        <x:v>UE-D2-01</x:v>
      </x:c>
      <x:c r="C13" s="69" t="str">
        <x:v>WORLD_ENEMY</x:v>
      </x:c>
      <x:c r="D13" s="69" t="str">
        <x:v>DAY_2</x:v>
      </x:c>
      <x:c r="E13" s="65" t="str">
        <x:v>place_day_2_altare_della_patria</x:v>
      </x:c>
      <x:c r="F13" s="65" t="str">
        <x:v>Nationaldenkmal für Viktor Emanuel II.</x:v>
      </x:c>
      <x:c r="G13" s="65" t="str">
        <x:v>D2_CAMPIDOGLIO_FORI_TRAIANEI</x:v>
      </x:c>
      <x:c r="H13" s="65" t="str">
        <x:v>Quadriga dell’Unità</x:v>
      </x:c>
      <x:c r="I13" s="65" t="str">
        <x:v>BELEBTE_BRONZEQUADRIGA</x:v>
      </x:c>
      <x:c r="J13" s="65" t="str">
        <x:v>Eine der monumentalen bronzenen Quadrigen löst sich vom Dach und erscheint als übergroßer Wagengeist.</x:v>
      </x:c>
      <x:c r="K13" s="69" t="str">
        <x:v>DIREKT</x:v>
      </x:c>
      <x:c r="L13" s="71" t="n">
        <x:v>5</x:v>
      </x:c>
      <x:c r="M13" s="71" t="n">
        <x:v>5</x:v>
      </x:c>
      <x:c r="N13" s="71" t="n">
        <x:v>5</x:v>
      </x:c>
      <x:c r="O13" s="71" t="n">
        <x:v>3</x:v>
      </x:c>
      <x:c r="P13" s="73" t="n">
        <x:v>4.5</x:v>
      </x:c>
      <x:c r="Q13" s="69" t="str">
        <x:v>SEHR_GUT</x:v>
      </x:c>
      <x:c r="R13" s="65" t="str">
        <x:v>Zwei monumentale Quadrigen an den oberen Enden des Vittoriano.</x:v>
      </x:c>
      <x:c r="S13" s="65" t="str">
        <x:v>Spawn auf einer sicheren Außenfläche seitlich der Hauptachse; keine Treppe, Terrasse oder Innenfläche voraussetzen. Pflicht-Blickpunkt von D2-Q02 freihalten.</x:v>
      </x:c>
      <x:c r="T13" s="69" t="str">
        <x:v>GRUEN_MENSCHENMENGE</x:v>
      </x:c>
      <x:c r="U13" s="65" t="str">
        <x:v>https://vive.cultura.gov.it/</x:v>
      </x:c>
      <x:c r="V13" s="65" t="str">
        <x:v>https://www.google.com/maps/search/?api=1&amp;query=41.8947045,12.4831835</x:v>
      </x:c>
      <x:c r="W13" s="65" t="str">
        <x:v>HP/ATK/DEF/INIT/Statuschance/Rewards: siehe Blatt Gegnerbalance; Respawn gemäss GDD v0.16 §29.5.</x:v>
      </x:c>
      <x:c r="X13" s="101" t="str">
        <x:v>E</x:v>
      </x:c>
      <x:c r="Y13" s="101" t="str">
        <x:v>MULTI_PHASE_CHARGER</x:v>
      </x:c>
      <x:c r="Z13" s="101" t="str">
        <x:v>Erscheint als Wagengeist mit zwei Pferdepaaren; wechselt zwischen Parade, Sturm und Siegeskreis.</x:v>
      </x:c>
      <x:c r="AA13" s="101" t="str">
        <x:v>Quadriga-Sturm: zwei nacheinander telegraphierte Linienangriffe.</x:v>
      </x:c>
      <x:c r="AB13" s="101" t="str">
        <x:v>Zwischen Linien wechseln; Kontrolle eines Pferdepaars reduziert zweiten Angriff; Condottiere liest Route.</x:v>
      </x:c>
      <x:c r="AC13" s="101" t="str">
        <x:v>CHARGE_LINE|TRIUMPH_AURA</x:v>
      </x:c>
      <x:c r="AD13" s="111"/>
      <x:c r="AE13" s="101" t="str">
        <x:v>Mobile-RPG-Gegnerkonzept, vollständige Figur, gut lesbare Kampfsilhouette, Rom-Fantasy, Übergroße bronzene Quadriga mit vier geisterhaften Pferden, geflügelte Wagenlenkerin als abstrakte Siegesfigur, grüne Patina, weißer Monumentstein und goldener Sturm. Dramatisches aber nicht fotorealistisches Licht, neutraler transparenzgeeigneter Hintergrund, keine Schrift, kein Logo, keine Gore.</x:v>
      </x:c>
      <x:c r="AF13" s="101" t="str">
        <x:v>EDITORIAL_REVIEW</x:v>
      </x:c>
    </x:row>
    <x:row r="14" ht="108" customHeight="1">
      <x:c r="A14" s="70" t="n">
        <x:v>10</x:v>
      </x:c>
      <x:c r="B14" s="68" t="str">
        <x:v>UE-D2-02</x:v>
      </x:c>
      <x:c r="C14" s="70" t="str">
        <x:v>WORLD_ENEMY</x:v>
      </x:c>
      <x:c r="D14" s="70" t="str">
        <x:v>DAY_2</x:v>
      </x:c>
      <x:c r="E14" s="68" t="str">
        <x:v>place_day_2_fontana_dei_tritoni</x:v>
      </x:c>
      <x:c r="F14" s="68" t="str">
        <x:v>Tritonenbrunnen</x:v>
      </x:c>
      <x:c r="G14" s="68" t="str">
        <x:v>D2_AVENTINO_FORUM_BOARIUM</x:v>
      </x:c>
      <x:c r="H14" s="68" t="str">
        <x:v>Coppia dei Tritoni</x:v>
      </x:c>
      <x:c r="I14" s="68" t="str">
        <x:v>BELEBTES_BRUNNENDUO</x:v>
      </x:c>
      <x:c r="J14" s="68" t="str">
        <x:v>Die beiden steinernen Tritonen erwachen gemeinsam als ein koordiniertes Gegnerduo.</x:v>
      </x:c>
      <x:c r="K14" s="70" t="str">
        <x:v>DIREKT</x:v>
      </x:c>
      <x:c r="L14" s="72" t="n">
        <x:v>5</x:v>
      </x:c>
      <x:c r="M14" s="72" t="n">
        <x:v>5</x:v>
      </x:c>
      <x:c r="N14" s="72" t="n">
        <x:v>5</x:v>
      </x:c>
      <x:c r="O14" s="72" t="n">
        <x:v>4</x:v>
      </x:c>
      <x:c r="P14" s="74" t="n">
        <x:v>4.8</x:v>
      </x:c>
      <x:c r="Q14" s="70" t="str">
        <x:v>SEHR_GUT</x:v>
      </x:c>
      <x:c r="R14" s="68" t="str">
        <x:v>Zwei große Tritonen tragen gemeinsam die obere Muschelschale.</x:v>
      </x:c>
      <x:c r="S14" s="68" t="str">
        <x:v>Spawn seitlich des Brunnens; die 20-m-Aggrozone darf D2-Q05 nicht zwangsauslösen. Der Platz bleibt Beobachtungs- und kein realer Bewegungsraum.</x:v>
      </x:c>
      <x:c r="T14" s="70" t="str">
        <x:v>GRUEN_KONZEPTREIF</x:v>
      </x:c>
      <x:c r="U14" s="68" t="str">
        <x:v>https://it.wikipedia.org/wiki/Fontana_dei_Tritoni</x:v>
      </x:c>
      <x:c r="V14" s="68" t="str">
        <x:v>https://www.google.com/maps/search/?api=1&amp;query=41.8885236,12.4812253</x:v>
      </x:c>
      <x:c r="W14" s="68" t="str">
        <x:v>HP/ATK/DEF/INIT/Statuschance/Rewards: siehe Blatt Gegnerbalance; Respawn gemäss GDD v0.16 §29.5.</x:v>
      </x:c>
      <x:c r="X14" s="104" t="str">
        <x:v>SSR</x:v>
      </x:c>
      <x:c r="Y14" s="104" t="str">
        <x:v>COORDINATED_DUO</x:v>
      </x:c>
      <x:c r="Z14" s="104" t="str">
        <x:v>Zwei Tritonen handeln abwechselnd: einer schützt die Muschel, der andere bläst einen Wasserstoß.</x:v>
      </x:c>
      <x:c r="AA14" s="104" t="str">
        <x:v>Muschelhorn-Duett: starker Teamangriff, wenn beide in derselben Runde ungestört bleiben.</x:v>
      </x:c>
      <x:c r="AB14" s="104" t="str">
        <x:v>Aktionen auf beide Rollen verteilen; Unterbrechen eines Tritons bricht das Duett.</x:v>
      </x:c>
      <x:c r="AC14" s="104" t="str">
        <x:v>LINKED_DUO|SONIC_WAVE</x:v>
      </x:c>
      <x:c r="AD14" s="111"/>
      <x:c r="AE14" s="104" t="str">
        <x:v>Mobile-RPG-Gegnerkonzept, vollständige Figur, gut lesbare Kampfsilhouette, Rom-Fantasy, Zwei muskulöse steinerne Tritonen tragen gemeinsam eine große Muschelschale, Meeresschwänze, Wasserbänder, grüne Patina, dynamische spiegelbildliche Posen. Dramatisches aber nicht fotorealistisches Licht, neutraler transparenzgeeigneter Hintergrund, keine Schrift, kein Logo, keine Gore.</x:v>
      </x:c>
      <x:c r="AF14" s="104" t="str">
        <x:v>EDITORIAL_REVIEW</x:v>
      </x:c>
    </x:row>
    <x:row r="15" ht="108" customHeight="1">
      <x:c r="A15" s="69" t="n">
        <x:v>11</x:v>
      </x:c>
      <x:c r="B15" s="65" t="str">
        <x:v>UE-D2-03</x:v>
      </x:c>
      <x:c r="C15" s="69" t="str">
        <x:v>WORLD_ENEMY</x:v>
      </x:c>
      <x:c r="D15" s="69" t="str">
        <x:v>DAY_2</x:v>
      </x:c>
      <x:c r="E15" s="65" t="str">
        <x:v>place_day_2_fontana_della_navicella</x:v>
      </x:c>
      <x:c r="F15" s="65" t="str">
        <x:v>Fontana della Navicella</x:v>
      </x:c>
      <x:c r="G15" s="65" t="str">
        <x:v>D2_FORUM_COLOSSEO</x:v>
      </x:c>
      <x:c r="H15" s="65" t="str">
        <x:v>Nocchiero della Navicella</x:v>
      </x:c>
      <x:c r="I15" s="65" t="str">
        <x:v>BELEBTE_SCHIFFSSKULPTUR</x:v>
      </x:c>
      <x:c r="J15" s="65" t="str">
        <x:v>Das steinerne Schiff erwacht mit einem geisterhaften Steuermann zu einem einzigen animierten Gegnerkonstrukt.</x:v>
      </x:c>
      <x:c r="K15" s="69" t="str">
        <x:v>DIREKT</x:v>
      </x:c>
      <x:c r="L15" s="71" t="n">
        <x:v>5</x:v>
      </x:c>
      <x:c r="M15" s="71" t="n">
        <x:v>5</x:v>
      </x:c>
      <x:c r="N15" s="71" t="n">
        <x:v>4</x:v>
      </x:c>
      <x:c r="O15" s="71" t="n">
        <x:v>4</x:v>
      </x:c>
      <x:c r="P15" s="73" t="n">
        <x:v>4.5</x:v>
      </x:c>
      <x:c r="Q15" s="69" t="str">
        <x:v>SEHR_GUT</x:v>
      </x:c>
      <x:c r="R15" s="65" t="str">
        <x:v>Großes steinernes Schiff als zentrales Brunnenobjekt.</x:v>
      </x:c>
      <x:c r="S15" s="65" t="str">
        <x:v>Spawn am Rand des öffentlichen Außenpunkts; der Pflicht-Blick auf die Navicella für D2-Q06 muss außerhalb der 20-m-Aggrozone erreichbar bleiben.</x:v>
      </x:c>
      <x:c r="T15" s="69" t="str">
        <x:v>GRUEN_KONZEPTREIF</x:v>
      </x:c>
      <x:c r="U15" s="65" t="str">
        <x:v>https://it.wikipedia.org/wiki/Fontana_della_Navicella</x:v>
      </x:c>
      <x:c r="V15" s="65" t="str">
        <x:v>https://www.google.com/maps/search/?api=1&amp;query=41.8847586,12.4958638</x:v>
      </x:c>
      <x:c r="W15" s="65" t="str">
        <x:v>HP/ATK/DEF/INIT/Statuschance/Rewards: siehe Blatt Gegnerbalance; Respawn gemäss GDD v0.16 §29.5.</x:v>
      </x:c>
      <x:c r="X15" s="101" t="str">
        <x:v>SR</x:v>
      </x:c>
      <x:c r="Y15" s="101" t="str">
        <x:v>SUMMONER_VEHICLE</x:v>
      </x:c>
      <x:c r="Z15" s="101" t="str">
        <x:v>Der geisterhafte Steuermann lenkt die steinerne Navicella und ruft kleine Wellenkonstrukte.</x:v>
      </x:c>
      <x:c r="AA15" s="101" t="str">
        <x:v>Steinerner Kurswechsel: verschiebt Zielpriorität und schützt die Seite, die dem Bug zugewandt ist.</x:v>
      </x:c>
      <x:c r="AB15" s="101" t="str">
        <x:v>Bug/Heck richtig identifizieren und die ungeschützte Seite angreifen.</x:v>
      </x:c>
      <x:c r="AC15" s="101" t="str">
        <x:v>PORT_GUARD|WAVE_MINION</x:v>
      </x:c>
      <x:c r="AD15" s="111"/>
      <x:c r="AE15" s="101" t="str">
        <x:v>Mobile-RPG-Gegnerkonzept, vollständige Figur, gut lesbare Kampfsilhouette, Rom-Fantasy, Steinernes römisches Schiff als lebender Gegner, geisterhafter Steuermann am Heck, moosige Bordwand, blaues Licht in den Fugen, kleine Wellenwesen, Ganzkörper. Dramatisches aber nicht fotorealistisches Licht, neutraler transparenzgeeigneter Hintergrund, keine Schrift, kein Logo, keine Gore.</x:v>
      </x:c>
      <x:c r="AF15" s="101" t="str">
        <x:v>EDITORIAL_REVIEW</x:v>
      </x:c>
    </x:row>
    <x:row r="16" ht="108" customHeight="1">
      <x:c r="A16" s="70" t="n">
        <x:v>12</x:v>
      </x:c>
      <x:c r="B16" s="68" t="str">
        <x:v>UE-D2-04</x:v>
      </x:c>
      <x:c r="C16" s="70" t="str">
        <x:v>WORLD_ENEMY</x:v>
      </x:c>
      <x:c r="D16" s="70" t="str">
        <x:v>DAY_2</x:v>
      </x:c>
      <x:c r="E16" s="68" t="str">
        <x:v>place_day_2_giulio_cesare</x:v>
      </x:c>
      <x:c r="F16" s="68" t="str">
        <x:v>Giulio Cesare</x:v>
      </x:c>
      <x:c r="G16" s="68" t="str">
        <x:v>D2_CAMPIDOGLIO_FORI_TRAIANEI</x:v>
      </x:c>
      <x:c r="H16" s="68" t="str">
        <x:v>Cesare di Bronzo</x:v>
      </x:c>
      <x:c r="I16" s="68" t="str">
        <x:v>BELEBTE_BRONZESTATUE</x:v>
      </x:c>
      <x:c r="J16" s="68" t="str">
        <x:v>Die bronzene Caesar-Figur erwacht als ehrgeiziger Feldherr-Wiedergänger.</x:v>
      </x:c>
      <x:c r="K16" s="70" t="str">
        <x:v>DIREKT</x:v>
      </x:c>
      <x:c r="L16" s="72" t="n">
        <x:v>4</x:v>
      </x:c>
      <x:c r="M16" s="72" t="n">
        <x:v>5</x:v>
      </x:c>
      <x:c r="N16" s="72" t="n">
        <x:v>4</x:v>
      </x:c>
      <x:c r="O16" s="72" t="n">
        <x:v>3</x:v>
      </x:c>
      <x:c r="P16" s="74" t="n">
        <x:v>4</x:v>
      </x:c>
      <x:c r="Q16" s="70" t="str">
        <x:v>GUT</x:v>
      </x:c>
      <x:c r="R16" s="68" t="str">
        <x:v>Monumentale Caesar-Statue am Kapitol; die Figur selbst ist der Referenzkörper.</x:v>
      </x:c>
      <x:c r="S16" s="68" t="str">
        <x:v>Seitlichen Spawnpunkt mit freiem Blick auf die Statue festlegen. Wegen gelber Quellenlage erst nach aktuellem Bildbeleg veröffentlichen; kein kritischer Progressionsgegner.</x:v>
      </x:c>
      <x:c r="T16" s="70" t="str">
        <x:v>GELB_QUELLENLAGE</x:v>
      </x:c>
      <x:c r="U16" s="68" t="str">
        <x:v>https://www.openstreetmap.org/node/7239169954</x:v>
      </x:c>
      <x:c r="V16" s="68" t="str">
        <x:v>https://www.google.com/maps/search/?api=1&amp;query=41.892745,12.482623</x:v>
      </x:c>
      <x:c r="W16" s="68" t="str">
        <x:v>HP/ATK/DEF/INIT/Statuschance/Rewards: siehe Blatt Gegnerbalance; Respawn gemäss GDD v0.16 §29.5.</x:v>
      </x:c>
      <x:c r="X16" s="104" t="str">
        <x:v>SSR</x:v>
      </x:c>
      <x:c r="Y16" s="104" t="str">
        <x:v>COMMAND_DUELIST</x:v>
      </x:c>
      <x:c r="Z16" s="104" t="str">
        <x:v>Wechselt zwischen Befehl, Verteidigung und persönlichem Duell; jede Haltung wird durch Handzeichen angekündigt.</x:v>
      </x:c>
      <x:c r="AA16" s="104" t="str">
        <x:v>Veni-Vidi-Marke: markiert den Spieler mit höchstem Angriff und fordert dessen nächste Aktion heraus.</x:v>
      </x:c>
      <x:c r="AB16" s="104" t="str">
        <x:v>Schutz durch anderes Teammitglied bricht das Duell; Statusreinigung entfernt Befehlsmarke.</x:v>
      </x:c>
      <x:c r="AC16" s="104" t="str">
        <x:v>CHALLENGED|COMMAND_AURA</x:v>
      </x:c>
      <x:c r="AD16" s="111"/>
      <x:c r="AE16" s="104" t="str">
        <x:v>Mobile-RPG-Gegnerkonzept, vollständige Figur, gut lesbare Kampfsilhouette, Rom-Fantasy, Lebendig gewordene bronzene Caesar-Statue, Lorbeerkranz, römischer Brustpanzer und Mantel, grüne Patina, entschlossener aber nicht fotorealistischer Ausdruck, kapitolinisches Steinlicht. Dramatisches aber nicht fotorealistisches Licht, neutraler transparenzgeeigneter Hintergrund, keine Schrift, kein Logo, keine Gore.</x:v>
      </x:c>
      <x:c r="AF16" s="104" t="str">
        <x:v>EDITORIAL_REVIEW</x:v>
      </x:c>
    </x:row>
  </x:sheetData>
  <x:mergeCells>
    <x:mergeCell ref="A1:AF1"/>
    <x:mergeCell ref="A2:AF2"/>
  </x:mergeCells>
  <x:conditionalFormatting sqref="Q5:Q16">
    <x:cfRule type="containsText" dxfId="17" priority="1" operator="containsText" text="SEHR_GUT"/>
    <x:cfRule type="containsText" dxfId="18" priority="2" operator="containsText" text="GUT"/>
    <x:cfRule type="containsText" dxfId="19" priority="3" operator="containsText" text="BEDINGT"/>
  </x:conditionalFormatting>
  <x:conditionalFormatting sqref="T5:T16">
    <x:cfRule type="beginsWith" dxfId="20" priority="4" operator="beginsWith" text="GRUEN"/>
    <x:cfRule type="beginsWith" dxfId="21" priority="5" operator="beginsWith" text="GELB"/>
  </x:conditionalFormatting>
  <x:conditionalFormatting sqref="X5:X16">
    <x:cfRule type="containsText" dxfId="41" priority="6" operator="containsText" text="SSR"/>
    <x:cfRule type="containsText" dxfId="42" priority="7" operator="containsText" text="E"/>
  </x:conditionalFormatting>
  <x:pageMargins left="0.7" right="0.7" top="0.75" bottom="0.75" header="0.3" footer="0.3"/>
  <x:tableParts count="1">
    <x:tablePart xmlns:r="http://schemas.openxmlformats.org/officeDocument/2006/relationships" r:id="R78019a47124248d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4" hidden="0" customWidth="1"/>
    <x:col min="2" max="2" width="19" hidden="0" customWidth="1"/>
    <x:col min="3" max="3" width="10" hidden="0" customWidth="1"/>
    <x:col min="4" max="4" width="29" hidden="0" customWidth="1"/>
    <x:col min="5" max="5" width="28" hidden="0" customWidth="1"/>
    <x:col min="6" max="6" width="27" hidden="0" customWidth="1"/>
    <x:col min="7" max="7" width="55" hidden="0" customWidth="1"/>
    <x:col min="8" max="8" width="38" hidden="0" customWidth="1"/>
    <x:col min="9" max="9" width="48" hidden="0" customWidth="1"/>
    <x:col min="10" max="10" width="44" hidden="0" customWidth="1"/>
    <x:col min="11" max="11" width="64" hidden="0" customWidth="1"/>
    <x:col min="12" max="12" width="50" hidden="0" customWidth="1"/>
    <x:col min="13" max="13" width="7" hidden="0" customWidth="1"/>
    <x:col min="14" max="14" width="7" hidden="0" customWidth="1"/>
    <x:col min="15" max="15" width="28" hidden="0" customWidth="1"/>
    <x:col min="16" max="16" width="42" hidden="0" customWidth="1"/>
    <x:col min="17" max="17" width="52" hidden="0" customWidth="1"/>
    <x:col min="18" max="18" width="52" hidden="0" customWidth="1"/>
    <x:col min="19" max="19" width="12" hidden="0" customWidth="1"/>
    <x:col min="20" max="20" width="14" hidden="0" customWidth="1"/>
    <x:col min="21" max="21" width="33" hidden="0" customWidth="1"/>
    <x:col min="22" max="22" width="28" hidden="0" customWidth="1"/>
    <x:col min="23" max="23" width="22" hidden="0" customWidth="1"/>
    <x:col min="24" max="24" width="24" hidden="0" customWidth="1"/>
    <x:col min="25" max="25" width="52" hidden="0" customWidth="1"/>
    <x:col min="26" max="26" width="45" hidden="0" customWidth="1"/>
    <x:col min="27" max="27" width="82" hidden="0" customWidth="1"/>
    <x:col min="28" max="28" width="22" hidden="0" customWidth="1"/>
  </x:cols>
  <x:sheetData>
    <x:row r="1" ht="28" customHeight="1">
      <x:c r="A1" s="91" t="str">
        <x:v>Via Romae – Quest Master v0.9</x:v>
      </x:c>
      <x:c r="B1" s="91"/>
      <x:c r="C1" s="91"/>
      <x:c r="D1" s="91"/>
      <x:c r="E1" s="91"/>
      <x:c r="F1" s="91"/>
      <x:c r="G1" s="91"/>
      <x:c r="H1" s="91"/>
      <x:c r="I1" s="91"/>
      <x:c r="J1" s="91"/>
      <x:c r="K1" s="91"/>
      <x:c r="L1" s="91"/>
      <x:c r="M1" s="91"/>
      <x:c r="N1" s="91"/>
      <x:c r="O1" s="91"/>
      <x:c r="P1" s="91"/>
      <x:c r="Q1" s="91"/>
      <x:c r="R1" s="91"/>
      <x:c r="S1" s="91"/>
      <x:c r="T1" s="91"/>
      <x:c r="U1" s="91"/>
      <x:c r="V1" s="91"/>
      <x:c r="W1" s="91"/>
      <x:c r="X1" s="91"/>
      <x:c r="Y1" s="91"/>
      <x:c r="Z1" s="91"/>
    </x:row>
    <x:row r="2" ht="38" customHeight="1">
      <x:c r="A2" s="95" t="str">
        <x:v>40 implementierbare Questdefinitionen. Ruhm, Denare und benannte Questitems folgen den Reward-Profilen in GDD v0.16 Kapitel 28.7/28.8; FIELD_CHECK_REQUIRED bleibt bis zur Freigabe nicht veröffentlichbar.</x:v>
      </x:c>
      <x:c r="B2" s="95"/>
      <x:c r="C2" s="95"/>
      <x:c r="D2" s="95"/>
      <x:c r="E2" s="95"/>
      <x:c r="F2" s="95"/>
      <x:c r="G2" s="95"/>
      <x:c r="H2" s="95"/>
      <x:c r="I2" s="95"/>
      <x:c r="J2" s="95"/>
      <x:c r="K2" s="95"/>
      <x:c r="L2" s="95"/>
      <x:c r="M2" s="95"/>
      <x:c r="N2" s="95"/>
      <x:c r="O2" s="95"/>
      <x:c r="P2" s="95"/>
      <x:c r="Q2" s="95"/>
      <x:c r="R2" s="95"/>
      <x:c r="S2" s="95"/>
      <x:c r="T2" s="95"/>
      <x:c r="U2" s="95"/>
      <x:c r="V2" s="95"/>
      <x:c r="W2" s="95"/>
      <x:c r="X2" s="95"/>
      <x:c r="Y2" s="95"/>
      <x:c r="Z2" s="95"/>
    </x:row>
    <x:row r="3">
      <x:c r="A3" s="52"/>
      <x:c r="B3" s="52"/>
      <x:c r="C3" s="52"/>
      <x:c r="D3" s="52"/>
      <x:c r="E3" s="52"/>
      <x:c r="F3" s="52"/>
      <x:c r="G3" s="52"/>
      <x:c r="H3" s="52"/>
      <x:c r="I3" s="52"/>
      <x:c r="J3" s="52"/>
      <x:c r="K3" s="52"/>
      <x:c r="L3" s="52"/>
      <x:c r="M3" s="52"/>
      <x:c r="N3" s="52"/>
      <x:c r="O3" s="52"/>
      <x:c r="P3" s="52"/>
      <x:c r="Q3" s="52"/>
      <x:c r="R3" s="52"/>
      <x:c r="S3" s="52"/>
      <x:c r="T3" s="52"/>
      <x:c r="U3" s="52"/>
      <x:c r="V3" s="52"/>
      <x:c r="W3" s="52"/>
      <x:c r="X3" s="52"/>
      <x:c r="Y3" s="52"/>
      <x:c r="Z3" s="52"/>
    </x:row>
    <x:row r="4" ht="15" hidden="0" customHeight="1">
      <x:c r="A4" s="98" t="str">
        <x:v>Quest-ID</x:v>
      </x:c>
      <x:c r="B4" s="98" t="str">
        <x:v>Typ</x:v>
      </x:c>
      <x:c r="C4" s="98" t="str">
        <x:v>Tag</x:v>
      </x:c>
      <x:c r="D4" s="98" t="str">
        <x:v>Titel</x:v>
      </x:c>
      <x:c r="E4" s="98" t="str">
        <x:v>Questgeber-ID</x:v>
      </x:c>
      <x:c r="F4" s="98" t="str">
        <x:v>Questgeber</x:v>
      </x:c>
      <x:c r="G4" s="98" t="str">
        <x:v>Story / Konflikt</x:v>
      </x:c>
      <x:c r="H4" s="98" t="str">
        <x:v>Dramaturgischer Bogen</x:v>
      </x:c>
      <x:c r="I4" s="98" t="str">
        <x:v>Orte</x:v>
      </x:c>
      <x:c r="J4" s="98" t="str">
        <x:v>Kandidaten-IDs</x:v>
      </x:c>
      <x:c r="K4" s="98" t="str">
        <x:v>Verifizierte Beobachtungen / Fact-Basis</x:v>
      </x:c>
      <x:c r="L4" s="98" t="str">
        <x:v>Quellen</x:v>
      </x:c>
      <x:c r="M4" s="98" t="str">
        <x:v>Min</x:v>
      </x:c>
      <x:c r="N4" s="98" t="str">
        <x:v>Max</x:v>
      </x:c>
      <x:c r="O4" s="98" t="str">
        <x:v>Slot / Fortschritt</x:v>
      </x:c>
      <x:c r="P4" s="98" t="str">
        <x:v>Voraussetzungen</x:v>
      </x:c>
      <x:c r="Q4" s="98" t="str">
        <x:v>Erfolgsdefinition</x:v>
      </x:c>
      <x:c r="R4" s="98" t="str">
        <x:v>Fallback / Fehlerbehandlung</x:v>
      </x:c>
      <x:c r="S4" s="98" t="str">
        <x:v>Basis-Ruhm*</x:v>
      </x:c>
      <x:c r="T4" s="98" t="str">
        <x:v>Basis-Denare*</x:v>
      </x:c>
      <x:c r="U4" s="98" t="str">
        <x:v>Item / Loot</x:v>
      </x:c>
      <x:c r="V4" s="98" t="str">
        <x:v>Reward-/Encounter-Profil</x:v>
      </x:c>
      <x:c r="W4" s="98" t="str">
        <x:v>Klassen-Spotlight</x:v>
      </x:c>
      <x:c r="X4" s="98" t="str">
        <x:v>Content-Status</x:v>
      </x:c>
      <x:c r="Y4" s="98" t="str">
        <x:v>GeoJSON-/Geofence-Status</x:v>
      </x:c>
      <x:c r="Z4" s="98" t="str">
        <x:v>Noch offen</x:v>
      </x:c>
      <x:c r="AA4" s="165" t="str">
        <x:v>Asset-Prompt-Beschreibung</x:v>
      </x:c>
      <x:c r="AB4" s="165" t="str">
        <x:v>Asset-Status</x:v>
      </x:c>
    </x:row>
    <x:row r="5" ht="79.19999694824219" hidden="0" customHeight="1">
      <x:c r="A5" s="101" t="str">
        <x:v>D1-Q01</x:v>
      </x:c>
      <x:c r="B5" s="101" t="str">
        <x:v>REGULAER</x:v>
      </x:c>
      <x:c r="C5" s="101" t="str">
        <x:v>DAY_1</x:v>
      </x:c>
      <x:c r="D5" s="101" t="str">
        <x:v>Der Fluchtkorridor</x:v>
      </x:c>
      <x:c r="E5" s="101" t="str">
        <x:v>npc_konrad_schildwacht</x:v>
      </x:c>
      <x:c r="F5" s="101" t="str">
        <x:v>Konrad von der letzten Schildwacht</x:v>
      </x:c>
      <x:c r="G5" s="101" t="str">
        <x:v>Ein geisterhafter Gardist glaubt, der alte Fluchtkorridor sei erneut verraten worden. Das Team muss die sichere Linie vom Petersplatz bis zur Engelsburg rekonstruieren und über die Nachhut entscheiden.</x:v>
      </x:c>
      <x:c r="H5" s="101" t="str">
        <x:v>Misstrauen → Spurensicherung → taktische Gewissensentscheidung → Anerkennung</x:v>
      </x:c>
      <x:c r="I5" s="101" t="str">
        <x:v>Petersplatz → Passetto di Borgo → Engelsburg</x:v>
      </x:c>
      <x:c r="J5" s="101" t="str">
        <x:v>place_day_1_piazza_san_pietro | place_day_1_passetto_di_borgo | place_day_1_castel_sant_angelo</x:v>
      </x:c>
      <x:c r="K5" s="101" t="str">
        <x:v>START / ERSTER HINWEIS: Runde Marmor-Brennpunktmarkierung im Pflaster zwischen Obelisk und Kolonnade; danach Blick auf die großen Säulen. | ZWISCHENSTATION: Langer, geschlossener Maueraufbau mit kleinen Öffnungen; vom öffentlichen Straßenraum sichtbar. | ABSCHLUSS: Große geflügelte Bronzefigur auf dem höchsten Punkt, vom öffentlichen Vorplatz sichtbar.</x:v>
      </x:c>
      <x:c r="L5" s="101" t="str">
        <x:v>https://www.turismoroma.it/it/luoghi/piazza-san-pietro
https://www.turismoroma.it/en/places/passetto-di-borgo
https://www.turismoroma.it/en/places/santangelo-castle</x:v>
      </x:c>
      <x:c r="M5" s="105" t="n">
        <x:v>25</x:v>
      </x:c>
      <x:c r="N5" s="105" t="n">
        <x:v>35</x:v>
      </x:c>
      <x:c r="O5" s="105" t="str">
        <x:v>TEAM_SHARED|max_3_regular</x:v>
      </x:c>
      <x:c r="P5" s="105" t="str">
        <x:v>day=DAY_1|firstLocationEnabled|regularSlotAvailable</x:v>
      </x:c>
      <x:c r="Q5" s="105" t="str">
        <x:v>Alle required Questablauf-Schritte COMPLETE; mindestens 2 Teammitglieder bei normalen Ortszielen.</x:v>
      </x:c>
      <x:c r="R5" s="105" t="str">
        <x:v>Bei unklarer Bodenmarkierung startet die Quest am Passetto mit dessen Mauerverlauf.</x:v>
      </x:c>
      <x:c r="S5" s="107" t="n">
        <x:v>80</x:v>
      </x:c>
      <x:c r="T5" s="107" t="n">
        <x:v>45</x:v>
      </x:c>
      <x:c r="U5" s="101" t="str">
        <x:v>QUEST_ITEM:qi_sigillum_guardiae / Siegel der Schildwacht (R; questLocked; kein Kampfbonus)</x:v>
      </x:c>
      <x:c r="V5" s="101" t="str">
        <x:v>QUEST_REWARD_PROFILE</x:v>
      </x:c>
      <x:c r="W5" s="101" t="str">
        <x:v>SWISS_GUARD</x:v>
      </x:c>
      <x:c r="X5" s="101" t="str">
        <x:v>FIELD_CHECK_REQUIRED</x:v>
      </x:c>
      <x:c r="Y5" s="101" t="str">
        <x:v>GeoJSON v0.8 spiegelt Quest-, Orts-, Encounter-, Timer- und Navigationsreferenzen; publishable bleibt bis APPROVED false.</x:v>
      </x:c>
      <x:c r="Z5" s="101" t="str">
        <x:v>Reward- und Itemwerte verbindlich in GDD v0.16 §28.8; Feld-/Redaktionsstatus separat prüfen.</x:v>
      </x:c>
      <x:c r="AA5" s="168" t="str">
        <x:v>Historisches Chiaroscuro, mobile-RPG-Questillustration für D1-Q01 „Der Fluchtkorridor“ (REGULAER). Szene: Ein geisterhafter Gardist glaubt, der alte Fluchtkorridor sei erneut verraten worden. Das Team muss die sichere Linie vom Petersplatz bis zur Engelsburg rekonstruieren und über die Nachhut entscheiden. Schauplatz/Ortsfolge: Petersplatz → Passetto di Borgo → Engelsburg. Klare Teamlesbarkeit, römische Materialien, gerichtetes warmes Licht, tiefe Schatten, reduzierte aber erkennbare Architektur, freie Zone für UI-Overlay, keine Schrift, kein Logo, keine modernen Gegenstände.</x:v>
      </x:c>
      <x:c r="AB5" s="168" t="str">
        <x:v>FIELD_CHECK_REQUIRED</x:v>
      </x:c>
    </x:row>
    <x:row r="6" ht="79.19999694824219" hidden="0" customHeight="1">
      <x:c r="A6" s="104" t="str">
        <x:v>D1-Q02</x:v>
      </x:c>
      <x:c r="B6" s="104" t="str">
        <x:v>REGULAER</x:v>
      </x:c>
      <x:c r="C6" s="104" t="str">
        <x:v>DAY_1</x:v>
      </x:c>
      <x:c r="D6" s="104" t="str">
        <x:v>Tore des Borgo</x:v>
      </x:c>
      <x:c r="E6" s="104" t="str">
        <x:v>npc_capitano_malatesta</x:v>
      </x:c>
      <x:c r="F6" s="104" t="str">
        <x:v>Capitano Malatesta</x:v>
      </x:c>
      <x:c r="G6" s="104" t="str">
        <x:v>Ein Condottiere wettet, dass kein modernes Team drei Tore lesen kann. Wer seine taktische Reihenfolge besteht, darf den päpstlichen Reiter zu dessen großem Ärger herausfordern.</x:v>
      </x:c>
      <x:c r="H6" s="104" t="str">
        <x:v>Provokation → Torvergleich → taktische Sortierung → Duell</x:v>
      </x:c>
      <x:c r="I6" s="104" t="str">
        <x:v>St.-Pellegrino-Tor → Porta Cavalleggeri → Porta Santo Spirito</x:v>
      </x:c>
      <x:c r="J6" s="104" t="str">
        <x:v>place_day_1_porta_san_pellegrino | place_day_1_porta_cavalleggeri | place_day_1_porta_santo_spirito</x:v>
      </x:c>
      <x:c r="K6" s="104" t="str">
        <x:v>START / ERSTER HINWEIS: Großer Torbogen und hoch angebrachtes päpstliches Wappen mit Stiermotiv. | ZWISCHENSTATION: Ein einzelner erhaltener Mauerbogen mit päpstlichen Zeichen nahe dem Vatikan. | ABSCHLUSS: Großer Mittelbogen, paarweise Säulen und deutlich erkennbare leere Nischen.</x:v>
      </x:c>
      <x:c r="L6" s="104" t="str">
        <x:v>https://it.wikipedia.org/wiki/Porta_San_Pellegrino
https://www.openstreetmap.org/node/6205478926
https://www.turismoroma.it/it/luoghi/porta-santo-spirito</x:v>
      </x:c>
      <x:c r="M6" s="106" t="n">
        <x:v>25</x:v>
      </x:c>
      <x:c r="N6" s="106" t="n">
        <x:v>35</x:v>
      </x:c>
      <x:c r="O6" s="106" t="str">
        <x:v>TEAM_SHARED|max_3_regular</x:v>
      </x:c>
      <x:c r="P6" s="106" t="str">
        <x:v>day=DAY_1|firstLocationEnabled|regularSlotAvailable</x:v>
      </x:c>
      <x:c r="Q6" s="106" t="str">
        <x:v>Alle required Questablauf-Schritte COMPLETE; mindestens 2 Teammitglieder bei normalen Ortszielen.</x:v>
      </x:c>
      <x:c r="R6" s="106" t="str">
        <x:v>Wenn Porta Cavalleggeri nicht eindeutig ist, endet die Quest an Porta Santo Spirito.</x:v>
      </x:c>
      <x:c r="S6" s="108" t="n">
        <x:v>80</x:v>
      </x:c>
      <x:c r="T6" s="108" t="n">
        <x:v>45</x:v>
      </x:c>
      <x:c r="U6" s="104" t="str">
        <x:v>LOOT_ROLL:QUEST_STANDARD (team inventory; rarity band by duration)</x:v>
      </x:c>
      <x:c r="V6" s="104" t="str">
        <x:v>COMBAT_REWARD_PROFILE</x:v>
      </x:c>
      <x:c r="W6" s="104" t="str">
        <x:v>CONDOTTIERE</x:v>
      </x:c>
      <x:c r="X6" s="104" t="str">
        <x:v>FIELD_CHECK_REQUIRED</x:v>
      </x:c>
      <x:c r="Y6" s="104" t="str">
        <x:v>GeoJSON v0.8 spiegelt Quest-, Orts-, Encounter-, Timer- und Navigationsreferenzen; publishable bleibt bis APPROVED false.</x:v>
      </x:c>
      <x:c r="Z6" s="104" t="str">
        <x:v>Reward- und Itemwerte verbindlich in GDD v0.16 §28.8; Feld-/Redaktionsstatus separat prüfen.</x:v>
      </x:c>
      <x:c r="AA6" s="168" t="str">
        <x:v>Historisches Chiaroscuro, mobile-RPG-Questillustration für D1-Q02 „Tore des Borgo“ (REGULAER). Szene: Ein Condottiere wettet, dass kein modernes Team drei Tore lesen kann. Wer seine taktische Reihenfolge besteht, darf den päpstlichen Reiter zu dessen großem Ärger herausfordern. Schauplatz/Ortsfolge: St.-Pellegrino-Tor → Porta Cavalleggeri → Porta Santo Spirito. Klare Teamlesbarkeit, römische Materialien, gerichtetes warmes Licht, tiefe Schatten, reduzierte aber erkennbare Architektur, freie Zone für UI-Overlay, keine Schrift, kein Logo, keine modernen Gegenstände.</x:v>
      </x:c>
      <x:c r="AB6" s="168" t="str">
        <x:v>FIELD_CHECK_REQUIRED</x:v>
      </x:c>
    </x:row>
    <x:row r="7" ht="79.19999694824219" hidden="0" customHeight="1">
      <x:c r="A7" s="101" t="str">
        <x:v>D1-Q03</x:v>
      </x:c>
      <x:c r="B7" s="101" t="str">
        <x:v>REGULAER</x:v>
      </x:c>
      <x:c r="C7" s="101" t="str">
        <x:v>DAY_1</x:v>
      </x:c>
      <x:c r="D7" s="101" t="str">
        <x:v>Der Dreizack</x:v>
      </x:c>
      <x:c r="E7" s="101" t="str">
        <x:v>npc_flaminia_trivium</x:v>
      </x:c>
      <x:c r="F7" s="101" t="str">
        <x:v>Flaminia vom Dreizack</x:v>
      </x:c>
      <x:c r="G7" s="101" t="str">
        <x:v>Der Stadtgeist hat drei Wege miteinander verknotet. Das Team muss den Dreizack lesen, sich kurz aufteilen und am Tor wiederfinden, ohne dass die Zielzone direkt auf der Karte erscheint.</x:v>
      </x:c>
      <x:c r="H7" s="101" t="str">
        <x:v>Orientierung → kontrollierte Trennung → verborgene Wiedervereinigung</x:v>
      </x:c>
      <x:c r="I7" s="101" t="str">
        <x:v>Piazza del Popolo → Obelisco Flaminio → Porta del Popolo</x:v>
      </x:c>
      <x:c r="J7" s="101" t="str">
        <x:v>place_day_1_piazza_del_popolo | place_day_1_obelisco_flaminio | place_day_1_porta_del_popolo</x:v>
      </x:c>
      <x:c r="K7" s="101" t="str">
        <x:v>START / ERSTER HINWEIS: Zwei große Kuppelkirchen am südlichen Platzende und drei radial ausgehende Straßen. | ZWISCHENSTATION: Vier monumentale Löwenbrunnen unmittelbar um den Sockel. | ABSCHLUSS: Drei große heutige Öffnungen, davon ein höherer Mittelbogen.</x:v>
      </x:c>
      <x:c r="L7" s="101" t="str">
        <x:v>https://en.wikipedia.org/wiki/Piazza_del_Popolo
https://en.wikipedia.org/wiki/Flaminio_Obelisk
https://en.wikipedia.org/wiki/Porta_del_Popolo</x:v>
      </x:c>
      <x:c r="M7" s="105" t="n">
        <x:v>15</x:v>
      </x:c>
      <x:c r="N7" s="105" t="n">
        <x:v>25</x:v>
      </x:c>
      <x:c r="O7" s="105" t="str">
        <x:v>TEAM_SHARED|max_3_regular</x:v>
      </x:c>
      <x:c r="P7" s="105" t="str">
        <x:v>day=DAY_1|firstLocationEnabled|regularSlotAvailable</x:v>
      </x:c>
      <x:c r="Q7" s="105" t="str">
        <x:v>Alle required Questablauf-Schritte COMPLETE; mindestens 2 Teammitglieder bei normalen Ortszielen.</x:v>
      </x:c>
      <x:c r="R7" s="105" t="str">
        <x:v>Bei dichter Menschenmenge nur Silhouetten und Großformen verwenden.</x:v>
      </x:c>
      <x:c r="S7" s="107" t="n">
        <x:v>55</x:v>
      </x:c>
      <x:c r="T7" s="107" t="n">
        <x:v>30</x:v>
      </x:c>
      <x:c r="U7" s="101" t="str">
        <x:v>LOOT_ROLL:QUEST_STANDARD (team inventory; rarity band by duration)</x:v>
      </x:c>
      <x:c r="V7" s="101" t="str">
        <x:v>QUEST_REWARD_PROFILE</x:v>
      </x:c>
      <x:c r="W7" s="101"/>
      <x:c r="X7" s="101" t="str">
        <x:v>EDITORIAL_REVIEW</x:v>
      </x:c>
      <x:c r="Y7" s="101" t="str">
        <x:v>GeoJSON v0.8 spiegelt Quest-, Orts-, Encounter-, Timer- und Navigationsreferenzen; publishable bleibt bis APPROVED false.</x:v>
      </x:c>
      <x:c r="Z7" s="101" t="str">
        <x:v>Reward- und Itemwerte verbindlich in GDD v0.16 §28.8; Feld-/Redaktionsstatus separat prüfen.</x:v>
      </x:c>
      <x:c r="AA7" s="168" t="str">
        <x:v>Historisches Chiaroscuro, mobile-RPG-Questillustration für D1-Q03 „Der Dreizack“ (REGULAER). Szene: Der Stadtgeist hat drei Wege miteinander verknotet. Das Team muss den Dreizack lesen, sich kurz aufteilen und am Tor wiederfinden, ohne dass die Zielzone direkt auf der Karte erscheint. Schauplatz/Ortsfolge: Piazza del Popolo → Obelisco Flaminio → Porta del Popolo. Klare Teamlesbarkeit, römische Materialien, gerichtetes warmes Licht, tiefe Schatten, reduzierte aber erkennbare Architektur, freie Zone für UI-Overlay, keine Schrift, kein Logo, keine modernen Gegenstände.</x:v>
      </x:c>
      <x:c r="AB7" s="168" t="str">
        <x:v>EDITORIAL_REVIEW</x:v>
      </x:c>
    </x:row>
    <x:row r="8" ht="79.19999694824219" hidden="0" customHeight="1">
      <x:c r="A8" s="104" t="str">
        <x:v>D1-Q04</x:v>
      </x:c>
      <x:c r="B8" s="104" t="str">
        <x:v>REGULAER</x:v>
      </x:c>
      <x:c r="C8" s="104" t="str">
        <x:v>DAY_1</x:v>
      </x:c>
      <x:c r="D8" s="104" t="str">
        <x:v>Antinoos über Rom</x:v>
      </x:c>
      <x:c r="E8" s="104" t="str">
        <x:v>npc_seshat_pincio</x:v>
      </x:c>
      <x:c r="F8" s="104" t="str">
        <x:v>Seshat vom Pincio</x:v>
      </x:c>
      <x:c r="G8" s="104" t="str">
        <x:v>Hieroglyphen, Wölfin und Stadtblick sind aus Seshats Gedächtnis gerissen worden. Jede richtige Zuordnung bindet eine Fähigkeit der Ombra di Antinoo.</x:v>
      </x:c>
      <x:c r="H8" s="104" t="str">
        <x:v>Fragmentierte Erinnerung → drei Bildanker → geschwächter Schatten → Ruhe</x:v>
      </x:c>
      <x:c r="I8" s="104" t="str">
        <x:v>Obelisco di Antinoo → Fontana della Dea di Roma → Balconata del Pincio</x:v>
      </x:c>
      <x:c r="J8" s="104" t="str">
        <x:v>place_day_1_obelisco_di_antinoo | place_day_1_fontana_della_dea_di_roma | place_day_1_balconata_del_pincio</x:v>
      </x:c>
      <x:c r="K8" s="104" t="str">
        <x:v>START / ERSTER HINWEIS: Hieroglyphen auf allen Schaftseiten und deutliche Obeliskform. | ZWISCHENSTATION: Zentrale sitzende Göttin und gut erkennbare Wölfin mit Zwillingen im unteren Bereich. | ABSCHLUSS: Große Balustrade mit unmittelbarem Überblick auf Piazza del Popolo.</x:v>
      </x:c>
      <x:c r="L8" s="104" t="str">
        <x:v>https://it.wikipedia.org/wiki/Obelisco_del_Pincio
https://www.openstreetmap.org/relation/11496554
https://www.openstreetmap.org/node/649529694</x:v>
      </x:c>
      <x:c r="M8" s="106" t="n">
        <x:v>15</x:v>
      </x:c>
      <x:c r="N8" s="106" t="n">
        <x:v>25</x:v>
      </x:c>
      <x:c r="O8" s="106" t="str">
        <x:v>TEAM_SHARED|max_3_regular</x:v>
      </x:c>
      <x:c r="P8" s="106" t="str">
        <x:v>day=DAY_1|firstLocationEnabled|regularSlotAvailable</x:v>
      </x:c>
      <x:c r="Q8" s="106" t="str">
        <x:v>Alle required Questablauf-Schritte COMPLETE; mindestens 2 Teammitglieder bei normalen Ortszielen.</x:v>
      </x:c>
      <x:c r="R8" s="106" t="str">
        <x:v>Bei gesperrtem Pincio wird die Quest deaktiviert; kein entfernter Ersatzpunkt.</x:v>
      </x:c>
      <x:c r="S8" s="108" t="n">
        <x:v>55</x:v>
      </x:c>
      <x:c r="T8" s="108" t="n">
        <x:v>30</x:v>
      </x:c>
      <x:c r="U8" s="104" t="str">
        <x:v>QUEST_ITEM:qi_tessera_lupae / Tessera der Wölfin (R; questLocked; kein Kampfbonus)</x:v>
      </x:c>
      <x:c r="V8" s="104" t="str">
        <x:v>COMBAT_REWARD_PROFILE</x:v>
      </x:c>
      <x:c r="W8" s="104"/>
      <x:c r="X8" s="104" t="str">
        <x:v>EDITORIAL_REVIEW</x:v>
      </x:c>
      <x:c r="Y8" s="104" t="str">
        <x:v>GeoJSON v0.8 spiegelt Quest-, Orts-, Encounter-, Timer- und Navigationsreferenzen; publishable bleibt bis APPROVED false.</x:v>
      </x:c>
      <x:c r="Z8" s="104" t="str">
        <x:v>Reward- und Itemwerte verbindlich in GDD v0.16 §28.8; Feld-/Redaktionsstatus separat prüfen.</x:v>
      </x:c>
      <x:c r="AA8" s="168" t="str">
        <x:v>Historisches Chiaroscuro, mobile-RPG-Questillustration für D1-Q04 „Antinoos über Rom“ (REGULAER). Szene: Hieroglyphen, Wölfin und Stadtblick sind aus Seshats Gedächtnis gerissen worden. Jede richtige Zuordnung bindet eine Fähigkeit der Ombra di Antinoo. Schauplatz/Ortsfolge: Obelisco di Antinoo → Fontana della Dea di Roma → Balconata del Pincio. Klare Teamlesbarkeit, römische Materialien, gerichtetes warmes Licht, tiefe Schatten, reduzierte aber erkennbare Architektur, freie Zone für UI-Overlay, keine Schrift, kein Logo, keine modernen Gegenstände.</x:v>
      </x:c>
      <x:c r="AB8" s="168" t="str">
        <x:v>EDITORIAL_REVIEW</x:v>
      </x:c>
    </x:row>
    <x:row r="9" ht="66" hidden="0" customHeight="1">
      <x:c r="A9" s="101" t="str">
        <x:v>D1-Q05</x:v>
      </x:c>
      <x:c r="B9" s="101" t="str">
        <x:v>REGULAER</x:v>
      </x:c>
      <x:c r="C9" s="101" t="str">
        <x:v>DAY_1</x:v>
      </x:c>
      <x:c r="D9" s="101" t="str">
        <x:v>Die steinerne Barke</x:v>
      </x:c>
      <x:c r="E9" s="101" t="str">
        <x:v>npc_barcaccia</x:v>
      </x:c>
      <x:c r="F9" s="101" t="str">
        <x:v>La Barcaccia</x:v>
      </x:c>
      <x:c r="G9" s="101" t="str">
        <x:v>Der Brunnengeist verlangt eine ehrliche Formbestimmung – und eine Entschuldigung für Jahrhunderte schlechter Boots-Witze.</x:v>
      </x:c>
      <x:c r="H9" s="101" t="str">
        <x:v>Komische Beschwerde → Beobachtung → versöhnte Selbstdarstellung</x:v>
      </x:c>
      <x:c r="I9" s="101" t="str">
        <x:v>Spanischer Platz</x:v>
      </x:c>
      <x:c r="J9" s="101" t="str">
        <x:v>place_day_1_piazza_di_spagna</x:v>
      </x:c>
      <x:c r="K9" s="101" t="str">
        <x:v>START / ERSTER HINWEIS: Bootsförmiger Brunnen am Fuß der großen Freitreppe.</x:v>
      </x:c>
      <x:c r="L9" s="101" t="str">
        <x:v>https://it.wikipedia.org/wiki/Piazza_di_Spagna</x:v>
      </x:c>
      <x:c r="M9" s="105" t="n">
        <x:v>5</x:v>
      </x:c>
      <x:c r="N9" s="105" t="n">
        <x:v>15</x:v>
      </x:c>
      <x:c r="O9" s="105" t="str">
        <x:v>TEAM_SHARED|max_3_regular</x:v>
      </x:c>
      <x:c r="P9" s="105" t="str">
        <x:v>day=DAY_1|firstLocationEnabled|regularSlotAvailable</x:v>
      </x:c>
      <x:c r="Q9" s="105" t="str">
        <x:v>Alle required Questablauf-Schritte COMPLETE; mindestens 2 Teammitglieder bei normalen Ortszielen.</x:v>
      </x:c>
      <x:c r="R9" s="105" t="str">
        <x:v>Fallback ist die Richtung der großen Treppe zu Trinità dei Monti.</x:v>
      </x:c>
      <x:c r="S9" s="107" t="n">
        <x:v>35</x:v>
      </x:c>
      <x:c r="T9" s="107" t="n">
        <x:v>20</x:v>
      </x:c>
      <x:c r="U9" s="101" t="str">
        <x:v>LOOT_ROLL:QUEST_STANDARD (team inventory; rarity band by duration)</x:v>
      </x:c>
      <x:c r="V9" s="101" t="str">
        <x:v>QUEST_REWARD_PROFILE</x:v>
      </x:c>
      <x:c r="W9" s="101"/>
      <x:c r="X9" s="101" t="str">
        <x:v>EDITORIAL_REVIEW</x:v>
      </x:c>
      <x:c r="Y9" s="101" t="str">
        <x:v>GeoJSON v0.8 spiegelt Quest-, Orts-, Encounter-, Timer- und Navigationsreferenzen; publishable bleibt bis APPROVED false.</x:v>
      </x:c>
      <x:c r="Z9" s="101" t="str">
        <x:v>Reward- und Itemwerte verbindlich in GDD v0.16 §28.8; Feld-/Redaktionsstatus separat prüfen.</x:v>
      </x:c>
      <x:c r="AA9" s="168" t="str">
        <x:v>Historisches Chiaroscuro, mobile-RPG-Questillustration für D1-Q05 „Die steinerne Barke“ (REGULAER). Szene: Der Brunnengeist verlangt eine ehrliche Formbestimmung – und eine Entschuldigung für Jahrhunderte schlechter Boots-Witze. Schauplatz/Ortsfolge: Spanischer Platz. Klare Teamlesbarkeit, römische Materialien, gerichtetes warmes Licht, tiefe Schatten, reduzierte aber erkennbare Architektur, freie Zone für UI-Overlay, keine Schrift, kein Logo, keine modernen Gegenstände.</x:v>
      </x:c>
      <x:c r="AB9" s="168" t="str">
        <x:v>EDITORIAL_REVIEW</x:v>
      </x:c>
    </x:row>
    <x:row r="10" ht="79.19999694824219" hidden="0" customHeight="1">
      <x:c r="A10" s="104" t="str">
        <x:v>D1-Q06</x:v>
      </x:c>
      <x:c r="B10" s="104" t="str">
        <x:v>REGULAER</x:v>
      </x:c>
      <x:c r="C10" s="104" t="str">
        <x:v>DAY_1</x:v>
      </x:c>
      <x:c r="D10" s="104" t="str">
        <x:v>Berninis Werkstatt</x:v>
      </x:c>
      <x:c r="E10" s="104" t="str">
        <x:v>npc_bernini_echo</x:v>
      </x:c>
      <x:c r="F10" s="104" t="str">
        <x:v>Gian Lorenzo Bernini – Werkstattecho</x:v>
      </x:c>
      <x:c r="G10" s="104" t="str">
        <x:v>Berninis Echo braucht drei gleichzeitig arbeitende Augen. Das Team verteilt sich auf die Brunnen, bestätigt synchron sichtbare Figurenmerkmale und entscheidet, welches Material die fiktive Werkstatt erhält.</x:v>
      </x:c>
      <x:c r="H10" s="104" t="str">
        <x:v>Künstlerische Provokation → synchrones Beobachten → Zuordnung → Werkstattentscheidung</x:v>
      </x:c>
      <x:c r="I10" s="104" t="str">
        <x:v>Piazza Navona → Neptunsbrunnen → Mohrenbrunnen</x:v>
      </x:c>
      <x:c r="J10" s="104" t="str">
        <x:v>place_day_1_piazza_navona | place_day_1_fontana_del_nettuno | place_day_1_fontana_del_moro</x:v>
      </x:c>
      <x:c r="K10" s="104" t="str">
        <x:v>START / ERSTER HINWEIS: Drei weit auseinanderliegende Großbrunnen entlang der Platzachse. | ZWISCHENSTATION: Große zentrale Neptunfigur im Ringkampf mit einem vielarmigen Meerestier. | ABSCHLUSS: Zentrale männliche Figur mit Delfin; vier Tritonen im unteren Becken.</x:v>
      </x:c>
      <x:c r="L10" s="104" t="str">
        <x:v>https://it.wikipedia.org/wiki/Piazza_Navona
https://it.wikipedia.org/wiki/Fontana_del_Nettuno_(Roma)
https://it.wikipedia.org/wiki/Fontana_del_Moro</x:v>
      </x:c>
      <x:c r="M10" s="106" t="n">
        <x:v>15</x:v>
      </x:c>
      <x:c r="N10" s="106" t="n">
        <x:v>25</x:v>
      </x:c>
      <x:c r="O10" s="106" t="str">
        <x:v>TEAM_SHARED|max_3_regular</x:v>
      </x:c>
      <x:c r="P10" s="106" t="str">
        <x:v>day=DAY_1|firstLocationEnabled|regularSlotAvailable</x:v>
      </x:c>
      <x:c r="Q10" s="106" t="str">
        <x:v>Alle required Questablauf-Schritte COMPLETE; mindestens 2 Teammitglieder bei normalen Ortszielen.</x:v>
      </x:c>
      <x:c r="R10" s="106" t="str">
        <x:v>Fallback: Zahl und Lage der drei Brunnen statt einzelner Figurendetails.</x:v>
      </x:c>
      <x:c r="S10" s="108" t="n">
        <x:v>55</x:v>
      </x:c>
      <x:c r="T10" s="108" t="n">
        <x:v>30</x:v>
      </x:c>
      <x:c r="U10" s="104" t="str">
        <x:v>LOOT_ROLL:QUEST_STANDARD (team inventory; rarity band by duration)</x:v>
      </x:c>
      <x:c r="V10" s="104" t="str">
        <x:v>QUEST_REWARD_PROFILE</x:v>
      </x:c>
      <x:c r="W10" s="104" t="str">
        <x:v>SCULPTOR</x:v>
      </x:c>
      <x:c r="X10" s="104" t="str">
        <x:v>EDITORIAL_REVIEW</x:v>
      </x:c>
      <x:c r="Y10" s="104" t="str">
        <x:v>GeoJSON v0.8 spiegelt Quest-, Orts-, Encounter-, Timer- und Navigationsreferenzen; publishable bleibt bis APPROVED false.</x:v>
      </x:c>
      <x:c r="Z10" s="104" t="str">
        <x:v>Reward- und Itemwerte verbindlich in GDD v0.16 §28.8; Feld-/Redaktionsstatus separat prüfen.</x:v>
      </x:c>
      <x:c r="AA10" s="168" t="str">
        <x:v>Historisches Chiaroscuro, mobile-RPG-Questillustration für D1-Q06 „Berninis Werkstatt“ (REGULAER). Szene: Berninis Echo braucht drei gleichzeitig arbeitende Augen. Das Team verteilt sich auf die Brunnen, bestätigt synchron sichtbare Figurenmerkmale und entscheidet, welches Material die fiktive Werkstatt erhält. Schauplatz/Ortsfolge: Piazza Navona → Neptunsbrunnen → Mohrenbrunnen. Klare Teamlesbarkeit, römische Materialien, gerichtetes warmes Licht, tiefe Schatten, reduzierte aber erkennbare Architektur, freie Zone für UI-Overlay, keine Schrift, kein Logo, keine modernen Gegenstände.</x:v>
      </x:c>
      <x:c r="AB10" s="168" t="str">
        <x:v>EDITORIAL_REVIEW</x:v>
      </x:c>
    </x:row>
    <x:row r="11" ht="79.19999694824219" hidden="0" customHeight="1">
      <x:c r="A11" s="101" t="str">
        <x:v>D1-Q07</x:v>
      </x:c>
      <x:c r="B11" s="101" t="str">
        <x:v>REGULAER</x:v>
      </x:c>
      <x:c r="C11" s="101" t="str">
        <x:v>DAY_1</x:v>
      </x:c>
      <x:c r="D11" s="101" t="str">
        <x:v>Agrippas Zeichen</x:v>
      </x:c>
      <x:c r="E11" s="101" t="str">
        <x:v>npc_agrippa_echo</x:v>
      </x:c>
      <x:c r="F11" s="101" t="str">
        <x:v>Marcus Agrippa – Echo der Inschrift</x:v>
      </x:c>
      <x:c r="G11" s="101" t="str">
        <x:v>Agrippas Name ist sichtbar, doch eine Mumie versucht, die Inschrift zu verschlucken. Das Team transkribiert den Namen, überträgt ihn auf eine virtuelle Wachstafel und versiegelt den Obeliskenbezug.</x:v>
      </x:c>
      <x:c r="H11" s="101" t="str">
        <x:v>Nüchterne Prüfung → Transkription → Bannung</x:v>
      </x:c>
      <x:c r="I11" s="101" t="str">
        <x:v>Pantheon → Obelisco Macuteo</x:v>
      </x:c>
      <x:c r="J11" s="101" t="str">
        <x:v>place_day_1_pantheon | place_day_1_obelisco_macuteo</x:v>
      </x:c>
      <x:c r="K11" s="101" t="str">
        <x:v>START / ERSTER HINWEIS: Sehr große lateinische Inschrift über dem Portikus; vollständig vom öffentlichen Platz lesbar. | ABSCHLUSS: Obelisk mit Hieroglyphen, der sichtbar aus der Brunnenanlage der Piazza della Rotonda aufragt.</x:v>
      </x:c>
      <x:c r="L11" s="101" t="str">
        <x:v>https://www.turismoroma.it/it/luoghi/pantheon
https://it.wikipedia.org/wiki/Obelisco_del_Pantheon</x:v>
      </x:c>
      <x:c r="M11" s="105" t="n">
        <x:v>5</x:v>
      </x:c>
      <x:c r="N11" s="105" t="n">
        <x:v>15</x:v>
      </x:c>
      <x:c r="O11" s="105" t="str">
        <x:v>TEAM_SHARED|max_3_regular</x:v>
      </x:c>
      <x:c r="P11" s="105" t="str">
        <x:v>day=DAY_1|firstLocationEnabled|regularSlotAvailable</x:v>
      </x:c>
      <x:c r="Q11" s="105" t="str">
        <x:v>Alle required Questablauf-Schritte COMPLETE; mindestens 2 Teammitglieder bei normalen Ortszielen.</x:v>
      </x:c>
      <x:c r="R11" s="105" t="str">
        <x:v>Fallback: Portikusform am Pantheon und Obelisk-auf-Brunnen-Beziehung.</x:v>
      </x:c>
      <x:c r="S11" s="107" t="n">
        <x:v>35</x:v>
      </x:c>
      <x:c r="T11" s="107" t="n">
        <x:v>20</x:v>
      </x:c>
      <x:c r="U11" s="101" t="str">
        <x:v>QUEST_ITEM:qi_tabula_agrippae / Wachstafel AGRIPPA (N; questLocked; kein Kampfbonus)</x:v>
      </x:c>
      <x:c r="V11" s="101" t="str">
        <x:v>QUEST_REWARD_PROFILE</x:v>
      </x:c>
      <x:c r="W11" s="101"/>
      <x:c r="X11" s="101" t="str">
        <x:v>EDITORIAL_REVIEW</x:v>
      </x:c>
      <x:c r="Y11" s="101" t="str">
        <x:v>GeoJSON v0.8 spiegelt Quest-, Orts-, Encounter-, Timer- und Navigationsreferenzen; publishable bleibt bis APPROVED false.</x:v>
      </x:c>
      <x:c r="Z11" s="101" t="str">
        <x:v>Reward- und Itemwerte verbindlich in GDD v0.16 §28.8; Feld-/Redaktionsstatus separat prüfen.</x:v>
      </x:c>
      <x:c r="AA11" s="168" t="str">
        <x:v>Historisches Chiaroscuro, mobile-RPG-Questillustration für D1-Q07 „Agrippas Zeichen“ (REGULAER). Szene: Agrippas Name ist sichtbar, doch eine Mumie versucht, die Inschrift zu verschlucken. Das Team transkribiert den Namen, überträgt ihn auf eine virtuelle Wachstafel und versiegelt den Obeliskenbezug. Schauplatz/Ortsfolge: Pantheon → Obelisco Macuteo. Klare Teamlesbarkeit, römische Materialien, gerichtetes warmes Licht, tiefe Schatten, reduzierte aber erkennbare Architektur, freie Zone für UI-Overlay, keine Schrift, kein Logo, keine modernen Gegenstände.</x:v>
      </x:c>
      <x:c r="AB11" s="168" t="str">
        <x:v>EDITORIAL_REVIEW</x:v>
      </x:c>
    </x:row>
    <x:row r="12" ht="66" hidden="0" customHeight="1">
      <x:c r="A12" s="104" t="str">
        <x:v>D1-Q08</x:v>
      </x:c>
      <x:c r="B12" s="104" t="str">
        <x:v>REGULAER</x:v>
      </x:c>
      <x:c r="C12" s="104" t="str">
        <x:v>DAY_1</x:v>
      </x:c>
      <x:c r="D12" s="104" t="str">
        <x:v>Kaiserbotschaften</x:v>
      </x:c>
      <x:c r="E12" s="104" t="str">
        <x:v>npc_cassius_archivar</x:v>
      </x:c>
      <x:c r="F12" s="104" t="str">
        <x:v>Cassius Spiralis</x:v>
      </x:c>
      <x:c r="G12" s="104" t="str">
        <x:v>Cassius hat zwei Monumentakten vertauscht. Das Team ordnet Schrift, Form und politische Bildsprache dem Obelisken und der Reliefsäule zu.</x:v>
      </x:c>
      <x:c r="H12" s="104" t="str">
        <x:v>Aktenchaos → Mustervergleich → geordnete Botschaften</x:v>
      </x:c>
      <x:c r="I12" s="104" t="str">
        <x:v>Obelisco di Montecitorio → Mark-Aurel-Säule</x:v>
      </x:c>
      <x:c r="J12" s="104" t="str">
        <x:v>place_day_1_obelisco_di_montecitorio | place_day_1_colonna_di_marco_aurelio</x:v>
      </x:c>
      <x:c r="K12" s="104" t="str">
        <x:v>START / ERSTER HINWEIS: Monumentaler Schaft mit Hieroglyphen und einer Metallkugel an der Spitze. | ABSCHLUSS: Breites spiralförmiges Reliefband und große Figur auf der Spitze.</x:v>
      </x:c>
      <x:c r="L12" s="104" t="str">
        <x:v>https://it.wikipedia.org/wiki/Obelisco_di_Montecitorio
https://it.wikipedia.org/wiki/Colonna_di_Marco_Aurelio</x:v>
      </x:c>
      <x:c r="M12" s="106" t="n">
        <x:v>5</x:v>
      </x:c>
      <x:c r="N12" s="106" t="n">
        <x:v>15</x:v>
      </x:c>
      <x:c r="O12" s="106" t="str">
        <x:v>TEAM_SHARED|max_3_regular</x:v>
      </x:c>
      <x:c r="P12" s="106" t="str">
        <x:v>day=DAY_1|firstLocationEnabled|regularSlotAvailable</x:v>
      </x:c>
      <x:c r="Q12" s="106" t="str">
        <x:v>Alle required Questablauf-Schritte COMPLETE; mindestens 2 Teammitglieder bei normalen Ortszielen.</x:v>
      </x:c>
      <x:c r="R12" s="106" t="str">
        <x:v>Fallback: Form des Reliefbands beziehungsweise Schriftart am Obelisken.</x:v>
      </x:c>
      <x:c r="S12" s="108" t="n">
        <x:v>35</x:v>
      </x:c>
      <x:c r="T12" s="108" t="n">
        <x:v>20</x:v>
      </x:c>
      <x:c r="U12" s="104" t="str">
        <x:v>LOOT_ROLL:QUEST_STANDARD (team inventory; rarity band by duration)</x:v>
      </x:c>
      <x:c r="V12" s="104" t="str">
        <x:v>QUEST_REWARD_PROFILE</x:v>
      </x:c>
      <x:c r="W12" s="104"/>
      <x:c r="X12" s="104" t="str">
        <x:v>EDITORIAL_REVIEW</x:v>
      </x:c>
      <x:c r="Y12" s="104" t="str">
        <x:v>GeoJSON v0.8 spiegelt Quest-, Orts-, Encounter-, Timer- und Navigationsreferenzen; publishable bleibt bis APPROVED false.</x:v>
      </x:c>
      <x:c r="Z12" s="104" t="str">
        <x:v>Reward- und Itemwerte verbindlich in GDD v0.16 §28.8; Feld-/Redaktionsstatus separat prüfen.</x:v>
      </x:c>
      <x:c r="AA12" s="168" t="str">
        <x:v>Historisches Chiaroscuro, mobile-RPG-Questillustration für D1-Q08 „Kaiserbotschaften“ (REGULAER). Szene: Cassius hat zwei Monumentakten vertauscht. Das Team ordnet Schrift, Form und politische Bildsprache dem Obelisken und der Reliefsäule zu. Schauplatz/Ortsfolge: Obelisco di Montecitorio → Mark-Aurel-Säule. Klare Teamlesbarkeit, römische Materialien, gerichtetes warmes Licht, tiefe Schatten, reduzierte aber erkennbare Architektur, freie Zone für UI-Overlay, keine Schrift, kein Logo, keine modernen Gegenstände.</x:v>
      </x:c>
      <x:c r="AB12" s="168" t="str">
        <x:v>EDITORIAL_REVIEW</x:v>
      </x:c>
    </x:row>
    <x:row r="13" ht="79.19999694824219" hidden="0" customHeight="1">
      <x:c r="A13" s="101" t="str">
        <x:v>D1-Q09</x:v>
      </x:c>
      <x:c r="B13" s="101" t="str">
        <x:v>REGULAER</x:v>
      </x:c>
      <x:c r="C13" s="101" t="str">
        <x:v>DAY_1</x:v>
      </x:c>
      <x:c r="D13" s="101" t="str">
        <x:v>Das gebändigte Wasser</x:v>
      </x:c>
      <x:c r="E13" s="101" t="str">
        <x:v>npc_aqua_virgo</x:v>
      </x:c>
      <x:c r="F13" s="101" t="str">
        <x:v>Aqua Virgo</x:v>
      </x:c>
      <x:c r="G13" s="101" t="str">
        <x:v>Eine Kanalratte hat den Wasserweg zwischen Trevi, den Arkaden und dem Tritonenbrunnen verdreckt. Beobachtungen füllen eine Ampulle, die im Kampf die Schmutzfähigkeit neutralisiert.</x:v>
      </x:c>
      <x:c r="H13" s="101" t="str">
        <x:v>Verunreinigung → Wasserweg lesen → Reinigung → Kampf</x:v>
      </x:c>
      <x:c r="I13" s="101" t="str">
        <x:v>Trevi-Brunnen → Acquedotto Vergine → Tritonenbrunnen</x:v>
      </x:c>
      <x:c r="J13" s="101" t="str">
        <x:v>place_day_1_fontana_di_trevi | place_day_1_acquedotto_vergine | place_day_1_fontana_del_tritone</x:v>
      </x:c>
      <x:c r="K13" s="101" t="str">
        <x:v>START / ERSTER HINWEIS: Zwei große Seepferde vor dem muschelförmigen Wagen der Zentralfigur. | ZWISCHENSTATION: Drei teilweise im heutigen Bodenniveau versunkene Travertinarkaden hinter einer Absperrung. | ABSCHLUSS: Vier große Delfine, Muschelschale, Triton mit Schneckenhorn.</x:v>
      </x:c>
      <x:c r="L13" s="101" t="str">
        <x:v>https://it.wikipedia.org/wiki/Fontana_di_Trevi
https://www.sovraintendenzaroma.it/i_luoghi/roma_antica/monumenti/acquedotto_vergine
https://it.wikipedia.org/wiki/Fontana_del_Tritone</x:v>
      </x:c>
      <x:c r="M13" s="105" t="n">
        <x:v>25</x:v>
      </x:c>
      <x:c r="N13" s="105" t="n">
        <x:v>35</x:v>
      </x:c>
      <x:c r="O13" s="105" t="str">
        <x:v>TEAM_SHARED|max_3_regular</x:v>
      </x:c>
      <x:c r="P13" s="105" t="str">
        <x:v>day=DAY_1|firstLocationEnabled|regularSlotAvailable</x:v>
      </x:c>
      <x:c r="Q13" s="105" t="str">
        <x:v>Alle required Questablauf-Schritte COMPLETE; mindestens 2 Teammitglieder bei normalen Ortszielen.</x:v>
      </x:c>
      <x:c r="R13" s="105" t="str">
        <x:v>Wenn die Arkaden verdeckt sind, nutzt die gleichörtige Materialfrage und setzt die Route fort.</x:v>
      </x:c>
      <x:c r="S13" s="107" t="n">
        <x:v>80</x:v>
      </x:c>
      <x:c r="T13" s="107" t="n">
        <x:v>45</x:v>
      </x:c>
      <x:c r="U13" s="101" t="str">
        <x:v>QUEST_ITEM:qi_ampulla_virgo / Ampulla der Aqua Virgo (R; questLocked; kein Kampfbonus)</x:v>
      </x:c>
      <x:c r="V13" s="101" t="str">
        <x:v>COMBAT_REWARD_PROFILE</x:v>
      </x:c>
      <x:c r="W13" s="101"/>
      <x:c r="X13" s="101" t="str">
        <x:v>FIELD_CHECK_REQUIRED</x:v>
      </x:c>
      <x:c r="Y13" s="101" t="str">
        <x:v>GeoJSON v0.8 spiegelt Quest-, Orts-, Encounter-, Timer- und Navigationsreferenzen; publishable bleibt bis APPROVED false.</x:v>
      </x:c>
      <x:c r="Z13" s="101" t="str">
        <x:v>Reward- und Itemwerte verbindlich in GDD v0.16 §28.8; Feld-/Redaktionsstatus separat prüfen.</x:v>
      </x:c>
      <x:c r="AA13" s="168" t="str">
        <x:v>Historisches Chiaroscuro, mobile-RPG-Questillustration für D1-Q09 „Das gebändigte Wasser“ (REGULAER). Szene: Eine Kanalratte hat den Wasserweg zwischen Trevi, den Arkaden und dem Tritonenbrunnen verdreckt. Beobachtungen füllen eine Ampulle, die im Kampf die Schmutzfähigkeit neutralisiert. Schauplatz/Ortsfolge: Trevi-Brunnen → Acquedotto Vergine → Tritonenbrunnen. Klare Teamlesbarkeit, römische Materialien, gerichtetes warmes Licht, tiefe Schatten, reduzierte aber erkennbare Architektur, freie Zone für UI-Overlay, keine Schrift, kein Logo, keine modernen Gegenstände.</x:v>
      </x:c>
      <x:c r="AB13" s="168" t="str">
        <x:v>FIELD_CHECK_REQUIRED</x:v>
      </x:c>
    </x:row>
    <x:row r="14" ht="79.19999694824219" hidden="0" customHeight="1">
      <x:c r="A14" s="104" t="str">
        <x:v>D1-Q10</x:v>
      </x:c>
      <x:c r="B14" s="104" t="str">
        <x:v>REGULAER</x:v>
      </x:c>
      <x:c r="C14" s="104" t="str">
        <x:v>DAY_1</x:v>
      </x:c>
      <x:c r="D14" s="104" t="str">
        <x:v>Macht auf dem Quirinal</x:v>
      </x:c>
      <x:c r="E14" s="104" t="str">
        <x:v>npc_skanderbeg_echo</x:v>
      </x:c>
      <x:c r="F14" s="104" t="str">
        <x:v>Skanderbeg – steinernes Echo</x:v>
      </x:c>
      <x:c r="G14" s="104" t="str">
        <x:v>Skanderbeg prüft drei Formen von Macht: Name, monumentale Pferde und heutige Staatsgewalt. Am Ende wählt das Team Loyalität, Unabhängigkeit oder Dienst am Gemeinwohl.</x:v>
      </x:c>
      <x:c r="H14" s="104" t="str">
        <x:v>Identitätsprüfung → Machtsymbole → Loyalitätsentscheidung</x:v>
      </x:c>
      <x:c r="I14" s="104" t="str">
        <x:v>Piazza Scanderbeg → Obelisco del Quirinale → Quirinalspalast</x:v>
      </x:c>
      <x:c r="J14" s="104" t="str">
        <x:v>place_day_1_piazza_scanderbeg | place_day_1_obelisco_del_quirinale | place_day_1_palazzo_del_quirinale</x:v>
      </x:c>
      <x:c r="K14" s="104" t="str">
        <x:v>START / ERSTER HINWEIS: Steinernes Porträtrelief mit lesbarem Namen an der Hausfassade. | ZWISCHENSTATION: Zwei monumentale Pferdegruppen flankieren den Obelisken. | ABSCHLUSS: Monumentale lange Palastfassade und Hauptportal an der öffentlich zugänglichen Piazza del Quirinale.</x:v>
      </x:c>
      <x:c r="L14" s="104" t="str">
        <x:v>https://en.wikipedia.org/wiki/Piazza_Scanderbeg
https://it.wikipedia.org/wiki/Obelisco_del_Quirinale
https://palazzo.quirinale.it/palazzo_en.html</x:v>
      </x:c>
      <x:c r="M14" s="106" t="n">
        <x:v>25</x:v>
      </x:c>
      <x:c r="N14" s="106" t="n">
        <x:v>35</x:v>
      </x:c>
      <x:c r="O14" s="106" t="str">
        <x:v>TEAM_SHARED|max_3_regular</x:v>
      </x:c>
      <x:c r="P14" s="106" t="str">
        <x:v>day=DAY_1|firstLocationEnabled|regularSlotAvailable</x:v>
      </x:c>
      <x:c r="Q14" s="106" t="str">
        <x:v>Alle required Questablauf-Schritte COMPLETE; mindestens 2 Teammitglieder bei normalen Ortszielen.</x:v>
      </x:c>
      <x:c r="R14" s="106" t="str">
        <x:v>Bei unleserlicher Scanderbeg-Inschrift beginnt die Quest am Quirinal-Obelisken.</x:v>
      </x:c>
      <x:c r="S14" s="108" t="n">
        <x:v>80</x:v>
      </x:c>
      <x:c r="T14" s="108" t="n">
        <x:v>45</x:v>
      </x:c>
      <x:c r="U14" s="104" t="str">
        <x:v>LOOT_ROLL:QUEST_STANDARD (team inventory; rarity band by duration)</x:v>
      </x:c>
      <x:c r="V14" s="104" t="str">
        <x:v>QUEST_REWARD_PROFILE</x:v>
      </x:c>
      <x:c r="W14" s="104"/>
      <x:c r="X14" s="104" t="str">
        <x:v>FIELD_CHECK_REQUIRED</x:v>
      </x:c>
      <x:c r="Y14" s="104" t="str">
        <x:v>GeoJSON v0.8 spiegelt Quest-, Orts-, Encounter-, Timer- und Navigationsreferenzen; publishable bleibt bis APPROVED false.</x:v>
      </x:c>
      <x:c r="Z14" s="104" t="str">
        <x:v>Reward- und Itemwerte verbindlich in GDD v0.16 §28.8; Feld-/Redaktionsstatus separat prüfen.</x:v>
      </x:c>
      <x:c r="AA14" s="168" t="str">
        <x:v>Historisches Chiaroscuro, mobile-RPG-Questillustration für D1-Q10 „Macht auf dem Quirinal“ (REGULAER). Szene: Skanderbeg prüft drei Formen von Macht: Name, monumentale Pferde und heutige Staatsgewalt. Am Ende wählt das Team Loyalität, Unabhängigkeit oder Dienst am Gemeinwohl. Schauplatz/Ortsfolge: Piazza Scanderbeg → Obelisco del Quirinale → Quirinalspalast. Klare Teamlesbarkeit, römische Materialien, gerichtetes warmes Licht, tiefe Schatten, reduzierte aber erkennbare Architektur, freie Zone für UI-Overlay, keine Schrift, kein Logo, keine modernen Gegenstände.</x:v>
      </x:c>
      <x:c r="AB14" s="168" t="str">
        <x:v>FIELD_CHECK_REQUIRED</x:v>
      </x:c>
    </x:row>
    <x:row r="15" ht="66" hidden="0" customHeight="1">
      <x:c r="A15" s="101" t="str">
        <x:v>D1-Q11</x:v>
      </x:c>
      <x:c r="B15" s="101" t="str">
        <x:v>REGULAER</x:v>
      </x:c>
      <x:c r="C15" s="101" t="str">
        <x:v>DAY_1</x:v>
      </x:c>
      <x:c r="D15" s="101" t="str">
        <x:v>Zeichen der Unbefleckten</x:v>
      </x:c>
      <x:c r="E15" s="101" t="str">
        <x:v>npc_lucia_laternenhueterin</x:v>
      </x:c>
      <x:c r="F15" s="101" t="str">
        <x:v>Lucia, Laternenhüterin der Säule</x:v>
      </x:c>
      <x:c r="G15" s="101" t="str">
        <x:v>Lucia bittet nicht um Frömmigkeitswissen, sondern um genaues Sehen: Spitzenfigur, Sockelfiguren und das Wort, das die sichtbare Komposition zusammenhält.</x:v>
      </x:c>
      <x:c r="H15" s="101" t="str">
        <x:v>Stilles Betrachten → Symbolwort → behutsame Deutung</x:v>
      </x:c>
      <x:c r="I15" s="101" t="str">
        <x:v>Colonna dell'Immacolata</x:v>
      </x:c>
      <x:c r="J15" s="101" t="str">
        <x:v>place_day_1_colonna_dell_immacolata</x:v>
      </x:c>
      <x:c r="K15" s="101" t="str">
        <x:v>START / ERSTER HINWEIS: Große Marienstatue auf der Spitze und vier sitzende Sockelfiguren.</x:v>
      </x:c>
      <x:c r="L15" s="101" t="str">
        <x:v>https://it.wikipedia.org/wiki/Colonna_dell'Immacolata_(Roma)</x:v>
      </x:c>
      <x:c r="M15" s="105" t="n">
        <x:v>5</x:v>
      </x:c>
      <x:c r="N15" s="105" t="n">
        <x:v>15</x:v>
      </x:c>
      <x:c r="O15" s="105" t="str">
        <x:v>TEAM_SHARED|max_3_regular</x:v>
      </x:c>
      <x:c r="P15" s="105" t="str">
        <x:v>day=DAY_1|firstLocationEnabled|regularSlotAvailable</x:v>
      </x:c>
      <x:c r="Q15" s="105" t="str">
        <x:v>Alle required Questablauf-Schritte COMPLETE; mindestens 2 Teammitglieder bei normalen Ortszielen.</x:v>
      </x:c>
      <x:c r="R15" s="105" t="str">
        <x:v>Fallback: Zahl der großen Sockelfiguren.</x:v>
      </x:c>
      <x:c r="S15" s="107" t="n">
        <x:v>35</x:v>
      </x:c>
      <x:c r="T15" s="107" t="n">
        <x:v>20</x:v>
      </x:c>
      <x:c r="U15" s="101" t="str">
        <x:v>LOOT_ROLL:QUEST_STANDARD (team inventory; rarity band by duration)</x:v>
      </x:c>
      <x:c r="V15" s="101" t="str">
        <x:v>QUEST_REWARD_PROFILE</x:v>
      </x:c>
      <x:c r="W15" s="101"/>
      <x:c r="X15" s="101" t="str">
        <x:v>EDITORIAL_REVIEW</x:v>
      </x:c>
      <x:c r="Y15" s="101" t="str">
        <x:v>GeoJSON v0.8 spiegelt Quest-, Orts-, Encounter-, Timer- und Navigationsreferenzen; publishable bleibt bis APPROVED false.</x:v>
      </x:c>
      <x:c r="Z15" s="101" t="str">
        <x:v>Reward- und Itemwerte verbindlich in GDD v0.16 §28.8; Feld-/Redaktionsstatus separat prüfen.</x:v>
      </x:c>
      <x:c r="AA15" s="168" t="str">
        <x:v>Historisches Chiaroscuro, mobile-RPG-Questillustration für D1-Q11 „Zeichen der Unbefleckten“ (REGULAER). Szene: Lucia bittet nicht um Frömmigkeitswissen, sondern um genaues Sehen: Spitzenfigur, Sockelfiguren und das Wort, das die sichtbare Komposition zusammenhält. Schauplatz/Ortsfolge: Colonna dell'Immacolata. Klare Teamlesbarkeit, römische Materialien, gerichtetes warmes Licht, tiefe Schatten, reduzierte aber erkennbare Architektur, freie Zone für UI-Overlay, keine Schrift, kein Logo, keine modernen Gegenstände.</x:v>
      </x:c>
      <x:c r="AB15" s="168" t="str">
        <x:v>EDITORIAL_REVIEW</x:v>
      </x:c>
    </x:row>
    <x:row r="16" ht="79.19999694824219" hidden="0" customHeight="1">
      <x:c r="A16" s="104" t="str">
        <x:v>D1-Q12</x:v>
      </x:c>
      <x:c r="B16" s="104" t="str">
        <x:v>REGULAER</x:v>
      </x:c>
      <x:c r="C16" s="104" t="str">
        <x:v>DAY_1</x:v>
      </x:c>
      <x:c r="D16" s="104" t="str">
        <x:v>Stimmen der Republik</x:v>
      </x:c>
      <x:c r="E16" s="104" t="str">
        <x:v>npc_giordano_bruno_echo</x:v>
      </x:c>
      <x:c r="F16" s="104" t="str">
        <x:v>Giordano Bruno – dunkles Echo</x:v>
      </x:c>
      <x:c r="G16" s="104" t="str">
        <x:v>Bruno sammelt vier Stimmen Roms: Verbindung, Palastmacht, öffentliche Debatte und republikanische Ruinen. Das Team ordnet sie und entscheidet, welche Stimme seine Chronik prägt.</x:v>
      </x:c>
      <x:c r="H16" s="104" t="str">
        <x:v>Vier städtische Stimmen → Zuordnung → politische Schlussentscheidung</x:v>
      </x:c>
      <x:c r="I16" s="104" t="str">
        <x:v>Ponte Sisto → Palazzo Farnese → Campo de' Fiori → Largo di Torre Argentina</x:v>
      </x:c>
      <x:c r="J16" s="104" t="str">
        <x:v>place_day_1_ponte_sisto | place_day_1_palazzo_farnese | place_day_1_campo_de_fiori | place_day_1_largo_di_torre_argentina</x:v>
      </x:c>
      <x:c r="K16" s="104" t="str">
        <x:v>START / ERSTER HINWEIS: Große kreisrunde Öffnung zwischen den beiden mittleren Brückenbögen. | ZWISCHENSTATION: Großes päpstliches Wappen über dem Mittelportal und wiederkehrende Lilienmotive. | ZWISCHENSTATION: Monumentale dunkle Bronzefigur; geschlossenes Buch direkt unter den gekreuzten Händen. | ABSCHLUSS: Vier klar getrennte Tempelkomplexe im tiefer liegenden Areal.</x:v>
      </x:c>
      <x:c r="L16" s="104" t="str">
        <x:v>https://www.turismoroma.it/it/luoghi/ponte-sisto
https://it.wikipedia.org/wiki/Palazzo_Farnese_(Roma)
https://www.sovraintendenzaroma.it/i_luoghi/roma_medioevale_e_moderna/monumenti/monumento_a_giordano_bruno
https://it.wikipedia.org/wiki/Largo_di_Torre_Argentina</x:v>
      </x:c>
      <x:c r="M16" s="106" t="n">
        <x:v>35</x:v>
      </x:c>
      <x:c r="N16" s="106" t="n">
        <x:v>45</x:v>
      </x:c>
      <x:c r="O16" s="106" t="str">
        <x:v>TEAM_SHARED|max_3_regular</x:v>
      </x:c>
      <x:c r="P16" s="106" t="str">
        <x:v>day=DAY_1|firstLocationEnabled|regularSlotAvailable</x:v>
      </x:c>
      <x:c r="Q16" s="106" t="str">
        <x:v>Alle required Questablauf-Schritte COMPLETE; mindestens 2 Teammitglieder bei normalen Ortszielen.</x:v>
      </x:c>
      <x:c r="R16" s="106" t="str">
        <x:v>Jeder Abschnitt ist modular deaktivierbar; mindestens drei der vier Stationen müssen verfügbar sein.</x:v>
      </x:c>
      <x:c r="S16" s="108" t="n">
        <x:v>110</x:v>
      </x:c>
      <x:c r="T16" s="108" t="n">
        <x:v>60</x:v>
      </x:c>
      <x:c r="U16" s="104" t="str">
        <x:v>LOOT_ROLL:QUEST_STANDARD (team inventory; rarity band by duration)</x:v>
      </x:c>
      <x:c r="V16" s="104" t="str">
        <x:v>QUEST_REWARD_PROFILE</x:v>
      </x:c>
      <x:c r="W16" s="104"/>
      <x:c r="X16" s="104" t="str">
        <x:v>FIELD_CHECK_REQUIRED</x:v>
      </x:c>
      <x:c r="Y16" s="104" t="str">
        <x:v>GeoJSON v0.8 spiegelt Quest-, Orts-, Encounter-, Timer- und Navigationsreferenzen; publishable bleibt bis APPROVED false.</x:v>
      </x:c>
      <x:c r="Z16" s="104" t="str">
        <x:v>Reward- und Itemwerte verbindlich in GDD v0.16 §28.8; Feld-/Redaktionsstatus separat prüfen.</x:v>
      </x:c>
      <x:c r="AA16" s="168" t="str">
        <x:v>Historisches Chiaroscuro, mobile-RPG-Questillustration für D1-Q12 „Stimmen der Republik“ (REGULAER). Szene: Bruno sammelt vier Stimmen Roms: Verbindung, Palastmacht, öffentliche Debatte und republikanische Ruinen. Das Team ordnet sie und entscheidet, welche Stimme seine Chronik prägt. Schauplatz/Ortsfolge: Ponte Sisto → Palazzo Farnese → Campo de' Fiori → Largo di Torre Argentina. Klare Teamlesbarkeit, römische Materialien, gerichtetes warmes Licht, tiefe Schatten, reduzierte aber erkennbare Architektur, freie Zone für UI-Overlay, keine Schrift, kein Logo, keine modernen Gegenstände.</x:v>
      </x:c>
      <x:c r="AB16" s="168" t="str">
        <x:v>FIELD_CHECK_REQUIRED</x:v>
      </x:c>
    </x:row>
    <x:row r="17" ht="79.19999694824219" hidden="0" customHeight="1">
      <x:c r="A17" s="101" t="str">
        <x:v>D1-Q13</x:v>
      </x:c>
      <x:c r="B17" s="101" t="str">
        <x:v>REGULAER</x:v>
      </x:c>
      <x:c r="C17" s="101" t="str">
        <x:v>DAY_1</x:v>
      </x:c>
      <x:c r="D17" s="101" t="str">
        <x:v>Roms große Bühne</x:v>
      </x:c>
      <x:c r="E17" s="101" t="str">
        <x:v>npc_marcella_scaena</x:v>
      </x:c>
      <x:c r="F17" s="101" t="str">
        <x:v>Marcella Scaena</x:v>
      </x:c>
      <x:c r="G17" s="101" t="str">
        <x:v>Drei Bühnen verschiedener Zeiten stehen im falschen Akt. Das Team ordnet Fassade, Schildkrötenbrunnen und antike Arkaden chronologisch; eine falsche Schildkröte kann den Hidden-Kampf wecken.</x:v>
      </x:c>
      <x:c r="H17" s="101" t="str">
        <x:v>Verwechselte Akte → Beobachtungen → Chronologie → Vorhang</x:v>
      </x:c>
      <x:c r="I17" s="101" t="str">
        <x:v>Basilica di Sant'Andrea della Valle → Fontana delle Tartarughe → Marcellustheater</x:v>
      </x:c>
      <x:c r="J17" s="101" t="str">
        <x:v>place_day_1_basilica_di_sant_andrea_della_valle | place_day_1_fontana_delle_tartarughe | place_day_1_teatro_di_marcello</x:v>
      </x:c>
      <x:c r="K17" s="101" t="str">
        <x:v>START / ERSTER HINWEIS: Einzelne große Engelsfigur auf der linken Fassadenseite, wenn man vor der Kirche steht. | ZWISCHENSTATION: Vier deutlich sichtbare Schildkröten am Rand des oberen Beckens. | ABSCHLUSS: Zwei übereinanderliegende antike Arkadenebenen unter einem späteren Wohnpalast.</x:v>
      </x:c>
      <x:c r="L17" s="101" t="str">
        <x:v>https://it.wikipedia.org/wiki/Basilica_di_Sant'Andrea_della_Valle
https://www.turismoroma.it/it/luoghi/fontana-delle-tartarughe
https://www.turismoroma.it/it/luoghi/teatro-di-marcello</x:v>
      </x:c>
      <x:c r="M17" s="105" t="n">
        <x:v>15</x:v>
      </x:c>
      <x:c r="N17" s="105" t="n">
        <x:v>25</x:v>
      </x:c>
      <x:c r="O17" s="105" t="str">
        <x:v>TEAM_SHARED|max_3_regular</x:v>
      </x:c>
      <x:c r="P17" s="105" t="str">
        <x:v>day=DAY_1|firstLocationEnabled|regularSlotAvailable</x:v>
      </x:c>
      <x:c r="Q17" s="105" t="str">
        <x:v>Alle required Questablauf-Schritte COMPLETE; mindestens 2 Teammitglieder bei normalen Ortszielen.</x:v>
      </x:c>
      <x:c r="R17" s="105" t="str">
        <x:v>Fallback: Großformen an Sant’Andrea und Teatro; Tartarughen-Detail bei Bedarf auslassen.</x:v>
      </x:c>
      <x:c r="S17" s="107" t="n">
        <x:v>55</x:v>
      </x:c>
      <x:c r="T17" s="107" t="n">
        <x:v>30</x:v>
      </x:c>
      <x:c r="U17" s="101" t="str">
        <x:v>LOOT_ROLL:QUEST_STANDARD (team inventory; rarity band by duration)</x:v>
      </x:c>
      <x:c r="V17" s="101" t="str">
        <x:v>QUEST_REWARD_PROFILE</x:v>
      </x:c>
      <x:c r="W17" s="101"/>
      <x:c r="X17" s="101" t="str">
        <x:v>FIELD_CHECK_REQUIRED</x:v>
      </x:c>
      <x:c r="Y17" s="101" t="str">
        <x:v>GeoJSON v0.8 spiegelt Quest-, Orts-, Encounter-, Timer- und Navigationsreferenzen; publishable bleibt bis APPROVED false.</x:v>
      </x:c>
      <x:c r="Z17" s="101" t="str">
        <x:v>Reward- und Itemwerte verbindlich in GDD v0.16 §28.8; Feld-/Redaktionsstatus separat prüfen.</x:v>
      </x:c>
      <x:c r="AA17" s="168" t="str">
        <x:v>Historisches Chiaroscuro, mobile-RPG-Questillustration für D1-Q13 „Roms große Bühne“ (REGULAER). Szene: Drei Bühnen verschiedener Zeiten stehen im falschen Akt. Das Team ordnet Fassade, Schildkrötenbrunnen und antike Arkaden chronologisch; eine falsche Schildkröte kann den Hidden-Kampf wecken. Schauplatz/Ortsfolge: Basilica di Sant'Andrea della Valle → Fontana delle Tartarughe → Marcellustheater. Klare Teamlesbarkeit, römische Materialien, gerichtetes warmes Licht, tiefe Schatten, reduzierte aber erkennbare Architektur, freie Zone für UI-Overlay, keine Schrift, kein Logo, keine modernen Gegenstände.</x:v>
      </x:c>
      <x:c r="AB17" s="168" t="str">
        <x:v>FIELD_CHECK_REQUIRED</x:v>
      </x:c>
    </x:row>
    <x:row r="18" ht="66" hidden="0" customHeight="1">
      <x:c r="A18" s="104" t="str">
        <x:v>D1-Q14</x:v>
      </x:c>
      <x:c r="B18" s="104" t="str">
        <x:v>REGULAER</x:v>
      </x:c>
      <x:c r="C18" s="104" t="str">
        <x:v>DAY_1</x:v>
      </x:c>
      <x:c r="D18" s="104" t="str">
        <x:v>Die steinerne Insel</x:v>
      </x:c>
      <x:c r="E18" s="104" t="str">
        <x:v>npc_tiberinus_medicus</x:v>
      </x:c>
      <x:c r="F18" s="104" t="str">
        <x:v>Tiberinus Medicus</x:v>
      </x:c>
      <x:c r="G18" s="104" t="str">
        <x:v>Die Insel ‚fiebert‘, weil ihr Schiffsbug und ihre Heiltradition getrennt wurden. Das Team erkennt die Form, gibt NAVIS ein und setzt einen virtuellen Heilungsstab ein.</x:v>
      </x:c>
      <x:c r="H18" s="104" t="str">
        <x:v>Diagnose → Formerkennung → Code → Heileffekt</x:v>
      </x:c>
      <x:c r="I18" s="104" t="str">
        <x:v>Isola Tiberina</x:v>
      </x:c>
      <x:c r="J18" s="104" t="str">
        <x:v>place_day_1_isola_tiberina</x:v>
      </x:c>
      <x:c r="K18" s="104" t="str">
        <x:v>START / ERSTER HINWEIS: Travertinreste einer Schiffsspitze und Asklepios-Relief am östlichen Inselende.</x:v>
      </x:c>
      <x:c r="L18" s="104" t="str">
        <x:v>https://www.openstreetmap.org/node/4798313727</x:v>
      </x:c>
      <x:c r="M18" s="106" t="n">
        <x:v>5</x:v>
      </x:c>
      <x:c r="N18" s="106" t="n">
        <x:v>15</x:v>
      </x:c>
      <x:c r="O18" s="106" t="str">
        <x:v>TEAM_SHARED|max_3_regular</x:v>
      </x:c>
      <x:c r="P18" s="106" t="str">
        <x:v>day=DAY_1|firstLocationEnabled|regularSlotAvailable</x:v>
      </x:c>
      <x:c r="Q18" s="106" t="str">
        <x:v>Alle required Questablauf-Schritte COMPLETE; mindestens 2 Teammitglieder bei normalen Ortszielen.</x:v>
      </x:c>
      <x:c r="R18" s="106" t="str">
        <x:v>Fallback: allgemeine Inselform und sichtbare Brückenbeziehung.</x:v>
      </x:c>
      <x:c r="S18" s="108" t="n">
        <x:v>35</x:v>
      </x:c>
      <x:c r="T18" s="108" t="n">
        <x:v>20</x:v>
      </x:c>
      <x:c r="U18" s="104" t="str">
        <x:v>QUEST_ITEM:qi_virga_aesculapii / Stab des Heilwegs (R; questLocked; kein Kampfbonus)</x:v>
      </x:c>
      <x:c r="V18" s="104" t="str">
        <x:v>QUEST_REWARD_PROFILE</x:v>
      </x:c>
      <x:c r="W18" s="104"/>
      <x:c r="X18" s="104" t="str">
        <x:v>FIELD_CHECK_REQUIRED</x:v>
      </x:c>
      <x:c r="Y18" s="104" t="str">
        <x:v>GeoJSON v0.8 spiegelt Quest-, Orts-, Encounter-, Timer- und Navigationsreferenzen; publishable bleibt bis APPROVED false.</x:v>
      </x:c>
      <x:c r="Z18" s="104" t="str">
        <x:v>Reward- und Itemwerte verbindlich in GDD v0.16 §28.8; Feld-/Redaktionsstatus separat prüfen.</x:v>
      </x:c>
      <x:c r="AA18" s="168" t="str">
        <x:v>Historisches Chiaroscuro, mobile-RPG-Questillustration für D1-Q14 „Die steinerne Insel“ (REGULAER). Szene: Die Insel ‚fiebert‘, weil ihr Schiffsbug und ihre Heiltradition getrennt wurden. Das Team erkennt die Form, gibt NAVIS ein und setzt einen virtuellen Heilungsstab ein. Schauplatz/Ortsfolge: Isola Tiberina. Klare Teamlesbarkeit, römische Materialien, gerichtetes warmes Licht, tiefe Schatten, reduzierte aber erkennbare Architektur, freie Zone für UI-Overlay, keine Schrift, kein Logo, keine modernen Gegenstände.</x:v>
      </x:c>
      <x:c r="AB18" s="168" t="str">
        <x:v>FIELD_CHECK_REQUIRED</x:v>
      </x:c>
    </x:row>
    <x:row r="19" ht="79.19999694824219" hidden="0" customHeight="1">
      <x:c r="A19" s="101" t="str">
        <x:v>D1-Q15</x:v>
      </x:c>
      <x:c r="B19" s="101" t="str">
        <x:v>REGULAER</x:v>
      </x:c>
      <x:c r="C19" s="101" t="str">
        <x:v>DAY_1</x:v>
      </x:c>
      <x:c r="D19" s="101" t="str">
        <x:v>Cecilias Stimmen</x:v>
      </x:c>
      <x:c r="E19" s="101" t="str">
        <x:v>npc_cecilia_vox</x:v>
      </x:c>
      <x:c r="F19" s="101" t="str">
        <x:v>Cecilia – Stimme im Mosaik</x:v>
      </x:c>
      <x:c r="G19" s="101" t="str">
        <x:v>Cecilias Erinnerung klingt zwischen zwei Kirchen. Das Team sammelt außen sichtbare Hinweise und entscheidet, wie Legende und belegte Geschichte fair erzählt werden.</x:v>
      </x:c>
      <x:c r="H19" s="101" t="str">
        <x:v>Erinnerung → sichtbare Hinweise → Quellenentscheidung → harmonischer Abschluss</x:v>
      </x:c>
      <x:c r="I19" s="101" t="str">
        <x:v>Basilica di Santa Cecilia in Trastevere → Santa Maria in Trastevere</x:v>
      </x:c>
      <x:c r="J19" s="101" t="str">
        <x:v>place_day_1_basilica_di_santa_cecilia_in_trastevere | place_day_1_basilica_di_santa_maria_in_trastevere</x:v>
      </x:c>
      <x:c r="K19" s="101" t="str">
        <x:v>START / ERSTER HINWEIS: Kirchenname und Widmung am äußeren Zugang; Innenhofbrunnen nur optional, weil der Hof zeitabhängig sein kann. | ABSCHLUSS: Großes goldenes Mosaik hoch an der Fassade; vom Platz sichtbar.</x:v>
      </x:c>
      <x:c r="L19" s="101" t="str">
        <x:v>https://it.wikipedia.org/wiki/Basilica_di_Santa_Cecilia_in_Trastevere
https://it.wikipedia.org/wiki/Basilica_di_Santa_Maria_in_Trastevere</x:v>
      </x:c>
      <x:c r="M19" s="105" t="n">
        <x:v>15</x:v>
      </x:c>
      <x:c r="N19" s="105" t="n">
        <x:v>25</x:v>
      </x:c>
      <x:c r="O19" s="105" t="str">
        <x:v>TEAM_SHARED|max_3_regular</x:v>
      </x:c>
      <x:c r="P19" s="105" t="str">
        <x:v>day=DAY_1|firstLocationEnabled|regularSlotAvailable</x:v>
      </x:c>
      <x:c r="Q19" s="105" t="str">
        <x:v>Alle required Questablauf-Schritte COMPLETE; mindestens 2 Teammitglieder bei normalen Ortszielen.</x:v>
      </x:c>
      <x:c r="R19" s="105" t="str">
        <x:v>Wenn Santa Cecilia außen nicht eindeutig ist, startet die Quest auf der Piazza Santa Maria.</x:v>
      </x:c>
      <x:c r="S19" s="107" t="n">
        <x:v>55</x:v>
      </x:c>
      <x:c r="T19" s="107" t="n">
        <x:v>30</x:v>
      </x:c>
      <x:c r="U19" s="101" t="str">
        <x:v>LOOT_ROLL:QUEST_STANDARD (team inventory; rarity band by duration)</x:v>
      </x:c>
      <x:c r="V19" s="101" t="str">
        <x:v>QUEST_REWARD_PROFILE</x:v>
      </x:c>
      <x:c r="W19" s="101" t="str">
        <x:v>CLERIC</x:v>
      </x:c>
      <x:c r="X19" s="101" t="str">
        <x:v>FIELD_CHECK_REQUIRED</x:v>
      </x:c>
      <x:c r="Y19" s="101" t="str">
        <x:v>GeoJSON v0.8 spiegelt Quest-, Orts-, Encounter-, Timer- und Navigationsreferenzen; publishable bleibt bis APPROVED false.</x:v>
      </x:c>
      <x:c r="Z19" s="101" t="str">
        <x:v>Reward- und Itemwerte verbindlich in GDD v0.16 §28.8; Feld-/Redaktionsstatus separat prüfen.</x:v>
      </x:c>
      <x:c r="AA19" s="168" t="str">
        <x:v>Historisches Chiaroscuro, mobile-RPG-Questillustration für D1-Q15 „Cecilias Stimmen“ (REGULAER). Szene: Cecilias Erinnerung klingt zwischen zwei Kirchen. Das Team sammelt außen sichtbare Hinweise und entscheidet, wie Legende und belegte Geschichte fair erzählt werden. Schauplatz/Ortsfolge: Basilica di Santa Cecilia in Trastevere → Santa Maria in Trastevere. Klare Teamlesbarkeit, römische Materialien, gerichtetes warmes Licht, tiefe Schatten, reduzierte aber erkennbare Architektur, freie Zone für UI-Overlay, keine Schrift, kein Logo, keine modernen Gegenstände.</x:v>
      </x:c>
      <x:c r="AB19" s="168" t="str">
        <x:v>FIELD_CHECK_REQUIRED</x:v>
      </x:c>
    </x:row>
    <x:row r="20" ht="92.4000015258789" hidden="0" customHeight="1">
      <x:c r="A20" s="104" t="str">
        <x:v>D1-Q16</x:v>
      </x:c>
      <x:c r="B20" s="104" t="str">
        <x:v>REGULAER</x:v>
      </x:c>
      <x:c r="C20" s="104" t="str">
        <x:v>DAY_1</x:v>
      </x:c>
      <x:c r="D20" s="104" t="str">
        <x:v>Republik auf dem Gianicolo</x:v>
      </x:c>
      <x:c r="E20" s="104" t="str">
        <x:v>npc_anita_garibaldi</x:v>
      </x:c>
      <x:c r="F20" s="104" t="str">
        <x:v>Anita Garibaldi – Reiterecho</x:v>
      </x:c>
      <x:c r="G20" s="104" t="str">
        <x:v>Anita führt eine aufsteigende Erinnerungsroute über Mauern, Ossarium und Wasserfassade. Ein Abschnitt wird ohne sichtbaren Zielmarker navigiert; jede richtige Station stärkt das Team für den Garibaldino.</x:v>
      </x:c>
      <x:c r="H20" s="104" t="str">
        <x:v>Aufbruch → koordinierter Aufstieg → Erinnerungsordnung → Finale</x:v>
      </x:c>
      <x:c r="I20" s="104" t="str">
        <x:v>Gianicolense-Mauern → Mausoleo Ossario Garibaldino → Fontana Dell'Acqua Paola → Monumento a Garibaldi → Monumento ad Anita Garibaldi</x:v>
      </x:c>
      <x:c r="J20" s="104" t="str">
        <x:v>place_day_1_mura_gianicolensi_2 | place_day_1_mausoleo_ossario_garibaldino | place_day_1_fontana_dell_acqua_paola | place_day_1_monumento_a_garibaldi | place_day_1_monumento_ad_anita_garibaldi</x:v>
      </x:c>
      <x:c r="K20" s="104" t="str">
        <x:v>START / ERSTER HINWEIS: Langer massiver Mauerabschnitt mit Schieß- und Verteidigungsformen. | ZWISCHENSTATION: Symmetrischer Zentralbau mit vier großen offenen Bögen. | ZWISCHENSTATION: Fünf weithin sichtbare Bogenfelder in der Hauptfassade. | ZWISCHENSTATION: Große Reiterfigur auf hohem Sockel. | ABSCHLUSS: Große Reiterfigur mit deutlich erhobener Handwaffe.</x:v>
      </x:c>
      <x:c r="L20" s="104" t="str">
        <x:v>https://turismoroma.it/es/node/31555
https://it.wikipedia.org/wiki/Mausoleo_Ossario_Garibaldino
https://it.wikipedia.org/wiki/Fontana_dell'Acqua_Paola
https://it.wikipedia.org/wiki/Monumento_a_Giuseppe_Garibaldi_(Roma)
https://it.wikipedia.org/wiki/Monumento_ad_Anita_Garibaldi</x:v>
      </x:c>
      <x:c r="M20" s="106" t="n">
        <x:v>35</x:v>
      </x:c>
      <x:c r="N20" s="106" t="n">
        <x:v>45</x:v>
      </x:c>
      <x:c r="O20" s="106" t="str">
        <x:v>TEAM_SHARED|max_3_regular</x:v>
      </x:c>
      <x:c r="P20" s="106" t="str">
        <x:v>day=DAY_1|firstLocationEnabled|regularSlotAvailable</x:v>
      </x:c>
      <x:c r="Q20" s="106" t="str">
        <x:v>Alle required Questablauf-Schritte COMPLETE; mindestens 2 Teammitglieder bei normalen Ortszielen.</x:v>
      </x:c>
      <x:c r="R20" s="106" t="str">
        <x:v>Die Quest kann auf vier Stationen gekürzt werden; Fontana Acqua Paola bleibt als Revive-Punkt erhalten.</x:v>
      </x:c>
      <x:c r="S20" s="108" t="n">
        <x:v>110</x:v>
      </x:c>
      <x:c r="T20" s="108" t="n">
        <x:v>60</x:v>
      </x:c>
      <x:c r="U20" s="104" t="str">
        <x:v>LOOT_ROLL:QUEST_STANDARD (team inventory; rarity band by duration)</x:v>
      </x:c>
      <x:c r="V20" s="104" t="str">
        <x:v>COMBAT_REWARD_PROFILE</x:v>
      </x:c>
      <x:c r="W20" s="104"/>
      <x:c r="X20" s="104" t="str">
        <x:v>EDITORIAL_REVIEW</x:v>
      </x:c>
      <x:c r="Y20" s="104" t="str">
        <x:v>GeoJSON v0.8 spiegelt Quest-, Orts-, Encounter-, Timer- und Navigationsreferenzen; publishable bleibt bis APPROVED false.</x:v>
      </x:c>
      <x:c r="Z20" s="104" t="str">
        <x:v>Reward- und Itemwerte verbindlich in GDD v0.16 §28.8; Feld-/Redaktionsstatus separat prüfen.</x:v>
      </x:c>
      <x:c r="AA20" s="168" t="str">
        <x:v>Historisches Chiaroscuro, mobile-RPG-Questillustration für D1-Q16 „Republik auf dem Gianicolo“ (REGULAER). Szene: Anita führt eine aufsteigende Erinnerungsroute über Mauern, Ossarium und Wasserfassade. Ein Abschnitt wird ohne sichtbaren Zielmarker navigiert; jede richtige Station stärkt das Team für den Garibaldino. Schauplatz/Ortsfolge: Gianicolense-Mauern → Mausoleo Ossario Garibaldino → Fontana Dell'Acqua Paola → Monumento a Garibaldi → Monumento ad Anita Garibaldi. Klare Teamlesbarkeit, römische Materialien, gerichtetes warmes Licht, tiefe Schatten, reduzierte aber erkennbare Architektur, freie Zone für UI-Overlay, keine Schrift, kein Logo, keine modernen Gegenstände.</x:v>
      </x:c>
      <x:c r="AB20" s="168" t="str">
        <x:v>EDITORIAL_REVIEW</x:v>
      </x:c>
    </x:row>
    <x:row r="21" ht="66" hidden="0" customHeight="1">
      <x:c r="A21" s="101" t="str">
        <x:v>D2-Q01</x:v>
      </x:c>
      <x:c r="B21" s="101" t="str">
        <x:v>REGULAER</x:v>
      </x:c>
      <x:c r="C21" s="101" t="str">
        <x:v>DAY_2</x:v>
      </x:c>
      <x:c r="D21" s="101" t="str">
        <x:v>Stern des Kapitols</x:v>
      </x:c>
      <x:c r="E21" s="101" t="str">
        <x:v>npc_michelangelo_campidoglio</x:v>
      </x:c>
      <x:c r="F21" s="101" t="str">
        <x:v>Michelangelo – missmutiger Platzgeist</x:v>
      </x:c>
      <x:c r="G21" s="101" t="str">
        <x:v>Der Platzgeist verlangt, dass Sternmuster und Caesarfigur nicht nur gesehen, sondern den Funktionen Orientierung, Macht und Erinnerung zugeordnet werden.</x:v>
      </x:c>
      <x:c r="H21" s="101" t="str">
        <x:v>Formprüfung → Figurenattribut → Bedeutungszuordnung</x:v>
      </x:c>
      <x:c r="I21" s="101" t="str">
        <x:v>Kapitolsplatz → Giulio Cesare</x:v>
      </x:c>
      <x:c r="J21" s="101" t="str">
        <x:v>place_day_2_piazza_del_campidoglio | place_day_2_giulio_cesare</x:v>
      </x:c>
      <x:c r="K21" s="101" t="str">
        <x:v>START / ERSTER HINWEIS: Großes hell-dunkles Sternoval im Pflaster um die Reiterstatue. | ABSCHLUSS: Lebensgroße Bronze mit deutlich sichtbarer Schriftrolle in der linken Hand.</x:v>
      </x:c>
      <x:c r="L21" s="101" t="str">
        <x:v>https://it.wikipedia.org/wiki/Piazza_del_Campidoglio
https://www.openstreetmap.org/node/7239169954</x:v>
      </x:c>
      <x:c r="M21" s="105" t="n">
        <x:v>15</x:v>
      </x:c>
      <x:c r="N21" s="105" t="n">
        <x:v>25</x:v>
      </x:c>
      <x:c r="O21" s="105" t="str">
        <x:v>TEAM_SHARED|max_3_regular</x:v>
      </x:c>
      <x:c r="P21" s="105" t="str">
        <x:v>day=DAY_2|firstLocationEnabled|regularSlotAvailable</x:v>
      </x:c>
      <x:c r="Q21" s="105" t="str">
        <x:v>Alle required Questablauf-Schritte COMPLETE; mindestens 2 Teammitglieder bei normalen Ortszielen.</x:v>
      </x:c>
      <x:c r="R21" s="105" t="str">
        <x:v>Fallback: nur das robuste Stern-im-Oval-Muster des Platzes verwenden.</x:v>
      </x:c>
      <x:c r="S21" s="107" t="n">
        <x:v>55</x:v>
      </x:c>
      <x:c r="T21" s="107" t="n">
        <x:v>30</x:v>
      </x:c>
      <x:c r="U21" s="101" t="str">
        <x:v>LOOT_ROLL:QUEST_STANDARD (team inventory; rarity band by duration)</x:v>
      </x:c>
      <x:c r="V21" s="101" t="str">
        <x:v>QUEST_REWARD_PROFILE</x:v>
      </x:c>
      <x:c r="W21" s="101"/>
      <x:c r="X21" s="101" t="str">
        <x:v>FIELD_CHECK_REQUIRED</x:v>
      </x:c>
      <x:c r="Y21" s="101" t="str">
        <x:v>GeoJSON v0.8 spiegelt Quest-, Orts-, Encounter-, Timer- und Navigationsreferenzen; publishable bleibt bis APPROVED false.</x:v>
      </x:c>
      <x:c r="Z21" s="101" t="str">
        <x:v>Reward- und Itemwerte verbindlich in GDD v0.16 §28.8; Feld-/Redaktionsstatus separat prüfen.</x:v>
      </x:c>
      <x:c r="AA21" s="168" t="str">
        <x:v>Historisches Chiaroscuro, mobile-RPG-Questillustration für D2-Q01 „Stern des Kapitols“ (REGULAER). Szene: Der Platzgeist verlangt, dass Sternmuster und Caesarfigur nicht nur gesehen, sondern den Funktionen Orientierung, Macht und Erinnerung zugeordnet werden. Schauplatz/Ortsfolge: Kapitolsplatz → Giulio Cesare. Klare Teamlesbarkeit, römische Materialien, gerichtetes warmes Licht, tiefe Schatten, reduzierte aber erkennbare Architektur, freie Zone für UI-Overlay, keine Schrift, kein Logo, keine modernen Gegenstände.</x:v>
      </x:c>
      <x:c r="AB21" s="168" t="str">
        <x:v>FIELD_CHECK_REQUIRED</x:v>
      </x:c>
    </x:row>
    <x:row r="22" ht="66" hidden="0" customHeight="1">
      <x:c r="A22" s="104" t="str">
        <x:v>D2-Q02</x:v>
      </x:c>
      <x:c r="B22" s="104" t="str">
        <x:v>REGULAER</x:v>
      </x:c>
      <x:c r="C22" s="104" t="str">
        <x:v>DAY_2</x:v>
      </x:c>
      <x:c r="D22" s="104" t="str">
        <x:v>Quadrigen der Einheit</x:v>
      </x:c>
      <x:c r="E22" s="104" t="str">
        <x:v>npc_vittoria_alata</x:v>
      </x:c>
      <x:c r="F22" s="104" t="str">
        <x:v>Vittoria Alata</x:v>
      </x:c>
      <x:c r="G22" s="104" t="str">
        <x:v>Vittoria behauptet, niemand schaue mehr über die Selfiesticks hinweg. Das Team zählt die Quadrigen und ordnet das Denkmal seiner Epoche zu.</x:v>
      </x:c>
      <x:c r="H22" s="104" t="str">
        <x:v>Überwältigende Silhouette → Zählung → Epochenwahl</x:v>
      </x:c>
      <x:c r="I22" s="104" t="str">
        <x:v>Nationaldenkmal für Viktor Emanuel II.</x:v>
      </x:c>
      <x:c r="J22" s="104" t="str">
        <x:v>place_day_2_altare_della_patria</x:v>
      </x:c>
      <x:c r="K22" s="104" t="str">
        <x:v>START / ERSTER HINWEIS: Zwei monumentale Quadrigen auf den oberen Enden des Bauwerks.</x:v>
      </x:c>
      <x:c r="L22" s="104" t="str">
        <x:v>https://vive.cultura.gov.it/</x:v>
      </x:c>
      <x:c r="M22" s="106" t="n">
        <x:v>5</x:v>
      </x:c>
      <x:c r="N22" s="106" t="n">
        <x:v>15</x:v>
      </x:c>
      <x:c r="O22" s="106" t="str">
        <x:v>TEAM_SHARED|max_3_regular</x:v>
      </x:c>
      <x:c r="P22" s="106" t="str">
        <x:v>day=DAY_2|firstLocationEnabled|regularSlotAvailable</x:v>
      </x:c>
      <x:c r="Q22" s="106" t="str">
        <x:v>Alle required Questablauf-Schritte COMPLETE; mindestens 2 Teammitglieder bei normalen Ortszielen.</x:v>
      </x:c>
      <x:c r="R22" s="106" t="str">
        <x:v>Fallback: zentrale Reiterfigur statt Dachdetails.</x:v>
      </x:c>
      <x:c r="S22" s="108" t="n">
        <x:v>35</x:v>
      </x:c>
      <x:c r="T22" s="108" t="n">
        <x:v>20</x:v>
      </x:c>
      <x:c r="U22" s="104" t="str">
        <x:v>LOOT_ROLL:QUEST_STANDARD (team inventory; rarity band by duration)</x:v>
      </x:c>
      <x:c r="V22" s="104" t="str">
        <x:v>QUEST_REWARD_PROFILE</x:v>
      </x:c>
      <x:c r="W22" s="104"/>
      <x:c r="X22" s="104" t="str">
        <x:v>EDITORIAL_REVIEW</x:v>
      </x:c>
      <x:c r="Y22" s="104" t="str">
        <x:v>GeoJSON v0.8 spiegelt Quest-, Orts-, Encounter-, Timer- und Navigationsreferenzen; publishable bleibt bis APPROVED false.</x:v>
      </x:c>
      <x:c r="Z22" s="104" t="str">
        <x:v>Reward- und Itemwerte verbindlich in GDD v0.16 §28.8; Feld-/Redaktionsstatus separat prüfen.</x:v>
      </x:c>
      <x:c r="AA22" s="168" t="str">
        <x:v>Historisches Chiaroscuro, mobile-RPG-Questillustration für D2-Q02 „Quadrigen der Einheit“ (REGULAER). Szene: Vittoria behauptet, niemand schaue mehr über die Selfiesticks hinweg. Das Team zählt die Quadrigen und ordnet das Denkmal seiner Epoche zu. Schauplatz/Ortsfolge: Nationaldenkmal für Viktor Emanuel II.. Klare Teamlesbarkeit, römische Materialien, gerichtetes warmes Licht, tiefe Schatten, reduzierte aber erkennbare Architektur, freie Zone für UI-Overlay, keine Schrift, kein Logo, keine modernen Gegenstände.</x:v>
      </x:c>
      <x:c r="AB22" s="168" t="str">
        <x:v>EDITORIAL_REVIEW</x:v>
      </x:c>
    </x:row>
    <x:row r="23" ht="79.19999694824219" hidden="0" customHeight="1">
      <x:c r="A23" s="101" t="str">
        <x:v>D2-Q03</x:v>
      </x:c>
      <x:c r="B23" s="101" t="str">
        <x:v>REGULAER</x:v>
      </x:c>
      <x:c r="C23" s="101" t="str">
        <x:v>DAY_2</x:v>
      </x:c>
      <x:c r="D23" s="101" t="str">
        <x:v>Arena und Triumph</x:v>
      </x:c>
      <x:c r="E23" s="101" t="str">
        <x:v>npc_lanista_felix</x:v>
      </x:c>
      <x:c r="F23" s="101" t="str">
        <x:v>Lanista Felix</x:v>
      </x:c>
      <x:c r="G23" s="101" t="str">
        <x:v>Felix verbindet Triumphbogen, Arena und Trainingsplatz zu einer taktischen Lektion. Die richtige Zuordnung bestimmt den Kampfvorteil gegen den Gladiator des Ludus.</x:v>
      </x:c>
      <x:c r="H23" s="101" t="str">
        <x:v>Spektakel → Analyse → Taktik → Kampf</x:v>
      </x:c>
      <x:c r="I23" s="101" t="str">
        <x:v>Konstantinsbogen → Kolosseum → Ludus Magnus</x:v>
      </x:c>
      <x:c r="J23" s="101" t="str">
        <x:v>place_day_2_arco_di_costantino | place_day_2_colosseo | place_day_2_ludus_magnus</x:v>
      </x:c>
      <x:c r="K23" s="101" t="str">
        <x:v>START / ERSTER HINWEIS: Drei monumentale Durchgänge, vom öffentlichen Bereich beim Kolosseum sichtbar. | ZWISCHENSTATION: Drei große Reihen offener Arkaden an der hohen erhaltenen Außenwand. | ABSCHLUSS: Halb freigelegte ovale Arena unter dem heutigen Straßenniveau.</x:v>
      </x:c>
      <x:c r="L23" s="101" t="str">
        <x:v>https://en.wikipedia.org/wiki/Arch_of_Constantine
https://it.wikipedia.org/wiki/Colosseo
https://de.wikipedia.org/wiki/Ludus_Magnus</x:v>
      </x:c>
      <x:c r="M23" s="105" t="n">
        <x:v>25</x:v>
      </x:c>
      <x:c r="N23" s="105" t="n">
        <x:v>35</x:v>
      </x:c>
      <x:c r="O23" s="105" t="str">
        <x:v>TEAM_SHARED|max_3_regular</x:v>
      </x:c>
      <x:c r="P23" s="105" t="str">
        <x:v>day=DAY_2|firstLocationEnabled|regularSlotAvailable</x:v>
      </x:c>
      <x:c r="Q23" s="105" t="str">
        <x:v>Alle required Questablauf-Schritte COMPLETE; mindestens 2 Teammitglieder bei normalen Ortszielen.</x:v>
      </x:c>
      <x:c r="R23" s="105" t="str">
        <x:v>Bei Überfüllung wird die Quest auf Konstantinsbogen und Ludus Magnus reduziert.</x:v>
      </x:c>
      <x:c r="S23" s="107" t="n">
        <x:v>80</x:v>
      </x:c>
      <x:c r="T23" s="107" t="n">
        <x:v>45</x:v>
      </x:c>
      <x:c r="U23" s="101" t="str">
        <x:v>LOOT_ROLL:QUEST_STANDARD (team inventory; rarity band by duration)</x:v>
      </x:c>
      <x:c r="V23" s="101" t="str">
        <x:v>COMBAT_REWARD_PROFILE</x:v>
      </x:c>
      <x:c r="W23" s="101"/>
      <x:c r="X23" s="101" t="str">
        <x:v>EDITORIAL_REVIEW</x:v>
      </x:c>
      <x:c r="Y23" s="101" t="str">
        <x:v>GeoJSON v0.8 spiegelt Quest-, Orts-, Encounter-, Timer- und Navigationsreferenzen; publishable bleibt bis APPROVED false.</x:v>
      </x:c>
      <x:c r="Z23" s="101" t="str">
        <x:v>Reward- und Itemwerte verbindlich in GDD v0.16 §28.8; Feld-/Redaktionsstatus separat prüfen.</x:v>
      </x:c>
      <x:c r="AA23" s="168" t="str">
        <x:v>Historisches Chiaroscuro, mobile-RPG-Questillustration für D2-Q03 „Arena und Triumph“ (REGULAER). Szene: Felix verbindet Triumphbogen, Arena und Trainingsplatz zu einer taktischen Lektion. Die richtige Zuordnung bestimmt den Kampfvorteil gegen den Gladiator des Ludus. Schauplatz/Ortsfolge: Konstantinsbogen → Kolosseum → Ludus Magnus. Klare Teamlesbarkeit, römische Materialien, gerichtetes warmes Licht, tiefe Schatten, reduzierte aber erkennbare Architektur, freie Zone für UI-Overlay, keine Schrift, kein Logo, keine modernen Gegenstände.</x:v>
      </x:c>
      <x:c r="AB23" s="168" t="str">
        <x:v>EDITORIAL_REVIEW</x:v>
      </x:c>
    </x:row>
    <x:row r="24" ht="92.4000015258789" hidden="0" customHeight="1">
      <x:c r="A24" s="104" t="str">
        <x:v>D2-Q04</x:v>
      </x:c>
      <x:c r="B24" s="104" t="str">
        <x:v>REGULAER</x:v>
      </x:c>
      <x:c r="C24" s="104" t="str">
        <x:v>DAY_2</x:v>
      </x:c>
      <x:c r="D24" s="104" t="str">
        <x:v>Handel, Götter und Wahrheit</x:v>
      </x:c>
      <x:c r="E24" s="104" t="str">
        <x:v>npc_mercator_gaius</x:v>
      </x:c>
      <x:c r="F24" s="104" t="str">
        <x:v>Gaius Quattuorportus</x:v>
      </x:c>
      <x:c r="G24" s="104" t="str">
        <x:v>Gaius verkauft drei Erklärungen und nur eine ist sauber gekennzeichnet. Das Team vergleicht Steingesicht, Rundtempel, Architrav und vierseitigen Bogen, gibt VERITAS ein und trennt Fakt, spätere Deutung und Legende.</x:v>
      </x:c>
      <x:c r="H24" s="104" t="str">
        <x:v>Verlockende Legende → vier Formen → Quellenprüfung → Urteil</x:v>
      </x:c>
      <x:c r="I24" s="104" t="str">
        <x:v>Mund der Wahrheit → Tempel des Hercules Victor → Arco degli Argentari → Janusbogen</x:v>
      </x:c>
      <x:c r="J24" s="104" t="str">
        <x:v>place_day_2_bocca_della_verita | place_day_2_tempio_di_ercole_vincitore | place_day_2_arco_degli_argentari | place_day_2_arco_di_giano</x:v>
      </x:c>
      <x:c r="K24" s="104" t="str">
        <x:v>START / ERSTER HINWEIS: Großes rundes Steingesicht im äußeren Portikus von Santa Maria in Cosmedin. | ZWISCHENSTATION: Klar erkennbare runde Cella mit umlaufendem Säulenkranz. | ZWISCHENSTATION: Gerader oberer Abschluss über engem Durchgang; reiche Reliefs an den Pfeilern. | ABSCHLUSS: Vier weithin sichtbare Bogenöffnungen auf vier Seiten.</x:v>
      </x:c>
      <x:c r="L24" s="104" t="str">
        <x:v>https://it.wikipedia.org/wiki/Bocca_della_Verit%C3%A0
https://it.wikipedia.org/wiki/Tempio_di_Ercole_Vincitore
https://en.wikipedia.org/wiki/Arcus_Argentariorum
https://it.wikipedia.org/wiki/Arco_di_Giano</x:v>
      </x:c>
      <x:c r="M24" s="106" t="n">
        <x:v>35</x:v>
      </x:c>
      <x:c r="N24" s="106" t="n">
        <x:v>45</x:v>
      </x:c>
      <x:c r="O24" s="106" t="str">
        <x:v>TEAM_SHARED|max_3_regular</x:v>
      </x:c>
      <x:c r="P24" s="106" t="str">
        <x:v>day=DAY_2|firstLocationEnabled|regularSlotAvailable</x:v>
      </x:c>
      <x:c r="Q24" s="106" t="str">
        <x:v>Alle required Questablauf-Schritte COMPLETE; mindestens 2 Teammitglieder bei normalen Ortszielen.</x:v>
      </x:c>
      <x:c r="R24" s="106" t="str">
        <x:v>Bei Warteschlange wird die Bocca nur aus Distanz genutzt oder durch die Tempelform ersetzt.</x:v>
      </x:c>
      <x:c r="S24" s="108" t="n">
        <x:v>110</x:v>
      </x:c>
      <x:c r="T24" s="108" t="n">
        <x:v>60</x:v>
      </x:c>
      <x:c r="U24" s="104" t="str">
        <x:v>LOOT_ROLL:QUEST_STANDARD (team inventory; rarity band by duration)</x:v>
      </x:c>
      <x:c r="V24" s="104" t="str">
        <x:v>QUEST_REWARD_PROFILE</x:v>
      </x:c>
      <x:c r="W24" s="104"/>
      <x:c r="X24" s="104" t="str">
        <x:v>FIELD_CHECK_REQUIRED</x:v>
      </x:c>
      <x:c r="Y24" s="104" t="str">
        <x:v>GeoJSON v0.8 spiegelt Quest-, Orts-, Encounter-, Timer- und Navigationsreferenzen; publishable bleibt bis APPROVED false.</x:v>
      </x:c>
      <x:c r="Z24" s="104" t="str">
        <x:v>Reward- und Itemwerte verbindlich in GDD v0.16 §28.8; Feld-/Redaktionsstatus separat prüfen.</x:v>
      </x:c>
      <x:c r="AA24" s="168" t="str">
        <x:v>Historisches Chiaroscuro, mobile-RPG-Questillustration für D2-Q04 „Handel, Götter und Wahrheit“ (REGULAER). Szene: Gaius verkauft drei Erklärungen und nur eine ist sauber gekennzeichnet. Das Team vergleicht Steingesicht, Rundtempel, Architrav und vierseitigen Bogen, gibt VERITAS ein und trennt Fakt, spätere Deutung und Legende. Schauplatz/Ortsfolge: Mund der Wahrheit → Tempel des Hercules Victor → Arco degli Argentari → Janusbogen. Klare Teamlesbarkeit, römische Materialien, gerichtetes warmes Licht, tiefe Schatten, reduzierte aber erkennbare Architektur, freie Zone für UI-Overlay, keine Schrift, kein Logo, keine modernen Gegenstände.</x:v>
      </x:c>
      <x:c r="AB24" s="168" t="str">
        <x:v>FIELD_CHECK_REQUIRED</x:v>
      </x:c>
    </x:row>
    <x:row r="25" ht="79.19999694824219" hidden="0" customHeight="1">
      <x:c r="A25" s="101" t="str">
        <x:v>D2-Q05</x:v>
      </x:c>
      <x:c r="B25" s="101" t="str">
        <x:v>REGULAER</x:v>
      </x:c>
      <x:c r="C25" s="101" t="str">
        <x:v>DAY_2</x:v>
      </x:c>
      <x:c r="D25" s="101" t="str">
        <x:v>Masken über dem Circus</x:v>
      </x:c>
      <x:c r="E25" s="101" t="str">
        <x:v>npc_triton_callidus</x:v>
      </x:c>
      <x:c r="F25" s="101" t="str">
        <x:v>Triton Callidus</x:v>
      </x:c>
      <x:c r="G25" s="101" t="str">
        <x:v>Ein Triton hat den Aventin mit dem Palatin verwechselt und die Maske beleidigt. Das Team ordnet Figuren, Aussicht und Wasserauslass und gewinnt einen Bonus für die Streitwagenquest.</x:v>
      </x:c>
      <x:c r="H25" s="101" t="str">
        <x:v>Komische Verwechslung → Panoramaorientierung → Figurenvergleich → Versöhnung</x:v>
      </x:c>
      <x:c r="I25" s="101" t="str">
        <x:v>Tritonenbrunnen → Belvedere Romolo E Remo → Maskenbrunnen bei Santa Sabina</x:v>
      </x:c>
      <x:c r="J25" s="101" t="str">
        <x:v>place_day_2_fontana_dei_tritoni | place_day_2_belvedere_romolo_e_remo | place_day_2_fontana_del_mascherone_di_santa_sabina</x:v>
      </x:c>
      <x:c r="K25" s="101" t="str">
        <x:v>START / ERSTER HINWEIS: Zwei große Tritonen als Träger einer Muschelschale. | ZWISCHENSTATION: Freier Panoramablick über die langgestreckte Circus-Senke zum Palatin. | ABSCHLUSS: Großes steinernes Maskengesicht mit Wasserauslass im Mund.</x:v>
      </x:c>
      <x:c r="L25" s="101" t="str">
        <x:v>https://it.wikipedia.org/wiki/Fontana_dei_Tritoni
https://www.rerumromanarum.com/2024/04/belvedere-romolo-e-remo.html
https://turismoroma.it/it/luoghi/fontana-piazza-pietro-d%E2%80%99illiria</x:v>
      </x:c>
      <x:c r="M25" s="105" t="n">
        <x:v>15</x:v>
      </x:c>
      <x:c r="N25" s="105" t="n">
        <x:v>25</x:v>
      </x:c>
      <x:c r="O25" s="105" t="str">
        <x:v>TEAM_SHARED|max_3_regular</x:v>
      </x:c>
      <x:c r="P25" s="105" t="str">
        <x:v>day=DAY_2|firstLocationEnabled|regularSlotAvailable</x:v>
      </x:c>
      <x:c r="Q25" s="105" t="str">
        <x:v>Alle required Questablauf-Schritte COMPLETE; mindestens 2 Teammitglieder bei normalen Ortszielen.</x:v>
      </x:c>
      <x:c r="R25" s="105" t="str">
        <x:v>Bei gesperrtem Brunnenbereich bleibt der Belvedere-Panoramafallback.</x:v>
      </x:c>
      <x:c r="S25" s="107" t="n">
        <x:v>55</x:v>
      </x:c>
      <x:c r="T25" s="107" t="n">
        <x:v>30</x:v>
      </x:c>
      <x:c r="U25" s="101" t="str">
        <x:v>LOOT_ROLL:QUEST_STANDARD (team inventory; rarity band by duration)</x:v>
      </x:c>
      <x:c r="V25" s="101" t="str">
        <x:v>QUEST_REWARD_PROFILE</x:v>
      </x:c>
      <x:c r="W25" s="101"/>
      <x:c r="X25" s="101" t="str">
        <x:v>EDITORIAL_REVIEW</x:v>
      </x:c>
      <x:c r="Y25" s="101" t="str">
        <x:v>GeoJSON v0.8 spiegelt Quest-, Orts-, Encounter-, Timer- und Navigationsreferenzen; publishable bleibt bis APPROVED false.</x:v>
      </x:c>
      <x:c r="Z25" s="101" t="str">
        <x:v>Reward- und Itemwerte verbindlich in GDD v0.16 §28.8; Feld-/Redaktionsstatus separat prüfen.</x:v>
      </x:c>
      <x:c r="AA25" s="168" t="str">
        <x:v>Historisches Chiaroscuro, mobile-RPG-Questillustration für D2-Q05 „Masken über dem Circus“ (REGULAER). Szene: Ein Triton hat den Aventin mit dem Palatin verwechselt und die Maske beleidigt. Das Team ordnet Figuren, Aussicht und Wasserauslass und gewinnt einen Bonus für die Streitwagenquest. Schauplatz/Ortsfolge: Tritonenbrunnen → Belvedere Romolo E Remo → Maskenbrunnen bei Santa Sabina. Klare Teamlesbarkeit, römische Materialien, gerichtetes warmes Licht, tiefe Schatten, reduzierte aber erkennbare Architektur, freie Zone für UI-Overlay, keine Schrift, kein Logo, keine modernen Gegenstände.</x:v>
      </x:c>
      <x:c r="AB25" s="168" t="str">
        <x:v>EDITORIAL_REVIEW</x:v>
      </x:c>
    </x:row>
    <x:row r="26" ht="66" hidden="0" customHeight="1">
      <x:c r="A26" s="104" t="str">
        <x:v>D2-Q06</x:v>
      </x:c>
      <x:c r="B26" s="104" t="str">
        <x:v>REGULAER</x:v>
      </x:c>
      <x:c r="C26" s="104" t="str">
        <x:v>DAY_2</x:v>
      </x:c>
      <x:c r="D26" s="104" t="str">
        <x:v>Das steinerne Schiff</x:v>
      </x:c>
      <x:c r="E26" s="104" t="str">
        <x:v>npc_nauta_celimontanus</x:v>
      </x:c>
      <x:c r="F26" s="104" t="str">
        <x:v>Nauta Celimontanus</x:v>
      </x:c>
      <x:c r="G26" s="104" t="str">
        <x:v>Ein Kapitän sitzt mit einem Schiff aus Stein fest. Das Team erkennt Objektform und Ausrichtung und wählt den symbolischen Kurs.</x:v>
      </x:c>
      <x:c r="H26" s="104" t="str">
        <x:v>Festsitzen → Formerkennung → Kurswahl</x:v>
      </x:c>
      <x:c r="I26" s="104" t="str">
        <x:v>Fontana della Navicella</x:v>
      </x:c>
      <x:c r="J26" s="104" t="str">
        <x:v>place_day_2_fontana_della_navicella</x:v>
      </x:c>
      <x:c r="K26" s="104" t="str">
        <x:v>START / ERSTER HINWEIS: Großes steinernes Schiff als zentrales Brunnenobjekt.</x:v>
      </x:c>
      <x:c r="L26" s="104" t="str">
        <x:v>https://it.wikipedia.org/wiki/Fontana_della_Navicella</x:v>
      </x:c>
      <x:c r="M26" s="106" t="n">
        <x:v>5</x:v>
      </x:c>
      <x:c r="N26" s="106" t="n">
        <x:v>15</x:v>
      </x:c>
      <x:c r="O26" s="106" t="str">
        <x:v>TEAM_SHARED|max_3_regular</x:v>
      </x:c>
      <x:c r="P26" s="106" t="str">
        <x:v>day=DAY_2|firstLocationEnabled|regularSlotAvailable</x:v>
      </x:c>
      <x:c r="Q26" s="106" t="str">
        <x:v>Alle required Questablauf-Schritte COMPLETE; mindestens 2 Teammitglieder bei normalen Ortszielen.</x:v>
      </x:c>
      <x:c r="R26" s="106" t="str">
        <x:v>Fallback: Ausrichtung des Schiffs statt kleiner Details.</x:v>
      </x:c>
      <x:c r="S26" s="108" t="n">
        <x:v>35</x:v>
      </x:c>
      <x:c r="T26" s="108" t="n">
        <x:v>20</x:v>
      </x:c>
      <x:c r="U26" s="104" t="str">
        <x:v>LOOT_ROLL:QUEST_STANDARD (team inventory; rarity band by duration)</x:v>
      </x:c>
      <x:c r="V26" s="104" t="str">
        <x:v>QUEST_REWARD_PROFILE</x:v>
      </x:c>
      <x:c r="W26" s="104"/>
      <x:c r="X26" s="104" t="str">
        <x:v>EDITORIAL_REVIEW</x:v>
      </x:c>
      <x:c r="Y26" s="104" t="str">
        <x:v>GeoJSON v0.8 spiegelt Quest-, Orts-, Encounter-, Timer- und Navigationsreferenzen; publishable bleibt bis APPROVED false.</x:v>
      </x:c>
      <x:c r="Z26" s="104" t="str">
        <x:v>Reward- und Itemwerte verbindlich in GDD v0.16 §28.8; Feld-/Redaktionsstatus separat prüfen.</x:v>
      </x:c>
      <x:c r="AA26" s="168" t="str">
        <x:v>Historisches Chiaroscuro, mobile-RPG-Questillustration für D2-Q06 „Das steinerne Schiff“ (REGULAER). Szene: Ein Kapitän sitzt mit einem Schiff aus Stein fest. Das Team erkennt Objektform und Ausrichtung und wählt den symbolischen Kurs. Schauplatz/Ortsfolge: Fontana della Navicella. Klare Teamlesbarkeit, römische Materialien, gerichtetes warmes Licht, tiefe Schatten, reduzierte aber erkennbare Architektur, freie Zone für UI-Overlay, keine Schrift, kein Logo, keine modernen Gegenstände.</x:v>
      </x:c>
      <x:c r="AB26" s="168" t="str">
        <x:v>EDITORIAL_REVIEW</x:v>
      </x:c>
    </x:row>
    <x:row r="27" ht="79.19999694824219" hidden="0" customHeight="1">
      <x:c r="A27" s="101" t="str">
        <x:v>D2-Q07</x:v>
      </x:c>
      <x:c r="B27" s="101" t="str">
        <x:v>REGULAER</x:v>
      </x:c>
      <x:c r="C27" s="101" t="str">
        <x:v>DAY_2</x:v>
      </x:c>
      <x:c r="D27" s="101" t="str">
        <x:v>Sitz der Kirche</x:v>
      </x:c>
      <x:c r="E27" s="101" t="str">
        <x:v>npc_sixtus_vermesser</x:v>
      </x:c>
      <x:c r="F27" s="101" t="str">
        <x:v>Sixtus, Vermesser der Achsen</x:v>
      </x:c>
      <x:c r="G27" s="101" t="str">
        <x:v>Sixtus fordert, dass Basilika, Obelisk und Stadttor den Funktionen geistliche Mitte, imperiale Erinnerung und städtischer Zugang zugeordnet werden. Danach entscheidet das Team, welche Funktion geschützt wird.</x:v>
      </x:c>
      <x:c r="H27" s="101" t="str">
        <x:v>Autoritäre Aufgabe → drei Großzeichen → Funktionswahl</x:v>
      </x:c>
      <x:c r="I27" s="101" t="str">
        <x:v>Lateranbasilika → Lateranischer Obelisk → Porta San Giovanni</x:v>
      </x:c>
      <x:c r="J27" s="101" t="str">
        <x:v>place_day_2_basilica_di_san_giovanni_in_laterano | place_day_2_obelisco_lateranense | place_day_2_porta_san_giovanni</x:v>
      </x:c>
      <x:c r="K27" s="101" t="str">
        <x:v>START / ERSTER HINWEIS: Sehr große Statuengruppe auf der Dachlinie mit Christus in der Mitte. | ZWISCHENSTATION: Sehr hoher Schaft mit deutlich sichtbaren Hieroglyphen. | ABSCHLUSS: Drei große Öffnungen nebeneinander.</x:v>
      </x:c>
      <x:c r="L27" s="101" t="str">
        <x:v>https://it.wikipedia.org/wiki/Basilica_di_San_Giovanni_in_Laterano
https://it.wikipedia.org/wiki/Obelisco_Lateranense
https://en.wikipedia.org/wiki/Porta_San_Giovanni_(Rome)</x:v>
      </x:c>
      <x:c r="M27" s="105" t="n">
        <x:v>15</x:v>
      </x:c>
      <x:c r="N27" s="105" t="n">
        <x:v>25</x:v>
      </x:c>
      <x:c r="O27" s="105" t="str">
        <x:v>TEAM_SHARED|max_3_regular</x:v>
      </x:c>
      <x:c r="P27" s="105" t="str">
        <x:v>day=DAY_2|firstLocationEnabled|regularSlotAvailable</x:v>
      </x:c>
      <x:c r="Q27" s="105" t="str">
        <x:v>Alle required Questablauf-Schritte COMPLETE; mindestens 2 Teammitglieder bei normalen Ortszielen.</x:v>
      </x:c>
      <x:c r="R27" s="105" t="str">
        <x:v>Bei Verkehrssperre bleibt die Quest auf Basilika-Außenfassade und Obelisk.</x:v>
      </x:c>
      <x:c r="S27" s="107" t="n">
        <x:v>55</x:v>
      </x:c>
      <x:c r="T27" s="107" t="n">
        <x:v>30</x:v>
      </x:c>
      <x:c r="U27" s="101" t="str">
        <x:v>LOOT_ROLL:QUEST_STANDARD (team inventory; rarity band by duration)</x:v>
      </x:c>
      <x:c r="V27" s="101" t="str">
        <x:v>QUEST_REWARD_PROFILE</x:v>
      </x:c>
      <x:c r="W27" s="101"/>
      <x:c r="X27" s="101" t="str">
        <x:v>EDITORIAL_REVIEW</x:v>
      </x:c>
      <x:c r="Y27" s="101" t="str">
        <x:v>GeoJSON v0.8 spiegelt Quest-, Orts-, Encounter-, Timer- und Navigationsreferenzen; publishable bleibt bis APPROVED false.</x:v>
      </x:c>
      <x:c r="Z27" s="101" t="str">
        <x:v>Reward- und Itemwerte verbindlich in GDD v0.16 §28.8; Feld-/Redaktionsstatus separat prüfen.</x:v>
      </x:c>
      <x:c r="AA27" s="168" t="str">
        <x:v>Historisches Chiaroscuro, mobile-RPG-Questillustration für D2-Q07 „Sitz der Kirche“ (REGULAER). Szene: Sixtus fordert, dass Basilika, Obelisk und Stadttor den Funktionen geistliche Mitte, imperiale Erinnerung und städtischer Zugang zugeordnet werden. Danach entscheidet das Team, welche Funktion geschützt wird. Schauplatz/Ortsfolge: Lateranbasilika → Lateranischer Obelisk → Porta San Giovanni. Klare Teamlesbarkeit, römische Materialien, gerichtetes warmes Licht, tiefe Schatten, reduzierte aber erkennbare Architektur, freie Zone für UI-Overlay, keine Schrift, kein Logo, keine modernen Gegenstände.</x:v>
      </x:c>
      <x:c r="AB27" s="168" t="str">
        <x:v>EDITORIAL_REVIEW</x:v>
      </x:c>
    </x:row>
    <x:row r="28" ht="79.19999694824219" hidden="0" customHeight="1">
      <x:c r="A28" s="104" t="str">
        <x:v>D2-Q08</x:v>
      </x:c>
      <x:c r="B28" s="104" t="str">
        <x:v>REGULAER</x:v>
      </x:c>
      <x:c r="C28" s="104" t="str">
        <x:v>DAY_2</x:v>
      </x:c>
      <x:c r="D28" s="104" t="str">
        <x:v>Tore der Aurelianischen Mauer</x:v>
      </x:c>
      <x:c r="E28" s="104" t="str">
        <x:v>npc_aurelian_murus</x:v>
      </x:c>
      <x:c r="F28" s="104" t="str">
        <x:v>Aurelianus Murus</x:v>
      </x:c>
      <x:c r="G28" s="104" t="str">
        <x:v>Zwischen Porta Latina und Porta Metronia bewegt sich ein Mauerskorpion. Das Team liest Türme und vermauerten Bogen; ein verdecktes Navigationssegment zwingt zur Rollenkommunikation.</x:v>
      </x:c>
      <x:c r="H28" s="104" t="str">
        <x:v>Grenzalarm → Toranalyse → verdeckte Navigation → Gegenmaßnahme</x:v>
      </x:c>
      <x:c r="I28" s="104" t="str">
        <x:v>Porta Latina → Porta Metronia</x:v>
      </x:c>
      <x:c r="J28" s="104" t="str">
        <x:v>place_day_2_porta_latina | place_day_2_porta_metronia</x:v>
      </x:c>
      <x:c r="K28" s="104" t="str">
        <x:v>START / ERSTER HINWEIS: Ein Torbogen zwischen zwei deutlich runden Türmen. | ABSCHLUSS: Vermauerter antiker Bogen im massiven Ziegelmauerwerk.</x:v>
      </x:c>
      <x:c r="L28" s="104" t="str">
        <x:v>https://en.wikipedia.org/wiki/Porta_Latina
https://en.wikipedia.org/wiki/Porta_Metronia</x:v>
      </x:c>
      <x:c r="M28" s="106" t="n">
        <x:v>25</x:v>
      </x:c>
      <x:c r="N28" s="106" t="n">
        <x:v>35</x:v>
      </x:c>
      <x:c r="O28" s="106" t="str">
        <x:v>TEAM_SHARED|max_3_regular</x:v>
      </x:c>
      <x:c r="P28" s="106" t="str">
        <x:v>day=DAY_2|firstLocationEnabled|regularSlotAvailable</x:v>
      </x:c>
      <x:c r="Q28" s="106" t="str">
        <x:v>Alle required Questablauf-Schritte COMPLETE; mindestens 2 Teammitglieder bei normalen Ortszielen.</x:v>
      </x:c>
      <x:c r="R28" s="106" t="str">
        <x:v>Wenn Porta Metronia nicht sicher anspielbar ist, wird nur Porta Latina als Kurzquest aktiviert.</x:v>
      </x:c>
      <x:c r="S28" s="108" t="n">
        <x:v>80</x:v>
      </x:c>
      <x:c r="T28" s="108" t="n">
        <x:v>45</x:v>
      </x:c>
      <x:c r="U28" s="104" t="str">
        <x:v>LOOT_ROLL:QUEST_STANDARD (team inventory; rarity band by duration)</x:v>
      </x:c>
      <x:c r="V28" s="104" t="str">
        <x:v>QUEST_REWARD_PROFILE</x:v>
      </x:c>
      <x:c r="W28" s="104"/>
      <x:c r="X28" s="104" t="str">
        <x:v>FIELD_CHECK_REQUIRED</x:v>
      </x:c>
      <x:c r="Y28" s="104" t="str">
        <x:v>GeoJSON v0.8 spiegelt Quest-, Orts-, Encounter-, Timer- und Navigationsreferenzen; publishable bleibt bis APPROVED false.</x:v>
      </x:c>
      <x:c r="Z28" s="104" t="str">
        <x:v>Reward- und Itemwerte verbindlich in GDD v0.16 §28.8; Feld-/Redaktionsstatus separat prüfen.</x:v>
      </x:c>
      <x:c r="AA28" s="168" t="str">
        <x:v>Historisches Chiaroscuro, mobile-RPG-Questillustration für D2-Q08 „Tore der Aurelianischen Mauer“ (REGULAER). Szene: Zwischen Porta Latina und Porta Metronia bewegt sich ein Mauerskorpion. Das Team liest Türme und vermauerten Bogen; ein verdecktes Navigationssegment zwingt zur Rollenkommunikation. Schauplatz/Ortsfolge: Porta Latina → Porta Metronia. Klare Teamlesbarkeit, römische Materialien, gerichtetes warmes Licht, tiefe Schatten, reduzierte aber erkennbare Architektur, freie Zone für UI-Overlay, keine Schrift, kein Logo, keine modernen Gegenstände.</x:v>
      </x:c>
      <x:c r="AB28" s="168" t="str">
        <x:v>FIELD_CHECK_REQUIRED</x:v>
      </x:c>
    </x:row>
    <x:row r="29" ht="79.19999694824219" hidden="0" customHeight="1">
      <x:c r="A29" s="101" t="str">
        <x:v>D2-Q09</x:v>
      </x:c>
      <x:c r="B29" s="101" t="str">
        <x:v>REGULAER</x:v>
      </x:c>
      <x:c r="C29" s="101" t="str">
        <x:v>DAY_2</x:v>
      </x:c>
      <x:c r="D29" s="101" t="str">
        <x:v>Schichten des Esquilino</x:v>
      </x:c>
      <x:c r="E29" s="101" t="str">
        <x:v>npc_livia_strata</x:v>
      </x:c>
      <x:c r="F29" s="101" t="str">
        <x:v>Livia Strata</x:v>
      </x:c>
      <x:c r="G29" s="101" t="str">
        <x:v>Drei Zeitschichten geraten durcheinander: Basilikafassade, Obelisk und Ziegelruinen. Das Team klassifiziert Material und Form; der Code LATERES gewährt Widerstand gegen den späteren Schneeboss.</x:v>
      </x:c>
      <x:c r="H29" s="101" t="str">
        <x:v>Schichtenchaos → Materialbeobachtung → Code → Bossvorbereitung</x:v>
      </x:c>
      <x:c r="I29" s="101" t="str">
        <x:v>Basilika Groß Sankt Marien → Obelisco Esquilino → Thermae Traianae</x:v>
      </x:c>
      <x:c r="J29" s="101" t="str">
        <x:v>place_day_2_basilica_di_santa_maria_maggiore | place_day_2_obelisco_esquilino | place_day_2_thermae_traianae</x:v>
      </x:c>
      <x:c r="K29" s="101" t="str">
        <x:v>START / ERSTER HINWEIS: Monumentale Fassade mit zentraler oberer Loggia und Marienbezug; großer öffentlicher Platz davor. | ZWISCHENSTATION: Schlichter Obelisk ohne Hieroglyphen, oben mit Kreuz. | ABSCHLUSS: Sehr hohe antike Ziegelmauerreste im öffentlichen Park.</x:v>
      </x:c>
      <x:c r="L29" s="101" t="str">
        <x:v>https://www.turismoroma.it/en/places/piazza-di-santa-maria-maggiore
https://it.wikipedia.org/wiki/Obelisco_Esquilino
https://it.wikipedia.org/wiki/Terme_di_Traiano</x:v>
      </x:c>
      <x:c r="M29" s="105" t="n">
        <x:v>25</x:v>
      </x:c>
      <x:c r="N29" s="105" t="n">
        <x:v>35</x:v>
      </x:c>
      <x:c r="O29" s="105" t="str">
        <x:v>TEAM_SHARED|max_3_regular</x:v>
      </x:c>
      <x:c r="P29" s="105" t="str">
        <x:v>day=DAY_2|firstLocationEnabled|regularSlotAvailable</x:v>
      </x:c>
      <x:c r="Q29" s="105" t="str">
        <x:v>Alle required Questablauf-Schritte COMPLETE; mindestens 2 Teammitglieder bei normalen Ortszielen.</x:v>
      </x:c>
      <x:c r="R29" s="105" t="str">
        <x:v>Bei Parkschließung endet die Quest am Esquilino-Obelisken.</x:v>
      </x:c>
      <x:c r="S29" s="107" t="n">
        <x:v>80</x:v>
      </x:c>
      <x:c r="T29" s="107" t="n">
        <x:v>45</x:v>
      </x:c>
      <x:c r="U29" s="101" t="str">
        <x:v>LOOT_ROLL:QUEST_STANDARD (team inventory; rarity band by duration)</x:v>
      </x:c>
      <x:c r="V29" s="101" t="str">
        <x:v>QUEST_REWARD_PROFILE</x:v>
      </x:c>
      <x:c r="W29" s="101"/>
      <x:c r="X29" s="101" t="str">
        <x:v>FIELD_CHECK_REQUIRED</x:v>
      </x:c>
      <x:c r="Y29" s="101" t="str">
        <x:v>GeoJSON v0.8 spiegelt Quest-, Orts-, Encounter-, Timer- und Navigationsreferenzen; publishable bleibt bis APPROVED false.</x:v>
      </x:c>
      <x:c r="Z29" s="101" t="str">
        <x:v>Reward- und Itemwerte verbindlich in GDD v0.16 §28.8; Feld-/Redaktionsstatus separat prüfen.</x:v>
      </x:c>
      <x:c r="AA29" s="168" t="str">
        <x:v>Historisches Chiaroscuro, mobile-RPG-Questillustration für D2-Q09 „Schichten des Esquilino“ (REGULAER). Szene: Drei Zeitschichten geraten durcheinander: Basilikafassade, Obelisk und Ziegelruinen. Das Team klassifiziert Material und Form; der Code LATERES gewährt Widerstand gegen den späteren Schneeboss. Schauplatz/Ortsfolge: Basilika Groß Sankt Marien → Obelisco Esquilino → Thermae Traianae. Klare Teamlesbarkeit, römische Materialien, gerichtetes warmes Licht, tiefe Schatten, reduzierte aber erkennbare Architektur, freie Zone für UI-Overlay, keine Schrift, kein Logo, keine modernen Gegenstände.</x:v>
      </x:c>
      <x:c r="AB29" s="168" t="str">
        <x:v>FIELD_CHECK_REQUIRED</x:v>
      </x:c>
    </x:row>
    <x:row r="30" ht="79.19999694824219" hidden="0" customHeight="1">
      <x:c r="A30" s="104" t="str">
        <x:v>D2-Q10</x:v>
      </x:c>
      <x:c r="B30" s="104" t="str">
        <x:v>REGULAER</x:v>
      </x:c>
      <x:c r="C30" s="104" t="str">
        <x:v>DAY_2</x:v>
      </x:c>
      <x:c r="D30" s="104" t="str">
        <x:v>Wasser über dem Tor</x:v>
      </x:c>
      <x:c r="E30" s="104" t="str">
        <x:v>npc_frontinus_aquarius</x:v>
      </x:c>
      <x:c r="F30" s="104" t="str">
        <x:v>Frontinus, Curator Aquarum</x:v>
      </x:c>
      <x:c r="G30" s="104" t="str">
        <x:v>Eine Hydra sitzt im Doppelbogen und verwechselt Wasserleitungen mit Köpfen. Das Team erkennt Tor und Aquäduktfunktion, setzt eine Bleiplombe ein und entfernt einen Hydrakopf vor dem Kampf.</x:v>
      </x:c>
      <x:c r="H30" s="104" t="str">
        <x:v>Infrastrukturstörung → Doppelbogenanalyse → Plombe → Kampf</x:v>
      </x:c>
      <x:c r="I30" s="104" t="str">
        <x:v>Porta Maggiore und Aqua Claudia</x:v>
      </x:c>
      <x:c r="J30" s="104" t="str">
        <x:v>place_day_2_porta_maggiore_aqua_claudia</x:v>
      </x:c>
      <x:c r="K30" s="104" t="str">
        <x:v>START / ERSTER HINWEIS: Zwei große Durchgänge, darüber mehrere gemauerte Aquäduktkanäle und monumentale Inschriften.</x:v>
      </x:c>
      <x:c r="L30" s="104" t="str">
        <x:v>https://www.sovraintendenzaroma.it/i_luoghi/roma_antica/monumenti/porta_maggiore</x:v>
      </x:c>
      <x:c r="M30" s="106" t="n">
        <x:v>5</x:v>
      </x:c>
      <x:c r="N30" s="106" t="n">
        <x:v>15</x:v>
      </x:c>
      <x:c r="O30" s="106" t="str">
        <x:v>TEAM_SHARED|max_3_regular</x:v>
      </x:c>
      <x:c r="P30" s="106" t="str">
        <x:v>day=DAY_2|firstLocationEnabled|regularSlotAvailable</x:v>
      </x:c>
      <x:c r="Q30" s="106" t="str">
        <x:v>Alle required Questablauf-Schritte COMPLETE; mindestens 2 Teammitglieder bei normalen Ortszielen.</x:v>
      </x:c>
      <x:c r="R30" s="106" t="str">
        <x:v>Bei ungeeignetem Gehwegpunkt wird die Quest vollständig deaktiviert.</x:v>
      </x:c>
      <x:c r="S30" s="108" t="n">
        <x:v>35</x:v>
      </x:c>
      <x:c r="T30" s="108" t="n">
        <x:v>20</x:v>
      </x:c>
      <x:c r="U30" s="104" t="str">
        <x:v>QUEST_ITEM:qi_plumbum_aquarii / Bleiplombe des Wasseramts (R; questLocked; kein Kampfbonus)</x:v>
      </x:c>
      <x:c r="V30" s="104" t="str">
        <x:v>COMBAT_REWARD_PROFILE</x:v>
      </x:c>
      <x:c r="W30" s="104"/>
      <x:c r="X30" s="104" t="str">
        <x:v>EDITORIAL_REVIEW</x:v>
      </x:c>
      <x:c r="Y30" s="104" t="str">
        <x:v>GeoJSON v0.8 spiegelt Quest-, Orts-, Encounter-, Timer- und Navigationsreferenzen; publishable bleibt bis APPROVED false.</x:v>
      </x:c>
      <x:c r="Z30" s="104" t="str">
        <x:v>Reward- und Itemwerte verbindlich in GDD v0.16 §28.8; Feld-/Redaktionsstatus separat prüfen.</x:v>
      </x:c>
      <x:c r="AA30" s="168" t="str">
        <x:v>Historisches Chiaroscuro, mobile-RPG-Questillustration für D2-Q10 „Wasser über dem Tor“ (REGULAER). Szene: Eine Hydra sitzt im Doppelbogen und verwechselt Wasserleitungen mit Köpfen. Das Team erkennt Tor und Aquäduktfunktion, setzt eine Bleiplombe ein und entfernt einen Hydrakopf vor dem Kampf. Schauplatz/Ortsfolge: Porta Maggiore und Aqua Claudia. Klare Teamlesbarkeit, römische Materialien, gerichtetes warmes Licht, tiefe Schatten, reduzierte aber erkennbare Architektur, freie Zone für UI-Overlay, keine Schrift, kein Logo, keine modernen Gegenstände.</x:v>
      </x:c>
      <x:c r="AB30" s="168" t="str">
        <x:v>EDITORIAL_REVIEW</x:v>
      </x:c>
    </x:row>
    <x:row r="31" ht="66" hidden="0" customHeight="1">
      <x:c r="A31" s="101" t="str">
        <x:v>M-D1-01</x:v>
      </x:c>
      <x:c r="B31" s="101" t="str">
        <x:v>MEDIA_LOCAL</x:v>
      </x:c>
      <x:c r="C31" s="101" t="str">
        <x:v>DAY_1</x:v>
      </x:c>
      <x:c r="D31" s="101" t="str">
        <x:v>Foto mit Schweizer Gardist</x:v>
      </x:c>
      <x:c r="E31" s="101" t="str">
        <x:v>npc_livia_lens</x:v>
      </x:c>
      <x:c r="F31" s="101" t="str">
        <x:v>Livia Lens</x:v>
      </x:c>
      <x:c r="G31" s="101" t="str">
        <x:v>Livia benötigt ein respektvolles Teamfoto mit sichtbarem Bezug zur Schweizergarde; kein Gardist muss angesprochen oder zur Pose bewegt werden.</x:v>
      </x:c>
      <x:c r="H31" s="101" t="str">
        <x:v>Sonderablauf gemäß Questablauf</x:v>
      </x:c>
      <x:c r="I31" s="101" t="str">
        <x:v>Petersplatz</x:v>
      </x:c>
      <x:c r="J31" s="101" t="str">
        <x:v>place_day_1_piazza_san_pietro</x:v>
      </x:c>
      <x:c r="K31" s="101" t="str">
        <x:v>START / ERSTER HINWEIS: Runde Marmor-Brennpunktmarkierung im Pflaster zwischen Obelisk und Kolonnade; danach Blick auf die großen Säulen.</x:v>
      </x:c>
      <x:c r="L31" s="101" t="str">
        <x:v>https://www.turismoroma.it/it/luoghi/piazza-san-pietro</x:v>
      </x:c>
      <x:c r="M31" s="105" t="n">
        <x:v>5</x:v>
      </x:c>
      <x:c r="N31" s="105" t="n">
        <x:v>15</x:v>
      </x:c>
      <x:c r="O31" s="105" t="str">
        <x:v>SEPARATE_MEDIA_SLOT</x:v>
      </x:c>
      <x:c r="P31" s="105" t="str">
        <x:v>specialSlotAvailable</x:v>
      </x:c>
      <x:c r="Q31" s="105" t="str">
        <x:v>Medienbedingungen erfüllt und Upload/GM-Prüfung abgeschlossen</x:v>
      </x:c>
      <x:c r="R31" s="105" t="str">
        <x:v>Gardist ist nicht garantiert verfügbar; respektvolle Distanz und Menschenmenge. | Fallbackbriefing mit sichtbarer Garde im Hintergrund vorbereiten.</x:v>
      </x:c>
      <x:c r="S31" s="107" t="n">
        <x:v>50</x:v>
      </x:c>
      <x:c r="T31" s="107" t="n">
        <x:v>25</x:v>
      </x:c>
      <x:c r="U31" s="101" t="str">
        <x:v>LOOT_ROLL:QUEST_STANDARD (team inventory; rarity band by duration)</x:v>
      </x:c>
      <x:c r="V31" s="101" t="str">
        <x:v>NO_COMBAT</x:v>
      </x:c>
      <x:c r="W31" s="101"/>
      <x:c r="X31" s="101" t="str">
        <x:v>FIELD_CHECK_REQUIRED</x:v>
      </x:c>
      <x:c r="Y31" s="101" t="str">
        <x:v>GeoJSON v0.8 spiegelt Quest-, Orts-, Encounter-, Timer- und Navigationsreferenzen; sichere Event-/Upload-Geofences bleiben zu prüfen.</x:v>
      </x:c>
      <x:c r="Z31" s="101" t="str">
        <x:v>Reward- und Itemwerte verbindlich in GDD v0.16 §28.8; Feld-/Redaktionsstatus separat prüfen.</x:v>
      </x:c>
      <x:c r="AA31" s="168" t="str">
        <x:v>Historisches Chiaroscuro, mobile-RPG-Questillustration für M-D1-01 „Foto mit Schweizer Gardist“ (MEDIA_LOCAL). Szene: Livia benötigt ein respektvolles Teamfoto mit sichtbarem Bezug zur Schweizergarde; kein Gardist muss angesprochen oder zur Pose bewegt werden. Schauplatz/Ortsfolge: Petersplatz. Klare Teamlesbarkeit, römische Materialien, gerichtetes warmes Licht, tiefe Schatten, reduzierte aber erkennbare Architektur, freie Zone für UI-Overlay, keine Schrift, kein Logo, keine modernen Gegenstände.</x:v>
      </x:c>
      <x:c r="AB31" s="168" t="str">
        <x:v>FIELD_CHECK_REQUIRED</x:v>
      </x:c>
    </x:row>
    <x:row r="32" ht="66" hidden="0" customHeight="1">
      <x:c r="A32" s="104" t="str">
        <x:v>M-D1-02</x:v>
      </x:c>
      <x:c r="B32" s="104" t="str">
        <x:v>MEDIA_LOCAL</x:v>
      </x:c>
      <x:c r="C32" s="104" t="str">
        <x:v>DAY_1</x:v>
      </x:c>
      <x:c r="D32" s="104" t="str">
        <x:v>Wie ein Engel</x:v>
      </x:c>
      <x:c r="E32" s="104" t="str">
        <x:v>npc_livia_lens</x:v>
      </x:c>
      <x:c r="F32" s="104" t="str">
        <x:v>Livia Lens</x:v>
      </x:c>
      <x:c r="G32" s="104" t="str">
        <x:v>Das Team interpretiert eine Engelsfigur auf der Engelsbrücke frei, ohne den schmalen Weg zu blockieren.</x:v>
      </x:c>
      <x:c r="H32" s="104" t="str">
        <x:v>Sonderablauf gemäß Questablauf</x:v>
      </x:c>
      <x:c r="I32" s="104" t="str">
        <x:v>Engelsbrücke</x:v>
      </x:c>
      <x:c r="J32" s="104" t="str">
        <x:v>place_day_1_ponte_sant_angelo</x:v>
      </x:c>
      <x:c r="K32" s="104" t="str">
        <x:v>START / ERSTER HINWEIS: Zehn große Engelsfiguren auf beiden Balustraden; Petrus und Paulus stehen getrennt an den Brückenköpfen.</x:v>
      </x:c>
      <x:c r="L32" s="104" t="str">
        <x:v>https://www.turismoroma.it/en/places/terrace-castel-santangelo</x:v>
      </x:c>
      <x:c r="M32" s="106" t="n">
        <x:v>5</x:v>
      </x:c>
      <x:c r="N32" s="106" t="n">
        <x:v>15</x:v>
      </x:c>
      <x:c r="O32" s="106" t="str">
        <x:v>SEPARATE_MEDIA_SLOT</x:v>
      </x:c>
      <x:c r="P32" s="106" t="str">
        <x:v>specialSlotAvailable</x:v>
      </x:c>
      <x:c r="Q32" s="106" t="str">
        <x:v>Medienbedingungen erfüllt und Upload/GM-Prüfung abgeschlossen</x:v>
      </x:c>
      <x:c r="R32" s="106" t="str">
        <x:v>Hohe Besucherzahl und schmale Bewegungsflächen. | Offenes Briefing beibehalten; keine exakte Pose verlangen.</x:v>
      </x:c>
      <x:c r="S32" s="108" t="n">
        <x:v>50</x:v>
      </x:c>
      <x:c r="T32" s="108" t="n">
        <x:v>25</x:v>
      </x:c>
      <x:c r="U32" s="104" t="str">
        <x:v>LOOT_ROLL:QUEST_STANDARD (team inventory; rarity band by duration)</x:v>
      </x:c>
      <x:c r="V32" s="104" t="str">
        <x:v>NO_COMBAT</x:v>
      </x:c>
      <x:c r="W32" s="104"/>
      <x:c r="X32" s="104" t="str">
        <x:v>EDITORIAL_REVIEW</x:v>
      </x:c>
      <x:c r="Y32" s="104" t="str">
        <x:v>GeoJSON v0.8 spiegelt Quest-, Orts-, Encounter-, Timer- und Navigationsreferenzen; sichere Event-/Upload-Geofences bleiben zu prüfen.</x:v>
      </x:c>
      <x:c r="Z32" s="104" t="str">
        <x:v>Reward- und Itemwerte verbindlich in GDD v0.16 §28.8; Feld-/Redaktionsstatus separat prüfen.</x:v>
      </x:c>
      <x:c r="AA32" s="168" t="str">
        <x:v>Historisches Chiaroscuro, mobile-RPG-Questillustration für M-D1-02 „Wie ein Engel“ (MEDIA_LOCAL). Szene: Das Team interpretiert eine Engelsfigur auf der Engelsbrücke frei, ohne den schmalen Weg zu blockieren. Schauplatz/Ortsfolge: Engelsbrücke. Klare Teamlesbarkeit, römische Materialien, gerichtetes warmes Licht, tiefe Schatten, reduzierte aber erkennbare Architektur, freie Zone für UI-Overlay, keine Schrift, kein Logo, keine modernen Gegenstände.</x:v>
      </x:c>
      <x:c r="AB32" s="168" t="str">
        <x:v>EDITORIAL_REVIEW</x:v>
      </x:c>
    </x:row>
    <x:row r="33" ht="79.19999694824219" hidden="0" customHeight="1">
      <x:c r="A33" s="101" t="str">
        <x:v>M-D1-03</x:v>
      </x:c>
      <x:c r="B33" s="101" t="str">
        <x:v>MEDIA_LOCAL</x:v>
      </x:c>
      <x:c r="C33" s="101" t="str">
        <x:v>DAY_1</x:v>
      </x:c>
      <x:c r="D33" s="101" t="str">
        <x:v>Drei Brunnen, drei Figuren</x:v>
      </x:c>
      <x:c r="E33" s="101" t="str">
        <x:v>npc_livia_lens</x:v>
      </x:c>
      <x:c r="F33" s="101" t="str">
        <x:v>Livia Lens</x:v>
      </x:c>
      <x:c r="G33" s="101" t="str">
        <x:v>Drei Brunnen, drei Figurenposen, drei Bilder. Das Team muss nicht gleichzeitig an allen Punkten sein; jedes Bild wird separat am zugehörigen Brunnen bestätigt.</x:v>
      </x:c>
      <x:c r="H33" s="101" t="str">
        <x:v>Sonderablauf gemäß Questablauf</x:v>
      </x:c>
      <x:c r="I33" s="101" t="str">
        <x:v>Piazza Navona → Neptunsbrunnen → Mohrenbrunnen</x:v>
      </x:c>
      <x:c r="J33" s="101" t="str">
        <x:v>place_day_1_piazza_navona | place_day_1_fontana_del_nettuno | place_day_1_fontana_del_moro</x:v>
      </x:c>
      <x:c r="K33" s="101" t="str">
        <x:v>START / ERSTER HINWEIS: Drei weit auseinanderliegende Großbrunnen entlang der Platzachse. | ZWISCHENSTATION: Große zentrale Neptunfigur im Ringkampf mit einem vielarmigen Meerestier. | ABSCHLUSS: Zentrale männliche Figur mit Delfin; vier Tritonen im unteren Becken.</x:v>
      </x:c>
      <x:c r="L33" s="101" t="str">
        <x:v>https://it.wikipedia.org/wiki/Piazza_Navona
https://it.wikipedia.org/wiki/Fontana_del_Nettuno_(Roma)
https://it.wikipedia.org/wiki/Fontana_del_Moro</x:v>
      </x:c>
      <x:c r="M33" s="105" t="n">
        <x:v>15</x:v>
      </x:c>
      <x:c r="N33" s="105" t="n">
        <x:v>25</x:v>
      </x:c>
      <x:c r="O33" s="105" t="str">
        <x:v>SEPARATE_MEDIA_SLOT</x:v>
      </x:c>
      <x:c r="P33" s="105" t="str">
        <x:v>specialSlotAvailable</x:v>
      </x:c>
      <x:c r="Q33" s="105" t="str">
        <x:v>Medienbedingungen erfüllt und Upload/GM-Prüfung abgeschlossen</x:v>
      </x:c>
      <x:c r="R33" s="105" t="str">
        <x:v>Menschenmenge; nur große Figuren als Vorbild verwenden. | Sehr gute Medienquest; klare Dreiteilung beibehalten.</x:v>
      </x:c>
      <x:c r="S33" s="107" t="n">
        <x:v>50</x:v>
      </x:c>
      <x:c r="T33" s="107" t="n">
        <x:v>25</x:v>
      </x:c>
      <x:c r="U33" s="101" t="str">
        <x:v>LOOT_ROLL:QUEST_STANDARD (team inventory; rarity band by duration)</x:v>
      </x:c>
      <x:c r="V33" s="101" t="str">
        <x:v>NO_COMBAT</x:v>
      </x:c>
      <x:c r="W33" s="101"/>
      <x:c r="X33" s="101" t="str">
        <x:v>EDITORIAL_REVIEW</x:v>
      </x:c>
      <x:c r="Y33" s="101" t="str">
        <x:v>GeoJSON v0.8 spiegelt Quest-, Orts-, Encounter-, Timer- und Navigationsreferenzen; sichere Event-/Upload-Geofences bleiben zu prüfen.</x:v>
      </x:c>
      <x:c r="Z33" s="101" t="str">
        <x:v>Reward- und Itemwerte verbindlich in GDD v0.16 §28.8; Feld-/Redaktionsstatus separat prüfen.</x:v>
      </x:c>
      <x:c r="AA33" s="168" t="str">
        <x:v>Historisches Chiaroscuro, mobile-RPG-Questillustration für M-D1-03 „Drei Brunnen, drei Figuren“ (MEDIA_LOCAL). Szene: Drei Brunnen, drei Figurenposen, drei Bilder. Das Team muss nicht gleichzeitig an allen Punkten sein; jedes Bild wird separat am zugehörigen Brunnen bestätigt. Schauplatz/Ortsfolge: Piazza Navona → Neptunsbrunnen → Mohrenbrunnen. Klare Teamlesbarkeit, römische Materialien, gerichtetes warmes Licht, tiefe Schatten, reduzierte aber erkennbare Architektur, freie Zone für UI-Overlay, keine Schrift, kein Logo, keine modernen Gegenstände.</x:v>
      </x:c>
      <x:c r="AB33" s="168" t="str">
        <x:v>EDITORIAL_REVIEW</x:v>
      </x:c>
    </x:row>
    <x:row r="34" ht="79.19999694824219" hidden="0" customHeight="1">
      <x:c r="A34" s="104" t="str">
        <x:v>M-LT-01</x:v>
      </x:c>
      <x:c r="B34" s="104" t="str">
        <x:v>MEDIA_LANGZEIT</x:v>
      </x:c>
      <x:c r="C34" s="104" t="str">
        <x:v>BOTH_DAYS</x:v>
      </x:c>
      <x:c r="D34" s="104" t="str">
        <x:v>Roma in zwölf Bildern</x:v>
      </x:c>
      <x:c r="E34" s="104" t="str">
        <x:v>npc_livia_lens</x:v>
      </x:c>
      <x:c r="F34" s="104" t="str">
        <x:v>Livia Lens</x:v>
      </x:c>
      <x:c r="G34" s="104" t="str">
        <x:v>Über beide Tage entsteht eine Geschichte in maximal zwölf Bildern. Jede im Team vorhandene Klasse muss erkennbar handeln; der Abschluss erfolgt nach manueller GM-Prüfung.</x:v>
      </x:c>
      <x:c r="H34" s="104" t="str">
        <x:v>Sonderablauf gemäß Questablauf</x:v>
      </x:c>
      <x:c r="I34" s="104" t="str">
        <x:v>Marcellustheater</x:v>
      </x:c>
      <x:c r="J34" s="104" t="str">
        <x:v>place_day_1_teatro_di_marcello</x:v>
      </x:c>
      <x:c r="K34" s="104" t="str">
        <x:v>START / ERSTER HINWEIS: Zwei übereinanderliegende antike Arkadenebenen unter einem späteren Wohnpalast.</x:v>
      </x:c>
      <x:c r="L34" s="104" t="str">
        <x:v>https://www.turismoroma.it/it/luoghi/teatro-di-marcello</x:v>
      </x:c>
      <x:c r="M34" s="106" t="n">
        <x:v>0</x:v>
      </x:c>
      <x:c r="N34" s="106" t="n">
        <x:v>0</x:v>
      </x:c>
      <x:c r="O34" s="106" t="str">
        <x:v>SEPARATE_CHRONICLE_SLOT</x:v>
      </x:c>
      <x:c r="P34" s="106" t="str">
        <x:v>specialSlotAvailable</x:v>
      </x:c>
      <x:c r="Q34" s="106" t="str">
        <x:v>Medienbedingungen erfüllt und Upload/GM-Prüfung abgeschlossen</x:v>
      </x:c>
      <x:c r="R34" s="106" t="str">
        <x:v>Bewertung benötigt klare Rubrik; darf reguläre Questslots nicht blockieren. | Als einzige bestätigte Langzeitquest umsetzen.</x:v>
      </x:c>
      <x:c r="S34" s="108" t="n">
        <x:v>120</x:v>
      </x:c>
      <x:c r="T34" s="108" t="n">
        <x:v>50</x:v>
      </x:c>
      <x:c r="U34" s="104" t="str">
        <x:v>LOOT_ROLL:QUEST_STANDARD (team inventory; rarity band by duration)</x:v>
      </x:c>
      <x:c r="V34" s="104" t="str">
        <x:v>ENCOUNTER_PROFILE</x:v>
      </x:c>
      <x:c r="W34" s="104"/>
      <x:c r="X34" s="104" t="str">
        <x:v>EDITORIAL_REVIEW</x:v>
      </x:c>
      <x:c r="Y34" s="104" t="str">
        <x:v>GeoJSON v0.8 spiegelt Quest-, Orts-, Encounter-, Timer- und Navigationsreferenzen; sichere Event-/Upload-Geofences bleiben zu prüfen.</x:v>
      </x:c>
      <x:c r="Z34" s="104" t="str">
        <x:v>Reward- und Itemwerte verbindlich in GDD v0.16 §28.8; Feld-/Redaktionsstatus separat prüfen.</x:v>
      </x:c>
      <x:c r="AA34" s="168" t="str">
        <x:v>Historisches Chiaroscuro, mobile-RPG-Questillustration für M-LT-01 „Roma in zwölf Bildern“ (MEDIA_LANGZEIT). Szene: Über beide Tage entsteht eine Geschichte in maximal zwölf Bildern. Jede im Team vorhandene Klasse muss erkennbar handeln; der Abschluss erfolgt nach manueller GM-Prüfung. Schauplatz/Ortsfolge: Marcellustheater. Klare Teamlesbarkeit, römische Materialien, gerichtetes warmes Licht, tiefe Schatten, reduzierte aber erkennbare Architektur, freie Zone für UI-Overlay, keine Schrift, kein Logo, keine modernen Gegenstände.</x:v>
      </x:c>
      <x:c r="AB34" s="168" t="str">
        <x:v>EDITORIAL_REVIEW</x:v>
      </x:c>
    </x:row>
    <x:row r="35" ht="66" hidden="0" customHeight="1">
      <x:c r="A35" s="101" t="str">
        <x:v>M-D2-01</x:v>
      </x:c>
      <x:c r="B35" s="101" t="str">
        <x:v>MEDIA_LOCAL</x:v>
      </x:c>
      <x:c r="C35" s="101" t="str">
        <x:v>DAY_2</x:v>
      </x:c>
      <x:c r="D35" s="101" t="str">
        <x:v>Streitwagenrennen</x:v>
      </x:c>
      <x:c r="E35" s="101" t="str">
        <x:v>npc_auriga_quinta</x:v>
      </x:c>
      <x:c r="F35" s="101" t="str">
        <x:v>Quinta Fulvia</x:v>
      </x:c>
      <x:c r="G35" s="101" t="str">
        <x:v>Ein Streitwagenrennen wird als zusammenhängender Akt in exakt fünf Bildern inszeniert – ohne echtes Rennen und auf einer sicheren Laufrichtung.</x:v>
      </x:c>
      <x:c r="H35" s="101" t="str">
        <x:v>Sonderablauf gemäß Questablauf</x:v>
      </x:c>
      <x:c r="I35" s="101" t="str">
        <x:v>Circus Maximus</x:v>
      </x:c>
      <x:c r="J35" s="101" t="str">
        <x:v>place_day_2_circo_massimo</x:v>
      </x:c>
      <x:c r="K35" s="101" t="str">
        <x:v>START / ERSTER HINWEIS: Sehr große langgestreckte Senke der Rennbahn zwischen zwei Hügeln.</x:v>
      </x:c>
      <x:c r="L35" s="101" t="str">
        <x:v>https://www.turismoroma.it/en/places/circus-maximus</x:v>
      </x:c>
      <x:c r="M35" s="105" t="n">
        <x:v>15</x:v>
      </x:c>
      <x:c r="N35" s="105" t="n">
        <x:v>25</x:v>
      </x:c>
      <x:c r="O35" s="105" t="str">
        <x:v>SEPARATE_MEDIA_SLOT</x:v>
      </x:c>
      <x:c r="P35" s="105" t="str">
        <x:v>specialSlotAvailable</x:v>
      </x:c>
      <x:c r="Q35" s="105" t="str">
        <x:v>Medienbedingungen erfüllt und Upload/GM-Prüfung abgeschlossen</x:v>
      </x:c>
      <x:c r="R35" s="105" t="str">
        <x:v>Große offene Fläche; sichere Laufrichtung im Briefing festlegen. | Sehr starke Orts- und Medienpassung.</x:v>
      </x:c>
      <x:c r="S35" s="107" t="n">
        <x:v>50</x:v>
      </x:c>
      <x:c r="T35" s="107" t="n">
        <x:v>25</x:v>
      </x:c>
      <x:c r="U35" s="101" t="str">
        <x:v>LOOT_ROLL:QUEST_STANDARD (team inventory; rarity band by duration)</x:v>
      </x:c>
      <x:c r="V35" s="101" t="str">
        <x:v>ENCOUNTER_PROFILE</x:v>
      </x:c>
      <x:c r="W35" s="101"/>
      <x:c r="X35" s="101" t="str">
        <x:v>EDITORIAL_REVIEW</x:v>
      </x:c>
      <x:c r="Y35" s="101" t="str">
        <x:v>GeoJSON v0.8 spiegelt Quest-, Orts-, Encounter-, Timer- und Navigationsreferenzen; sichere Event-/Upload-Geofences bleiben zu prüfen.</x:v>
      </x:c>
      <x:c r="Z35" s="101" t="str">
        <x:v>Reward- und Itemwerte verbindlich in GDD v0.16 §28.8; Feld-/Redaktionsstatus separat prüfen.</x:v>
      </x:c>
      <x:c r="AA35" s="168" t="str">
        <x:v>Historisches Chiaroscuro, mobile-RPG-Questillustration für M-D2-01 „Streitwagenrennen“ (MEDIA_LOCAL). Szene: Ein Streitwagenrennen wird als zusammenhängender Akt in exakt fünf Bildern inszeniert – ohne echtes Rennen und auf einer sicheren Laufrichtung. Schauplatz/Ortsfolge: Circus Maximus. Klare Teamlesbarkeit, römische Materialien, gerichtetes warmes Licht, tiefe Schatten, reduzierte aber erkennbare Architektur, freie Zone für UI-Overlay, keine Schrift, kein Logo, keine modernen Gegenstände.</x:v>
      </x:c>
      <x:c r="AB35" s="168" t="str">
        <x:v>EDITORIAL_REVIEW</x:v>
      </x:c>
    </x:row>
    <x:row r="36" ht="66" hidden="0" customHeight="1">
      <x:c r="A36" s="104" t="str">
        <x:v>M-D2-02</x:v>
      </x:c>
      <x:c r="B36" s="104" t="str">
        <x:v>MEDIA_LOCAL</x:v>
      </x:c>
      <x:c r="C36" s="104" t="str">
        <x:v>DAY_2</x:v>
      </x:c>
      <x:c r="D36" s="104" t="str">
        <x:v>Gladiatorenkampf</x:v>
      </x:c>
      <x:c r="E36" s="104" t="str">
        <x:v>npc_lanista_felix</x:v>
      </x:c>
      <x:c r="F36" s="104" t="str">
        <x:v>Lanista Felix</x:v>
      </x:c>
      <x:c r="G36" s="104" t="str">
        <x:v>Drei Bilder erzählen einen Gladiatorenkampf: Herausforderung, Wendepunkt, Gnade. Reale Schläge, Waffenbewegungen und Engstellen sind ausgeschlossen.</x:v>
      </x:c>
      <x:c r="H36" s="104" t="str">
        <x:v>Sonderablauf gemäß Questablauf</x:v>
      </x:c>
      <x:c r="I36" s="104" t="str">
        <x:v>Kolosseum</x:v>
      </x:c>
      <x:c r="J36" s="104" t="str">
        <x:v>place_day_2_colosseo</x:v>
      </x:c>
      <x:c r="K36" s="104" t="str">
        <x:v>START / ERSTER HINWEIS: Drei große Reihen offener Arkaden an der hohen erhaltenen Außenwand.</x:v>
      </x:c>
      <x:c r="L36" s="104" t="str">
        <x:v>https://it.wikipedia.org/wiki/Colosseo</x:v>
      </x:c>
      <x:c r="M36" s="106" t="n">
        <x:v>5</x:v>
      </x:c>
      <x:c r="N36" s="106" t="n">
        <x:v>15</x:v>
      </x:c>
      <x:c r="O36" s="106" t="str">
        <x:v>SEPARATE_MEDIA_SLOT</x:v>
      </x:c>
      <x:c r="P36" s="106" t="str">
        <x:v>specialSlotAvailable</x:v>
      </x:c>
      <x:c r="Q36" s="106" t="str">
        <x:v>Medienbedingungen erfüllt und Upload/GM-Prüfung abgeschlossen</x:v>
      </x:c>
      <x:c r="R36" s="106" t="str">
        <x:v>Sehr hohe Besucherzahl; keine reale Kampfbewegung in Engstellen. | Posen statt dynamischer Aktionen verlangen.</x:v>
      </x:c>
      <x:c r="S36" s="108" t="n">
        <x:v>50</x:v>
      </x:c>
      <x:c r="T36" s="108" t="n">
        <x:v>25</x:v>
      </x:c>
      <x:c r="U36" s="104" t="str">
        <x:v>LOOT_ROLL:QUEST_STANDARD (team inventory; rarity band by duration)</x:v>
      </x:c>
      <x:c r="V36" s="104" t="str">
        <x:v>ENCOUNTER_PROFILE</x:v>
      </x:c>
      <x:c r="W36" s="104"/>
      <x:c r="X36" s="104" t="str">
        <x:v>EDITORIAL_REVIEW</x:v>
      </x:c>
      <x:c r="Y36" s="104" t="str">
        <x:v>GeoJSON v0.8 spiegelt Quest-, Orts-, Encounter-, Timer- und Navigationsreferenzen; sichere Event-/Upload-Geofences bleiben zu prüfen.</x:v>
      </x:c>
      <x:c r="Z36" s="104" t="str">
        <x:v>Reward- und Itemwerte verbindlich in GDD v0.16 §28.8; Feld-/Redaktionsstatus separat prüfen.</x:v>
      </x:c>
      <x:c r="AA36" s="168" t="str">
        <x:v>Historisches Chiaroscuro, mobile-RPG-Questillustration für M-D2-02 „Gladiatorenkampf“ (MEDIA_LOCAL). Szene: Drei Bilder erzählen einen Gladiatorenkampf: Herausforderung, Wendepunkt, Gnade. Reale Schläge, Waffenbewegungen und Engstellen sind ausgeschlossen. Schauplatz/Ortsfolge: Kolosseum. Klare Teamlesbarkeit, römische Materialien, gerichtetes warmes Licht, tiefe Schatten, reduzierte aber erkennbare Architektur, freie Zone für UI-Overlay, keine Schrift, kein Logo, keine modernen Gegenstände.</x:v>
      </x:c>
      <x:c r="AB36" s="168" t="str">
        <x:v>EDITORIAL_REVIEW</x:v>
      </x:c>
    </x:row>
    <x:row r="37" ht="66" hidden="0" customHeight="1">
      <x:c r="A37" s="101" t="str">
        <x:v>M-D2-03</x:v>
      </x:c>
      <x:c r="B37" s="101" t="str">
        <x:v>MEDIA_LOCAL</x:v>
      </x:c>
      <x:c r="C37" s="101" t="str">
        <x:v>DAY_2</x:v>
      </x:c>
      <x:c r="D37" s="101" t="str">
        <x:v>Souvenirreview</x:v>
      </x:c>
      <x:c r="E37" s="101" t="str">
        <x:v>npc_mercator_minimus</x:v>
      </x:c>
      <x:c r="F37" s="101" t="str">
        <x:v>Mercator Minimus</x:v>
      </x:c>
      <x:c r="G37" s="101" t="str">
        <x:v>Das Team produziert ein 30–60-sekündiges Souvenirreview. Der Gegenstand darf anderswo gekauft sein, kostet höchstens fünf Euro und wird am öffentlichen Außenpunkt der Trajansmärkte präsentiert.</x:v>
      </x:c>
      <x:c r="H37" s="101" t="str">
        <x:v>Sonderablauf gemäß Questablauf</x:v>
      </x:c>
      <x:c r="I37" s="101" t="str">
        <x:v>Trajansmärkte</x:v>
      </x:c>
      <x:c r="J37" s="101" t="str">
        <x:v>place_day_2_mercati_di_traiano</x:v>
      </x:c>
      <x:c r="K37" s="101" t="str">
        <x:v>START / ERSTER HINWEIS: Mehrgeschossiger Ziegel-Halbkreis mit vielen Bogenöffnungen, vom öffentlichen Bereich Via IV Novembre sichtbar.</x:v>
      </x:c>
      <x:c r="L37" s="101" t="str">
        <x:v>https://www.mercatiditraiano.it/en/museo/sede/mercati_di_traiano_storia</x:v>
      </x:c>
      <x:c r="M37" s="105" t="n">
        <x:v>15</x:v>
      </x:c>
      <x:c r="N37" s="105" t="n">
        <x:v>25</x:v>
      </x:c>
      <x:c r="O37" s="105" t="str">
        <x:v>SEPARATE_MEDIA_SLOT</x:v>
      </x:c>
      <x:c r="P37" s="105" t="str">
        <x:v>specialSlotAvailable</x:v>
      </x:c>
      <x:c r="Q37" s="105" t="str">
        <x:v>Medienbedingungen erfüllt und Upload/GM-Prüfung abgeschlossen</x:v>
      </x:c>
      <x:c r="R37" s="105" t="str">
        <x:v>Kauf darf nicht am Ort vorausgesetzt werden; Außenpunkt eindeutig festlegen. | Sehr gute Verbindung von Alltagsleben, Handel und Performance.</x:v>
      </x:c>
      <x:c r="S37" s="107" t="n">
        <x:v>50</x:v>
      </x:c>
      <x:c r="T37" s="107" t="n">
        <x:v>25</x:v>
      </x:c>
      <x:c r="U37" s="101" t="str">
        <x:v>LOOT_ROLL:QUEST_STANDARD (team inventory; rarity band by duration)</x:v>
      </x:c>
      <x:c r="V37" s="101" t="str">
        <x:v>ENCOUNTER_PROFILE</x:v>
      </x:c>
      <x:c r="W37" s="101"/>
      <x:c r="X37" s="101" t="str">
        <x:v>EDITORIAL_REVIEW</x:v>
      </x:c>
      <x:c r="Y37" s="101" t="str">
        <x:v>GeoJSON v0.8 spiegelt Quest-, Orts-, Encounter-, Timer- und Navigationsreferenzen; sichere Event-/Upload-Geofences bleiben zu prüfen.</x:v>
      </x:c>
      <x:c r="Z37" s="101" t="str">
        <x:v>Reward- und Itemwerte verbindlich in GDD v0.16 §28.8; Feld-/Redaktionsstatus separat prüfen.</x:v>
      </x:c>
      <x:c r="AA37" s="168" t="str">
        <x:v>Historisches Chiaroscuro, mobile-RPG-Questillustration für M-D2-03 „Souvenirreview“ (MEDIA_LOCAL). Szene: Das Team produziert ein 30–60-sekündiges Souvenirreview. Der Gegenstand darf anderswo gekauft sein, kostet höchstens fünf Euro und wird am öffentlichen Außenpunkt der Trajansmärkte präsentiert. Schauplatz/Ortsfolge: Trajansmärkte. Klare Teamlesbarkeit, römische Materialien, gerichtetes warmes Licht, tiefe Schatten, reduzierte aber erkennbare Architektur, freie Zone für UI-Overlay, keine Schrift, kein Logo, keine modernen Gegenstände.</x:v>
      </x:c>
      <x:c r="AB37" s="168" t="str">
        <x:v>EDITORIAL_REVIEW</x:v>
      </x:c>
    </x:row>
    <x:row r="38" ht="66" hidden="0" customHeight="1">
      <x:c r="A38" s="104" t="str">
        <x:v>H-D1-01</x:v>
      </x:c>
      <x:c r="B38" s="104" t="str">
        <x:v>HIDDEN</x:v>
      </x:c>
      <x:c r="C38" s="104" t="str">
        <x:v>DAY_1</x:v>
      </x:c>
      <x:c r="D38" s="104" t="str">
        <x:v>Die Schildkröten wachen</x:v>
      </x:c>
      <x:c r="E38" s="104" t="str">
        <x:v>npc_tartaruga_quarta</x:v>
      </x:c>
      <x:c r="F38" s="104" t="str">
        <x:v>Die vierte Schildkröte</x:v>
      </x:c>
      <x:c r="G38" s="104" t="str">
        <x:v>Wer alle vier Schildkröten zählt, weckt die vierte Stimme und einen kurzen Wächterkampf.</x:v>
      </x:c>
      <x:c r="H38" s="104" t="str">
        <x:v>Sonderablauf gemäß Questablauf</x:v>
      </x:c>
      <x:c r="I38" s="104" t="str">
        <x:v>Fontana delle Tartarughe</x:v>
      </x:c>
      <x:c r="J38" s="104" t="str">
        <x:v>place_day_1_fontana_delle_tartarughe</x:v>
      </x:c>
      <x:c r="K38" s="104" t="str">
        <x:v>START / ERSTER HINWEIS: Vier deutlich sichtbare Schildkröten am Rand des oberen Beckens.</x:v>
      </x:c>
      <x:c r="L38" s="104" t="str">
        <x:v>https://www.turismoroma.it/it/luoghi/fontana-delle-tartarughe</x:v>
      </x:c>
      <x:c r="M38" s="106" t="n">
        <x:v>5</x:v>
      </x:c>
      <x:c r="N38" s="106" t="n">
        <x:v>10</x:v>
      </x:c>
      <x:c r="O38" s="106" t="str">
        <x:v>NO_ACTIVE_SLOT</x:v>
      </x:c>
      <x:c r="P38" s="106" t="str">
        <x:v>hiddenTriggerDiscovered</x:v>
      </x:c>
      <x:c r="Q38" s="106" t="str">
        <x:v>Hidden-Ablauf abgeschlossen</x:v>
      </x:c>
      <x:c r="R38" s="106" t="str">
        <x:v>Aktuelle Sicht der Schildkröten prüfen. | Guter versteckter Zusatz zu D1-Q13.</x:v>
      </x:c>
      <x:c r="S38" s="108" t="n">
        <x:v>30</x:v>
      </x:c>
      <x:c r="T38" s="108" t="n">
        <x:v>20</x:v>
      </x:c>
      <x:c r="U38" s="104" t="str">
        <x:v>LOOT_ROLL:QUEST_STANDARD (team inventory; rarity band by duration)</x:v>
      </x:c>
      <x:c r="V38" s="104" t="str">
        <x:v>ENCOUNTER_PROFILE</x:v>
      </x:c>
      <x:c r="W38" s="104"/>
      <x:c r="X38" s="104" t="str">
        <x:v>EDITORIAL_REVIEW</x:v>
      </x:c>
      <x:c r="Y38" s="104" t="str">
        <x:v>GeoJSON v0.8 spiegelt Quest-, Orts-, Encounter-, Timer- und Navigationsreferenzen; sichere Event-/Upload-Geofences bleiben zu prüfen.</x:v>
      </x:c>
      <x:c r="Z38" s="104" t="str">
        <x:v>Reward- und Itemwerte verbindlich in GDD v0.16 §28.8; Feld-/Redaktionsstatus separat prüfen.</x:v>
      </x:c>
      <x:c r="AA38" s="168" t="str">
        <x:v>Historisches Chiaroscuro, mobile-RPG-Questillustration für H-D1-01 „Die Schildkröten wachen“ (HIDDEN). Szene: Wer alle vier Schildkröten zählt, weckt die vierte Stimme und einen kurzen Wächterkampf. Schauplatz/Ortsfolge: Fontana delle Tartarughe. Klare Teamlesbarkeit, römische Materialien, gerichtetes warmes Licht, tiefe Schatten, reduzierte aber erkennbare Architektur, freie Zone für UI-Overlay, keine Schrift, kein Logo, keine modernen Gegenstände.</x:v>
      </x:c>
      <x:c r="AB38" s="168" t="str">
        <x:v>EDITORIAL_REVIEW</x:v>
      </x:c>
    </x:row>
    <x:row r="39" ht="66" hidden="0" customHeight="1">
      <x:c r="A39" s="101" t="str">
        <x:v>H-D1-02</x:v>
      </x:c>
      <x:c r="B39" s="101" t="str">
        <x:v>HIDDEN</x:v>
      </x:c>
      <x:c r="C39" s="101" t="str">
        <x:v>DAY_1</x:v>
      </x:c>
      <x:c r="D39" s="101" t="str">
        <x:v>Ratte des Aquädukts</x:v>
      </x:c>
      <x:c r="E39" s="101" t="str">
        <x:v>npc_rattus_virgo</x:v>
      </x:c>
      <x:c r="F39" s="101" t="str">
        <x:v>Rattus Virgo</x:v>
      </x:c>
      <x:c r="G39" s="101" t="str">
        <x:v>Die verdeckten Arkaden verraten das Versteck der Kanalratte. Eine richtige Zählung schwächt ihre Ausweichfähigkeit.</x:v>
      </x:c>
      <x:c r="H39" s="101" t="str">
        <x:v>Sonderablauf gemäß Questablauf</x:v>
      </x:c>
      <x:c r="I39" s="101" t="str">
        <x:v>Acquedotto Vergine</x:v>
      </x:c>
      <x:c r="J39" s="101" t="str">
        <x:v>place_day_1_acquedotto_vergine</x:v>
      </x:c>
      <x:c r="K39" s="101" t="str">
        <x:v>START / ERSTER HINWEIS: Drei teilweise im heutigen Bodenniveau versunkene Travertinarkaden hinter einer Absperrung.</x:v>
      </x:c>
      <x:c r="L39" s="101" t="str">
        <x:v>https://www.sovraintendenzaroma.it/i_luoghi/roma_antica/monumenti/acquedotto_vergine</x:v>
      </x:c>
      <x:c r="M39" s="105" t="n">
        <x:v>5</x:v>
      </x:c>
      <x:c r="N39" s="105" t="n">
        <x:v>10</x:v>
      </x:c>
      <x:c r="O39" s="105" t="str">
        <x:v>NO_ACTIVE_SLOT</x:v>
      </x:c>
      <x:c r="P39" s="105" t="str">
        <x:v>hiddenTriggerDiscovered</x:v>
      </x:c>
      <x:c r="Q39" s="105" t="str">
        <x:v>Hidden-Ablauf abgeschlossen</x:v>
      </x:c>
      <x:c r="R39" s="105" t="str">
        <x:v>Arkaden sind teilweise verdeckt. | Nur aktivieren, wenn aktueller Sichtbeleg genügt.</x:v>
      </x:c>
      <x:c r="S39" s="107" t="n">
        <x:v>30</x:v>
      </x:c>
      <x:c r="T39" s="107" t="n">
        <x:v>20</x:v>
      </x:c>
      <x:c r="U39" s="101" t="str">
        <x:v>LOOT_ROLL:QUEST_STANDARD (team inventory; rarity band by duration)</x:v>
      </x:c>
      <x:c r="V39" s="101" t="str">
        <x:v>ENCOUNTER_PROFILE</x:v>
      </x:c>
      <x:c r="W39" s="101"/>
      <x:c r="X39" s="101" t="str">
        <x:v>FIELD_CHECK_REQUIRED</x:v>
      </x:c>
      <x:c r="Y39" s="101" t="str">
        <x:v>GeoJSON v0.8 spiegelt Quest-, Orts-, Encounter-, Timer- und Navigationsreferenzen; sichere Event-/Upload-Geofences bleiben zu prüfen.</x:v>
      </x:c>
      <x:c r="Z39" s="101" t="str">
        <x:v>Reward- und Itemwerte verbindlich in GDD v0.16 §28.8; Feld-/Redaktionsstatus separat prüfen.</x:v>
      </x:c>
      <x:c r="AA39" s="168" t="str">
        <x:v>Historisches Chiaroscuro, mobile-RPG-Questillustration für H-D1-02 „Ratte des Aquädukts“ (HIDDEN). Szene: Die verdeckten Arkaden verraten das Versteck der Kanalratte. Eine richtige Zählung schwächt ihre Ausweichfähigkeit. Schauplatz/Ortsfolge: Acquedotto Vergine. Klare Teamlesbarkeit, römische Materialien, gerichtetes warmes Licht, tiefe Schatten, reduzierte aber erkennbare Architektur, freie Zone für UI-Overlay, keine Schrift, kein Logo, keine modernen Gegenstände.</x:v>
      </x:c>
      <x:c r="AB39" s="168" t="str">
        <x:v>FIELD_CHECK_REQUIRED</x:v>
      </x:c>
    </x:row>
    <x:row r="40" ht="66" hidden="0" customHeight="1">
      <x:c r="A40" s="104" t="str">
        <x:v>H-D1-03</x:v>
      </x:c>
      <x:c r="B40" s="104" t="str">
        <x:v>HIDDEN</x:v>
      </x:c>
      <x:c r="C40" s="104" t="str">
        <x:v>DAY_1</x:v>
      </x:c>
      <x:c r="D40" s="104" t="str">
        <x:v>Die Satirelli</x:v>
      </x:c>
      <x:c r="E40" s="104" t="str">
        <x:v>npc_satirelli_gemelli</x:v>
      </x:c>
      <x:c r="F40" s="104" t="str">
        <x:v>I Satirelli Gemelli</x:v>
      </x:c>
      <x:c r="G40" s="104" t="str">
        <x:v>Zwei Satyrn streiten, wer auf der Felsinszenierung wohin gehört. Das Team ordnet ihre Merkmale und entscheidet, ob es zum kurzen Kampf kommt.</x:v>
      </x:c>
      <x:c r="H40" s="104" t="str">
        <x:v>Sonderablauf gemäß Questablauf</x:v>
      </x:c>
      <x:c r="I40" s="104" t="str">
        <x:v>Fontana dei Satirelli</x:v>
      </x:c>
      <x:c r="J40" s="104" t="str">
        <x:v>place_day_1_fontana_dei_satirelli</x:v>
      </x:c>
      <x:c r="K40" s="104" t="str">
        <x:v>START / ERSTER HINWEIS: Figürliche Gruppe kleiner Satyrwesen auf einer Felsinszenierung.</x:v>
      </x:c>
      <x:c r="L40" s="104" t="str">
        <x:v>https://www.comune.roma.it/web/it/attivita-progetto.page?contentId=PRG1072554</x:v>
      </x:c>
      <x:c r="M40" s="106" t="n">
        <x:v>5</x:v>
      </x:c>
      <x:c r="N40" s="106" t="n">
        <x:v>10</x:v>
      </x:c>
      <x:c r="O40" s="106" t="str">
        <x:v>NO_ACTIVE_SLOT</x:v>
      </x:c>
      <x:c r="P40" s="106" t="str">
        <x:v>hiddenTriggerDiscovered</x:v>
      </x:c>
      <x:c r="Q40" s="106" t="str">
        <x:v>Hidden-Ablauf abgeschlossen</x:v>
      </x:c>
      <x:c r="R40" s="106" t="str">
        <x:v>Parköffnungszeiten. | Nur tagsüber aktivieren; sonst automatisch deaktiviert.</x:v>
      </x:c>
      <x:c r="S40" s="108" t="n">
        <x:v>30</x:v>
      </x:c>
      <x:c r="T40" s="108" t="n">
        <x:v>20</x:v>
      </x:c>
      <x:c r="U40" s="104" t="str">
        <x:v>LOOT_ROLL:QUEST_STANDARD (team inventory; rarity band by duration)</x:v>
      </x:c>
      <x:c r="V40" s="104" t="str">
        <x:v>ENCOUNTER_PROFILE</x:v>
      </x:c>
      <x:c r="W40" s="104"/>
      <x:c r="X40" s="104" t="str">
        <x:v>FIELD_CHECK_REQUIRED</x:v>
      </x:c>
      <x:c r="Y40" s="104" t="str">
        <x:v>GeoJSON v0.8 spiegelt Quest-, Orts-, Encounter-, Timer- und Navigationsreferenzen; sichere Event-/Upload-Geofences bleiben zu prüfen.</x:v>
      </x:c>
      <x:c r="Z40" s="104" t="str">
        <x:v>Reward- und Itemwerte verbindlich in GDD v0.16 §28.8; Feld-/Redaktionsstatus separat prüfen.</x:v>
      </x:c>
      <x:c r="AA40" s="168" t="str">
        <x:v>Historisches Chiaroscuro, mobile-RPG-Questillustration für H-D1-03 „Die Satirelli“ (HIDDEN). Szene: Zwei Satyrn streiten, wer auf der Felsinszenierung wohin gehört. Das Team ordnet ihre Merkmale und entscheidet, ob es zum kurzen Kampf kommt. Schauplatz/Ortsfolge: Fontana dei Satirelli. Klare Teamlesbarkeit, römische Materialien, gerichtetes warmes Licht, tiefe Schatten, reduzierte aber erkennbare Architektur, freie Zone für UI-Overlay, keine Schrift, kein Logo, keine modernen Gegenstände.</x:v>
      </x:c>
      <x:c r="AB40" s="168" t="str">
        <x:v>FIELD_CHECK_REQUIRED</x:v>
      </x:c>
    </x:row>
    <x:row r="41" ht="66" hidden="0" customHeight="1">
      <x:c r="A41" s="101" t="str">
        <x:v>H-D2-01</x:v>
      </x:c>
      <x:c r="B41" s="101" t="str">
        <x:v>HIDDEN</x:v>
      </x:c>
      <x:c r="C41" s="101" t="str">
        <x:v>DAY_2</x:v>
      </x:c>
      <x:c r="D41" s="101" t="str">
        <x:v>Wächter der Porta Magica</x:v>
      </x:c>
      <x:c r="E41" s="101" t="str">
        <x:v>npc_porta_alchemica</x:v>
      </x:c>
      <x:c r="F41" s="101" t="str">
        <x:v>Alchemilla der Porta Magica</x:v>
      </x:c>
      <x:c r="G41" s="101" t="str">
        <x:v>Zwei Steinwächter bewachen eine alchemistische Zuordnung. Die Quest bleibt kurz und nutzt nur eindeutig sichtbare Großformen.</x:v>
      </x:c>
      <x:c r="H41" s="101" t="str">
        <x:v>Sonderablauf gemäß Questablauf</x:v>
      </x:c>
      <x:c r="I41" s="101" t="str">
        <x:v>Piazza Vittorio Emanuele Secondo</x:v>
      </x:c>
      <x:c r="J41" s="101" t="str">
        <x:v>place_day_2_piazza_vittorio_emanuele_secondo</x:v>
      </x:c>
      <x:c r="K41" s="101" t="str">
        <x:v>START / ERSTER HINWEIS: Porta Magica mit alchemistischen Inschriften und zwei massiven Wächterfiguren.</x:v>
      </x:c>
      <x:c r="L41" s="101" t="str">
        <x:v>https://it.wikipedia.org/wiki/Piazza_Vittorio_Emanuele_II_(Roma)</x:v>
      </x:c>
      <x:c r="M41" s="105" t="n">
        <x:v>5</x:v>
      </x:c>
      <x:c r="N41" s="105" t="n">
        <x:v>10</x:v>
      </x:c>
      <x:c r="O41" s="105" t="str">
        <x:v>NO_ACTIVE_SLOT</x:v>
      </x:c>
      <x:c r="P41" s="105" t="str">
        <x:v>hiddenTriggerDiscovered</x:v>
      </x:c>
      <x:c r="Q41" s="105" t="str">
        <x:v>Hidden-Ablauf abgeschlossen</x:v>
      </x:c>
      <x:c r="R41" s="105" t="str">
        <x:v>Parkzugang und Sicht der Wächterfiguren. | Starker Geheimtipp, wenn aktueller Sichtbeleg vorliegt.</x:v>
      </x:c>
      <x:c r="S41" s="107" t="n">
        <x:v>30</x:v>
      </x:c>
      <x:c r="T41" s="107" t="n">
        <x:v>20</x:v>
      </x:c>
      <x:c r="U41" s="101" t="str">
        <x:v>LOOT_ROLL:QUEST_STANDARD (team inventory; rarity band by duration)</x:v>
      </x:c>
      <x:c r="V41" s="101" t="str">
        <x:v>ENCOUNTER_PROFILE</x:v>
      </x:c>
      <x:c r="W41" s="101"/>
      <x:c r="X41" s="101" t="str">
        <x:v>FIELD_CHECK_REQUIRED</x:v>
      </x:c>
      <x:c r="Y41" s="101" t="str">
        <x:v>GeoJSON v0.8 spiegelt Quest-, Orts-, Encounter-, Timer- und Navigationsreferenzen; sichere Event-/Upload-Geofences bleiben zu prüfen.</x:v>
      </x:c>
      <x:c r="Z41" s="101" t="str">
        <x:v>Reward- und Itemwerte verbindlich in GDD v0.16 §28.8; Feld-/Redaktionsstatus separat prüfen.</x:v>
      </x:c>
      <x:c r="AA41" s="168" t="str">
        <x:v>Historisches Chiaroscuro, mobile-RPG-Questillustration für H-D2-01 „Wächter der Porta Magica“ (HIDDEN). Szene: Zwei Steinwächter bewachen eine alchemistische Zuordnung. Die Quest bleibt kurz und nutzt nur eindeutig sichtbare Großformen. Schauplatz/Ortsfolge: Piazza Vittorio Emanuele Secondo. Klare Teamlesbarkeit, römische Materialien, gerichtetes warmes Licht, tiefe Schatten, reduzierte aber erkennbare Architektur, freie Zone für UI-Overlay, keine Schrift, kein Logo, keine modernen Gegenstände.</x:v>
      </x:c>
      <x:c r="AB41" s="168" t="str">
        <x:v>FIELD_CHECK_REQUIRED</x:v>
      </x:c>
    </x:row>
    <x:row r="42" ht="66" hidden="0" customHeight="1">
      <x:c r="A42" s="104" t="str">
        <x:v>H-D2-02</x:v>
      </x:c>
      <x:c r="B42" s="104" t="str">
        <x:v>HIDDEN</x:v>
      </x:c>
      <x:c r="C42" s="104" t="str">
        <x:v>DAY_2</x:v>
      </x:c>
      <x:c r="D42" s="104" t="str">
        <x:v>Dantes Windrose</x:v>
      </x:c>
      <x:c r="E42" s="104" t="str">
        <x:v>npc_dante_rosa</x:v>
      </x:c>
      <x:c r="F42" s="104" t="str">
        <x:v>Dantes Wind</x:v>
      </x:c>
      <x:c r="G42" s="104" t="str">
        <x:v>Die Windrose gibt eine kurze Richtungs- und Texteingabe. Falsche Antworten wecken optional den Custode dell’Inferno.</x:v>
      </x:c>
      <x:c r="H42" s="104" t="str">
        <x:v>Sonderablauf gemäß Questablauf</x:v>
      </x:c>
      <x:c r="I42" s="104" t="str">
        <x:v>Piazza Dante</x:v>
      </x:c>
      <x:c r="J42" s="104" t="str">
        <x:v>place_day_2_piazza_dante</x:v>
      </x:c>
      <x:c r="K42" s="104" t="str">
        <x:v>START / ERSTER HINWEIS: Große Rose der Winde aus Ziegel und Travertin im Gartenpflaster.</x:v>
      </x:c>
      <x:c r="L42" s="104" t="str">
        <x:v>https://www.turismoroma.it/it/luoghi/giardino-di-piazza-dante</x:v>
      </x:c>
      <x:c r="M42" s="106" t="n">
        <x:v>5</x:v>
      </x:c>
      <x:c r="N42" s="106" t="n">
        <x:v>10</x:v>
      </x:c>
      <x:c r="O42" s="106" t="str">
        <x:v>NO_ACTIVE_SLOT</x:v>
      </x:c>
      <x:c r="P42" s="106" t="str">
        <x:v>hiddenTriggerDiscovered</x:v>
      </x:c>
      <x:c r="Q42" s="106" t="str">
        <x:v>Hidden-Ablauf abgeschlossen</x:v>
      </x:c>
      <x:c r="R42" s="106" t="str">
        <x:v>Parköffnungszeiten. | Als Hidden Quest gut; nicht als Pflichtstation.</x:v>
      </x:c>
      <x:c r="S42" s="108" t="n">
        <x:v>30</x:v>
      </x:c>
      <x:c r="T42" s="108" t="n">
        <x:v>20</x:v>
      </x:c>
      <x:c r="U42" s="104" t="str">
        <x:v>LOOT_ROLL:QUEST_STANDARD (team inventory; rarity band by duration)</x:v>
      </x:c>
      <x:c r="V42" s="104" t="str">
        <x:v>ENCOUNTER_PROFILE</x:v>
      </x:c>
      <x:c r="W42" s="104"/>
      <x:c r="X42" s="104" t="str">
        <x:v>FIELD_CHECK_REQUIRED</x:v>
      </x:c>
      <x:c r="Y42" s="104" t="str">
        <x:v>GeoJSON v0.8 spiegelt Quest-, Orts-, Encounter-, Timer- und Navigationsreferenzen; sichere Event-/Upload-Geofences bleiben zu prüfen.</x:v>
      </x:c>
      <x:c r="Z42" s="104" t="str">
        <x:v>Reward- und Itemwerte verbindlich in GDD v0.16 §28.8; Feld-/Redaktionsstatus separat prüfen.</x:v>
      </x:c>
      <x:c r="AA42" s="168" t="str">
        <x:v>Historisches Chiaroscuro, mobile-RPG-Questillustration für H-D2-02 „Dantes Windrose“ (HIDDEN). Szene: Die Windrose gibt eine kurze Richtungs- und Texteingabe. Falsche Antworten wecken optional den Custode dell’Inferno. Schauplatz/Ortsfolge: Piazza Dante. Klare Teamlesbarkeit, römische Materialien, gerichtetes warmes Licht, tiefe Schatten, reduzierte aber erkennbare Architektur, freie Zone für UI-Overlay, keine Schrift, kein Logo, keine modernen Gegenstände.</x:v>
      </x:c>
      <x:c r="AB42" s="168" t="str">
        <x:v>FIELD_CHECK_REQUIRED</x:v>
      </x:c>
    </x:row>
    <x:row r="43" ht="66" hidden="0" customHeight="1">
      <x:c r="A43" s="101" t="str">
        <x:v>B-D1-01</x:v>
      </x:c>
      <x:c r="B43" s="101" t="str">
        <x:v>WORLD_BOSS</x:v>
      </x:c>
      <x:c r="C43" s="101" t="str">
        <x:v>DAY_1</x:v>
      </x:c>
      <x:c r="D43" s="101" t="str">
        <x:v>Il Cannoniere del Gianicolo</x:v>
      </x:c>
      <x:c r="E43" s="101" t="str">
        <x:v>npc_cannoniere_gianicolo</x:v>
      </x:c>
      <x:c r="F43" s="101" t="str">
        <x:v>Il Cannoniere del Gianicolo</x:v>
      </x:c>
      <x:c r="G43" s="101" t="str">
        <x:v>Globaler E-Boss auf dem Gianicolo. Alle Teams kämpfen in derselben Weltinstanz; Mechaniken prüfen Deckung, Teamkoordination und rechtzeitige Reaktion.</x:v>
      </x:c>
      <x:c r="H43" s="101" t="str">
        <x:v>Sonderablauf gemäß Questablauf</x:v>
      </x:c>
      <x:c r="I43" s="101" t="str">
        <x:v>Terrazza del Gianicolo</x:v>
      </x:c>
      <x:c r="J43" s="101" t="str">
        <x:v>place_day_1_terrazza_del_gianicolo</x:v>
      </x:c>
      <x:c r="K43" s="101" t="str">
        <x:v>START / ERSTER HINWEIS: Weite, offene Aussichtsterrasse beim Garibaldi-Denkmal; geeignet als sichere Bossbühne, nicht als kleines Suchobjekt.</x:v>
      </x:c>
      <x:c r="L43" s="101" t="str">
        <x:v>https://www.openstreetmap.org/node/1001130475</x:v>
      </x:c>
      <x:c r="M43" s="105" t="n">
        <x:v>0</x:v>
      </x:c>
      <x:c r="N43" s="105" t="n">
        <x:v>0</x:v>
      </x:c>
      <x:c r="O43" s="105" t="str">
        <x:v>EVENT_NO_SLOT</x:v>
      </x:c>
      <x:c r="P43" s="105" t="str">
        <x:v>eventActive|bossJoinRadius</x:v>
      </x:c>
      <x:c r="Q43" s="105" t="str">
        <x:v>Beitragsschwelle und Eventabschluss</x:v>
      </x:c>
      <x:c r="R43" s="105" t="str">
        <x:v>Menschenmenge und sichere Aufstellfläche aktuell prüfen. | Starke thematische und räumliche Schlussposition für Tag 1.</x:v>
      </x:c>
      <x:c r="S43" s="107" t="n">
        <x:v>0</x:v>
      </x:c>
      <x:c r="T43" s="107" t="n">
        <x:v>0</x:v>
      </x:c>
      <x:c r="U43" s="101" t="str">
        <x:v>LOOT_ROLL:QUEST_STANDARD (team inventory; rarity band by duration)</x:v>
      </x:c>
      <x:c r="V43" s="101" t="str">
        <x:v>ENCOUNTER_PROFILE</x:v>
      </x:c>
      <x:c r="W43" s="101"/>
      <x:c r="X43" s="101" t="str">
        <x:v>EDITORIAL_REVIEW</x:v>
      </x:c>
      <x:c r="Y43" s="101" t="str">
        <x:v>GeoJSON v0.8 spiegelt Quest-, Orts-, Encounter-, Timer- und Navigationsreferenzen; sichere Event-/Upload-Geofences bleiben zu prüfen.</x:v>
      </x:c>
      <x:c r="Z43" s="101" t="str">
        <x:v>Reward- und Itemwerte verbindlich in GDD v0.16 §28.8; Feld-/Redaktionsstatus separat prüfen.</x:v>
      </x:c>
      <x:c r="AA43" s="168" t="str">
        <x:v>Historisches Chiaroscuro, mobile-RPG-Questillustration für B-D1-01 „Il Cannoniere del Gianicolo“ (WORLD_BOSS). Szene: Globaler E-Boss auf dem Gianicolo. Alle Teams kämpfen in derselben Weltinstanz; Mechaniken prüfen Deckung, Teamkoordination und rechtzeitige Reaktion. Schauplatz/Ortsfolge: Terrazza del Gianicolo. Klare Teamlesbarkeit, römische Materialien, gerichtetes warmes Licht, tiefe Schatten, reduzierte aber erkennbare Architektur, freie Zone für UI-Overlay, keine Schrift, kein Logo, keine modernen Gegenstände.</x:v>
      </x:c>
      <x:c r="AB43" s="168" t="str">
        <x:v>EDITORIAL_REVIEW</x:v>
      </x:c>
    </x:row>
    <x:row r="44" ht="79.19999694824219" hidden="0" customHeight="1">
      <x:c r="A44" s="104" t="str">
        <x:v>B-D2-01</x:v>
      </x:c>
      <x:c r="B44" s="104" t="str">
        <x:v>WORLD_BOSS</x:v>
      </x:c>
      <x:c r="C44" s="104" t="str">
        <x:v>DAY_2</x:v>
      </x:c>
      <x:c r="D44" s="104" t="str">
        <x:v>Custode della Neve</x:v>
      </x:c>
      <x:c r="E44" s="104" t="str">
        <x:v>npc_custode_neve</x:v>
      </x:c>
      <x:c r="F44" s="104" t="str">
        <x:v>Custode della Neve</x:v>
      </x:c>
      <x:c r="G44" s="104" t="str">
        <x:v>Globaler L-Boss vor Santa Maria Maggiore. Die Schneegeschichte ist ausdrücklich Legendenrahmung. Questboni aus dem Esquilino schwächen Erinnerungseis und eröffnen Teamfenster.</x:v>
      </x:c>
      <x:c r="H44" s="104" t="str">
        <x:v>Sonderablauf gemäß Questablauf</x:v>
      </x:c>
      <x:c r="I44" s="104" t="str">
        <x:v>Basilika Groß Sankt Marien</x:v>
      </x:c>
      <x:c r="J44" s="104" t="str">
        <x:v>place_day_2_basilica_di_santa_maria_maggiore</x:v>
      </x:c>
      <x:c r="K44" s="104" t="str">
        <x:v>START / ERSTER HINWEIS: Monumentale Fassade mit zentraler oberer Loggia und Marienbezug; großer öffentlicher Platz davor.</x:v>
      </x:c>
      <x:c r="L44" s="104" t="str">
        <x:v>https://www.turismoroma.it/en/places/piazza-di-santa-maria-maggiore</x:v>
      </x:c>
      <x:c r="M44" s="106" t="n">
        <x:v>0</x:v>
      </x:c>
      <x:c r="N44" s="106" t="n">
        <x:v>0</x:v>
      </x:c>
      <x:c r="O44" s="106" t="str">
        <x:v>EVENT_NO_SLOT</x:v>
      </x:c>
      <x:c r="P44" s="106" t="str">
        <x:v>eventActive|bossJoinRadius</x:v>
      </x:c>
      <x:c r="Q44" s="106" t="str">
        <x:v>Beitragsschwelle und Eventabschluss</x:v>
      </x:c>
      <x:c r="R44" s="106" t="str">
        <x:v>Sehr hohe Besucherzahl; sichere Bossfläche muss remote aktuell geprüft werden. | Inhaltlich stark, operativ riskanter als Gianicolo.</x:v>
      </x:c>
      <x:c r="S44" s="108" t="n">
        <x:v>0</x:v>
      </x:c>
      <x:c r="T44" s="108" t="n">
        <x:v>0</x:v>
      </x:c>
      <x:c r="U44" s="104" t="str">
        <x:v>LOOT_ROLL:QUEST_STANDARD (team inventory; rarity band by duration)</x:v>
      </x:c>
      <x:c r="V44" s="104" t="str">
        <x:v>ENCOUNTER_PROFILE</x:v>
      </x:c>
      <x:c r="W44" s="104"/>
      <x:c r="X44" s="104" t="str">
        <x:v>FIELD_CHECK_REQUIRED</x:v>
      </x:c>
      <x:c r="Y44" s="104" t="str">
        <x:v>GeoJSON v0.8 spiegelt Quest-, Orts-, Encounter-, Timer- und Navigationsreferenzen; sichere Event-/Upload-Geofences bleiben zu prüfen.</x:v>
      </x:c>
      <x:c r="Z44" s="104" t="str">
        <x:v>Reward- und Itemwerte verbindlich in GDD v0.16 §28.8; Feld-/Redaktionsstatus separat prüfen.</x:v>
      </x:c>
      <x:c r="AA44" s="168" t="str">
        <x:v>Historisches Chiaroscuro, mobile-RPG-Questillustration für B-D2-01 „Custode della Neve“ (WORLD_BOSS). Szene: Globaler L-Boss vor Santa Maria Maggiore. Die Schneegeschichte ist ausdrücklich Legendenrahmung. Questboni aus dem Esquilino schwächen Erinnerungseis und eröffnen Teamfenster. Schauplatz/Ortsfolge: Basilika Groß Sankt Marien. Klare Teamlesbarkeit, römische Materialien, gerichtetes warmes Licht, tiefe Schatten, reduzierte aber erkennbare Architektur, freie Zone für UI-Overlay, keine Schrift, kein Logo, keine modernen Gegenstände.</x:v>
      </x:c>
      <x:c r="AB44" s="168" t="str">
        <x:v>FIELD_CHECK_REQUIRED</x:v>
      </x:c>
    </x:row>
  </x:sheetData>
  <x:mergeCells>
    <x:mergeCell ref="A1:Z1"/>
    <x:mergeCell ref="A2:Z2"/>
  </x:mergeCells>
  <x:conditionalFormatting sqref="X5:X44">
    <x:cfRule type="containsText" dxfId="24" priority="1" operator="containsText" text="FIELD_CHECK"/>
    <x:cfRule type="containsText" dxfId="25" priority="2" operator="containsText" text="EDITORIAL"/>
  </x:conditionalFormatting>
  <x:pageMargins left="0.7" right="0.7" top="0.75" bottom="0.75" header="0.3" footer="0.3"/>
  <x:tableParts count="1">
    <x:tablePart xmlns:r="http://schemas.openxmlformats.org/officeDocument/2006/relationships" r:id="Red5520ac42ed416e"/>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4" hidden="0" customWidth="1"/>
    <x:col min="2" max="2" width="19" hidden="0" customWidth="1"/>
    <x:col min="3" max="3" width="7" hidden="0" customWidth="1"/>
    <x:col min="4" max="4" width="20" hidden="0" customWidth="1"/>
    <x:col min="5" max="5" width="27" hidden="0" customWidth="1"/>
    <x:col min="6" max="6" width="18" hidden="0" customWidth="1"/>
    <x:col min="7" max="7" width="25" hidden="0" customWidth="1"/>
    <x:col min="8" max="8" width="19" hidden="0" customWidth="1"/>
    <x:col min="9" max="9" width="40" hidden="0" customWidth="1"/>
    <x:col min="10" max="10" width="27" hidden="0" customWidth="1"/>
    <x:col min="11" max="11" width="58" hidden="0" customWidth="1"/>
    <x:col min="12" max="12" width="48" hidden="0" customWidth="1"/>
    <x:col min="13" max="13" width="30" hidden="0" customWidth="1"/>
    <x:col min="14" max="14" width="48" hidden="0" customWidth="1"/>
    <x:col min="15" max="15" width="11" hidden="0" customWidth="1"/>
    <x:col min="16" max="16" width="30" hidden="0" customWidth="1"/>
    <x:col min="17" max="17" width="25" hidden="0" customWidth="1"/>
    <x:col min="18" max="18" width="28" hidden="0" customWidth="1"/>
    <x:col min="19" max="19" width="52" hidden="0" customWidth="1"/>
  </x:cols>
  <x:sheetData>
    <x:row r="1" ht="28" customHeight="1">
      <x:c r="A1" s="91" t="str">
        <x:v>Via Romae – vollständige Questabläufe v0.8</x:v>
      </x:c>
      <x:c r="B1" s="91"/>
      <x:c r="C1" s="91"/>
      <x:c r="D1" s="91"/>
      <x:c r="E1" s="91"/>
      <x:c r="F1" s="91"/>
      <x:c r="G1" s="91"/>
      <x:c r="H1" s="91"/>
      <x:c r="I1" s="91"/>
      <x:c r="J1" s="91"/>
      <x:c r="K1" s="91"/>
      <x:c r="L1" s="91"/>
      <x:c r="M1" s="91"/>
      <x:c r="N1" s="91"/>
      <x:c r="O1" s="91"/>
      <x:c r="P1" s="91"/>
      <x:c r="Q1" s="91"/>
      <x:c r="R1" s="91"/>
      <x:c r="S1" s="91"/>
    </x:row>
    <x:row r="2" ht="38" customHeight="1">
      <x:c r="A2" s="95" t="str">
        <x:v>Sequenzielle, serverautoritativ auswertbare Schritte für alle 40 Quests. Flow-Phase und Step-Action-Type sind Authoring-Hilfen; GDD-Objective-Type bildet auf den verbindlichen Katalog ab.</x:v>
      </x:c>
      <x:c r="B2" s="95"/>
      <x:c r="C2" s="95"/>
      <x:c r="D2" s="95"/>
      <x:c r="E2" s="95"/>
      <x:c r="F2" s="95"/>
      <x:c r="G2" s="95"/>
      <x:c r="H2" s="95"/>
      <x:c r="I2" s="95"/>
      <x:c r="J2" s="95"/>
      <x:c r="K2" s="95"/>
      <x:c r="L2" s="95"/>
      <x:c r="M2" s="95"/>
      <x:c r="N2" s="95"/>
      <x:c r="O2" s="95"/>
      <x:c r="P2" s="95"/>
      <x:c r="Q2" s="95"/>
      <x:c r="R2" s="95"/>
      <x:c r="S2" s="95"/>
    </x:row>
    <x:row r="3">
      <x:c r="A3" s="52"/>
      <x:c r="B3" s="52"/>
      <x:c r="C3" s="52"/>
      <x:c r="D3" s="52"/>
      <x:c r="E3" s="52"/>
      <x:c r="F3" s="52"/>
      <x:c r="G3" s="52"/>
      <x:c r="H3" s="52"/>
      <x:c r="I3" s="52"/>
      <x:c r="J3" s="52"/>
      <x:c r="K3" s="52"/>
      <x:c r="L3" s="52"/>
      <x:c r="M3" s="52"/>
      <x:c r="N3" s="52"/>
      <x:c r="O3" s="52"/>
      <x:c r="P3" s="52"/>
      <x:c r="Q3" s="52"/>
      <x:c r="R3" s="52"/>
      <x:c r="S3" s="52"/>
    </x:row>
    <x:row r="4" ht="42" customHeight="1">
      <x:c r="A4" s="98" t="str">
        <x:v>Quest-ID</x:v>
      </x:c>
      <x:c r="B4" s="98" t="str">
        <x:v>Step-ID</x:v>
      </x:c>
      <x:c r="C4" s="98" t="str">
        <x:v>Seq</x:v>
      </x:c>
      <x:c r="D4" s="98" t="str">
        <x:v>Flow-Phase</x:v>
      </x:c>
      <x:c r="E4" s="98" t="str">
        <x:v>Step-Action-Type</x:v>
      </x:c>
      <x:c r="F4" s="98" t="str">
        <x:v>Step-Kategorie</x:v>
      </x:c>
      <x:c r="G4" s="98" t="str">
        <x:v>GDD-Objective-Type</x:v>
      </x:c>
      <x:c r="H4" s="98" t="str">
        <x:v>Actor-Scope</x:v>
      </x:c>
      <x:c r="I4" s="98" t="str">
        <x:v>Location-/Kandidaten-ID</x:v>
      </x:c>
      <x:c r="J4" s="98" t="str">
        <x:v>Target-Ref</x:v>
      </x:c>
      <x:c r="K4" s="98" t="str">
        <x:v>Spieleranweisung</x:v>
      </x:c>
      <x:c r="L4" s="98" t="str">
        <x:v>Server-Erfolgsbedingung</x:v>
      </x:c>
      <x:c r="M4" s="98" t="str">
        <x:v>Bei Erfolg</x:v>
      </x:c>
      <x:c r="N4" s="98" t="str">
        <x:v>Bei Fehler / Timeout</x:v>
      </x:c>
      <x:c r="O4" s="98" t="str">
        <x:v>Pflicht</x:v>
      </x:c>
      <x:c r="P4" s="98" t="str">
        <x:v>Unlock-Bedingung</x:v>
      </x:c>
      <x:c r="Q4" s="98" t="str">
        <x:v>UI-Komponente</x:v>
      </x:c>
      <x:c r="R4" s="98" t="str">
        <x:v>Analytics-Event</x:v>
      </x:c>
      <x:c r="S4" s="98" t="str">
        <x:v>Implementierungshinweis</x:v>
      </x:c>
    </x:row>
    <x:row r="5" ht="74" customHeight="1">
      <x:c r="A5" s="101" t="str">
        <x:v>D1-Q01</x:v>
      </x:c>
      <x:c r="B5" s="101" t="str">
        <x:v>D1-Q01-S01</x:v>
      </x:c>
      <x:c r="C5" s="109" t="n">
        <x:v>1</x:v>
      </x:c>
      <x:c r="D5" s="101" t="str">
        <x:v>DISCOVER</x:v>
      </x:c>
      <x:c r="E5" s="101" t="str">
        <x:v>DISCOVER_NPC</x:v>
      </x:c>
      <x:c r="F5" s="101" t="str">
        <x:v>FLOW_ACTION</x:v>
      </x:c>
      <x:c r="G5" s="101" t="str"/>
      <x:c r="H5" s="101" t="str">
        <x:v>TEAM</x:v>
      </x:c>
      <x:c r="I5" s="101" t="str">
        <x:v>place_day_1_piazza_san_pietro</x:v>
      </x:c>
      <x:c r="J5" s="101" t="str">
        <x:v>npc_konrad_schildwacht</x:v>
      </x:c>
      <x:c r="K5" s="101" t="str">
        <x:v>Entdeckt Konrad von der letzten Schildwacht ab 55 m; Interaktion wird bei stabilem 15-m-Fix verfügbar.</x:v>
      </x:c>
      <x:c r="L5" s="101" t="str">
        <x:v>npcDiscovered &amp;&amp; interactionGateOpen</x:v>
      </x:c>
      <x:c r="M5" s="101" t="str">
        <x:v>state=DIALOGUE</x:v>
      </x:c>
      <x:c r="N5" s="101" t="str">
        <x:v>UI bleibt auf Karte; GPS-Hinweis anzeigen.</x:v>
      </x:c>
      <x:c r="O5" s="101" t="str">
        <x:v>REQUIRED</x:v>
      </x:c>
      <x:c r="P5" s="101" t="str"/>
      <x:c r="Q5" s="101" t="str">
        <x:v>MAP_OBJECT_SHEET</x:v>
      </x:c>
      <x:c r="R5" s="101" t="str">
        <x:v>quest.discovered</x:v>
      </x:c>
      <x:c r="S5" s="101" t="str">
        <x:v>15-m-Enter/25-m-Exit-Hysterese; serverautoritativ.</x:v>
      </x:c>
    </x:row>
    <x:row r="6" ht="74" customHeight="1">
      <x:c r="A6" s="104" t="str">
        <x:v>D1-Q01</x:v>
      </x:c>
      <x:c r="B6" s="104" t="str">
        <x:v>D1-Q01-S02</x:v>
      </x:c>
      <x:c r="C6" s="110" t="n">
        <x:v>2</x:v>
      </x:c>
      <x:c r="D6" s="104" t="str">
        <x:v>DIALOGUE</x:v>
      </x:c>
      <x:c r="E6" s="104" t="str">
        <x:v>TALK_TO_NPC</x:v>
      </x:c>
      <x:c r="F6" s="104" t="str">
        <x:v>OBJECTIVE</x:v>
      </x:c>
      <x:c r="G6" s="104" t="str">
        <x:v>COMPLETE_DIALOGUE</x:v>
      </x:c>
      <x:c r="H6" s="104" t="str">
        <x:v>TEAM</x:v>
      </x:c>
      <x:c r="I6" s="104" t="str">
        <x:v>place_day_1_piazza_san_pietro</x:v>
      </x:c>
      <x:c r="J6" s="104" t="str">
        <x:v>D1-Q01-OFFER</x:v>
      </x:c>
      <x:c r="K6" s="104" t="str">
        <x:v>Questangebot und erste Dialogoption anzeigen.</x:v>
      </x:c>
      <x:c r="L6" s="104" t="str">
        <x:v>dialogSequenceComplete('D1-Q01-OFFER')</x:v>
      </x:c>
      <x:c r="M6" s="104" t="str">
        <x:v>state=ACCEPT</x:v>
      </x:c>
      <x:c r="N6" s="104" t="str">
        <x:v>Dialog kann erneut geöffnet werden.</x:v>
      </x:c>
      <x:c r="O6" s="104" t="str">
        <x:v>REQUIRED</x:v>
      </x:c>
      <x:c r="P6" s="104" t="str"/>
      <x:c r="Q6" s="104" t="str">
        <x:v>DIALOGUE</x:v>
      </x:c>
      <x:c r="R6" s="104" t="str">
        <x:v>quest.dialogue.offer</x:v>
      </x:c>
      <x:c r="S6" s="104" t="str">
        <x:v>Teamentscheidung wird einmal serverseitig gespeichert.</x:v>
      </x:c>
    </x:row>
    <x:row r="7" ht="74" customHeight="1">
      <x:c r="A7" s="101" t="str">
        <x:v>D1-Q01</x:v>
      </x:c>
      <x:c r="B7" s="101" t="str">
        <x:v>D1-Q01-S03</x:v>
      </x:c>
      <x:c r="C7" s="109" t="n">
        <x:v>3</x:v>
      </x:c>
      <x:c r="D7" s="101" t="str">
        <x:v>ACCEPT</x:v>
      </x:c>
      <x:c r="E7" s="101" t="str">
        <x:v>ACCEPT_QUEST</x:v>
      </x:c>
      <x:c r="F7" s="101" t="str">
        <x:v>FLOW_ACTION</x:v>
      </x:c>
      <x:c r="G7" s="101" t="str"/>
      <x:c r="H7" s="101" t="str">
        <x:v>TEAM</x:v>
      </x:c>
      <x:c r="I7" s="101" t="str">
        <x:v>place_day_1_piazza_san_pietro</x:v>
      </x:c>
      <x:c r="J7" s="101" t="str">
        <x:v>D1-Q01</x:v>
      </x:c>
      <x:c r="K7" s="101" t="str">
        <x:v>Quest annehmen; Etappen-Timer 60 s, Startbedingung und Ablaufwirkung vor Bestätigung anzeigen.</x:v>
      </x:c>
      <x:c r="L7" s="101" t="str">
        <x:v>teamVoteResolved &amp;&amp; questSlotReserved</x:v>
      </x:c>
      <x:c r="M7" s="101" t="str">
        <x:v>state=OBJECTIVE</x:v>
      </x:c>
      <x:c r="N7" s="101" t="str">
        <x:v>Annahme abbrechbar; kein Slotverbrauch.</x:v>
      </x:c>
      <x:c r="O7" s="101" t="str">
        <x:v>REQUIRED</x:v>
      </x:c>
      <x:c r="P7" s="101" t="str"/>
      <x:c r="Q7" s="101" t="str">
        <x:v>QUEST_ACCEPT</x:v>
      </x:c>
      <x:c r="R7" s="101" t="str">
        <x:v>quest.accepted</x:v>
      </x:c>
      <x:c r="S7" s="101" t="str">
        <x:v>timerRef=TMR-D1-Q01-S12; Timer startet nicht bei Annahme, sondern gemäß Timer.StartsWhen.</x:v>
      </x:c>
    </x:row>
    <x:row r="8" ht="74" customHeight="1">
      <x:c r="A8" s="104" t="str">
        <x:v>D1-Q01</x:v>
      </x:c>
      <x:c r="B8" s="104" t="str">
        <x:v>D1-Q01-S04</x:v>
      </x:c>
      <x:c r="C8" s="110" t="n">
        <x:v>4</x:v>
      </x:c>
      <x:c r="D8" s="104" t="str">
        <x:v>OBJECTIVE</x:v>
      </x:c>
      <x:c r="E8" s="104" t="str">
        <x:v>ANSWER_QUESTION</x:v>
      </x:c>
      <x:c r="F8" s="104" t="str">
        <x:v>OBJECTIVE</x:v>
      </x:c>
      <x:c r="G8" s="104" t="str">
        <x:v>SUBMIT_ANSWER</x:v>
      </x:c>
      <x:c r="H8" s="104" t="str">
        <x:v>TEAM</x:v>
      </x:c>
      <x:c r="I8" s="104" t="str">
        <x:v>place_day_1_piazza_san_pietro</x:v>
      </x:c>
      <x:c r="J8" s="104" t="str">
        <x:v>OBS-D1-Q01-1</x:v>
      </x:c>
      <x:c r="K8" s="104" t="str">
        <x:v>Die optische Achse der Kolonnade prüfen und das sichere Sammelzeichen bestätigen. Frage: Stellt euch auf eine der runden Marmorplatten auf der Querachse des Obelisken und blickt zur Kolonnade. Wie viele Säulenreihen scheinen übrig zu bleiben?</x:v>
      </x:c>
      <x:c r="L8" s="104" t="str">
        <x:v>normalizedAnswer matches 'Eine'</x:v>
      </x:c>
      <x:c r="M8" s="104" t="str">
        <x:v>stationComplete=true</x:v>
      </x:c>
      <x:c r="N8" s="104" t="str">
        <x:v>Hint 1 → Hint 2 → Fallback; Grundabschluss bleibt möglich.</x:v>
      </x:c>
      <x:c r="O8" s="104" t="str">
        <x:v>REQUIRED</x:v>
      </x:c>
      <x:c r="P8" s="104" t="str">
        <x:v>stationActive</x:v>
      </x:c>
      <x:c r="Q8" s="104" t="str">
        <x:v>OBSERVATION_INPUT</x:v>
      </x:c>
      <x:c r="R8" s="104" t="str">
        <x:v>quest.observation.answered</x:v>
      </x:c>
      <x:c r="S8" s="104" t="str">
        <x:v>Evidence: Runde Marmor-Brennpunktmarkierung im Pflaster zwischen Obelisk und Kolonnade; danach Blick auf die großen Säulen. | Ampel: GELB</x:v>
      </x:c>
    </x:row>
    <x:row r="9" ht="74" customHeight="1">
      <x:c r="A9" s="101" t="str">
        <x:v>D1-Q01</x:v>
      </x:c>
      <x:c r="B9" s="101" t="str">
        <x:v>D1-Q01-S05</x:v>
      </x:c>
      <x:c r="C9" s="109" t="n">
        <x:v>5</x:v>
      </x:c>
      <x:c r="D9" s="101" t="str">
        <x:v>OBJECTIVE</x:v>
      </x:c>
      <x:c r="E9" s="101" t="str">
        <x:v>REACH_LOCATION</x:v>
      </x:c>
      <x:c r="F9" s="101" t="str">
        <x:v>OBJECTIVE</x:v>
      </x:c>
      <x:c r="G9" s="101" t="str">
        <x:v>REACH_LOCATION</x:v>
      </x:c>
      <x:c r="H9" s="101" t="str">
        <x:v>TEAM</x:v>
      </x:c>
      <x:c r="I9" s="101" t="str">
        <x:v>place_day_1_passetto_di_borgo</x:v>
      </x:c>
      <x:c r="J9" s="101" t="str">
        <x:v>place_day_1_passetto_di_borgo</x:v>
      </x:c>
      <x:c r="K9" s="101" t="str">
        <x:v>Erreicht Passetto di Borgo.</x:v>
      </x:c>
      <x:c r="L9" s="101" t="str">
        <x:v>teamMembersInRadius &gt;= 2 &amp;&amp; stableFixes &gt;= 2</x:v>
      </x:c>
      <x:c r="M9" s="101" t="str">
        <x:v>stationActive=true</x:v>
      </x:c>
      <x:c r="N9" s="101" t="str">
        <x:v>Hinweisleiter; Ziel bleibt offen.</x:v>
      </x:c>
      <x:c r="O9" s="101" t="str">
        <x:v>REQUIRED</x:v>
      </x:c>
      <x:c r="P9" s="101" t="str">
        <x:v>previousStepComplete</x:v>
      </x:c>
      <x:c r="Q9" s="101" t="str">
        <x:v>MAP_AND_QUEST</x:v>
      </x:c>
      <x:c r="R9" s="101" t="str">
        <x:v>quest.location.reached</x:v>
      </x:c>
      <x:c r="S9" s="101" t="str">
        <x:v>Standard 15-m-Zielradius; keine Innen-/Eintrittspflicht.</x:v>
      </x:c>
    </x:row>
    <x:row r="10" ht="74" customHeight="1">
      <x:c r="A10" s="104" t="str">
        <x:v>D1-Q01</x:v>
      </x:c>
      <x:c r="B10" s="104" t="str">
        <x:v>D1-Q01-S06</x:v>
      </x:c>
      <x:c r="C10" s="110" t="n">
        <x:v>6</x:v>
      </x:c>
      <x:c r="D10" s="104" t="str">
        <x:v>OBJECTIVE</x:v>
      </x:c>
      <x:c r="E10" s="104" t="str">
        <x:v>ANSWER_QUESTION</x:v>
      </x:c>
      <x:c r="F10" s="104" t="str">
        <x:v>OBJECTIVE</x:v>
      </x:c>
      <x:c r="G10" s="104" t="str">
        <x:v>SUBMIT_ANSWER</x:v>
      </x:c>
      <x:c r="H10" s="104" t="str">
        <x:v>TEAM</x:v>
      </x:c>
      <x:c r="I10" s="104" t="str">
        <x:v>place_day_1_passetto_di_borgo</x:v>
      </x:c>
      <x:c r="J10" s="104" t="str">
        <x:v>OBS-D1-Q01-2</x:v>
      </x:c>
      <x:c r="K10" s="104" t="str">
        <x:v>Den geschlossenen Mauerzug des Passetto erkennen und den Code FIDES aus dem Hinweis ableiten. Frage: Wo verläuft der befestigte Verbindungsgang des Passetto?</x:v>
      </x:c>
      <x:c r="L10" s="104" t="str">
        <x:v>normalizedAnswer matches 'Auf der Mauer'</x:v>
      </x:c>
      <x:c r="M10" s="104" t="str">
        <x:v>stationComplete=true</x:v>
      </x:c>
      <x:c r="N10" s="104" t="str">
        <x:v>Hint 1 → Hint 2 → Fallback; Grundabschluss bleibt möglich.</x:v>
      </x:c>
      <x:c r="O10" s="104" t="str">
        <x:v>REQUIRED</x:v>
      </x:c>
      <x:c r="P10" s="104" t="str">
        <x:v>stationActive</x:v>
      </x:c>
      <x:c r="Q10" s="104" t="str">
        <x:v>OBSERVATION_INPUT</x:v>
      </x:c>
      <x:c r="R10" s="104" t="str">
        <x:v>quest.observation.answered</x:v>
      </x:c>
      <x:c r="S10" s="104" t="str">
        <x:v>Evidence: Langer, geschlossener Maueraufbau mit kleinen Öffnungen; vom öffentlichen Straßenraum sichtbar. | Ampel: GRUEN</x:v>
      </x:c>
    </x:row>
    <x:row r="11" ht="74" customHeight="1">
      <x:c r="A11" s="101" t="str">
        <x:v>D1-Q01</x:v>
      </x:c>
      <x:c r="B11" s="101" t="str">
        <x:v>D1-Q01-S07</x:v>
      </x:c>
      <x:c r="C11" s="109" t="n">
        <x:v>7</x:v>
      </x:c>
      <x:c r="D11" s="101" t="str">
        <x:v>OBJECTIVE</x:v>
      </x:c>
      <x:c r="E11" s="101" t="str">
        <x:v>REACH_LOCATION</x:v>
      </x:c>
      <x:c r="F11" s="101" t="str">
        <x:v>OBJECTIVE</x:v>
      </x:c>
      <x:c r="G11" s="101" t="str">
        <x:v>REACH_LOCATION</x:v>
      </x:c>
      <x:c r="H11" s="101" t="str">
        <x:v>TEAM</x:v>
      </x:c>
      <x:c r="I11" s="101" t="str">
        <x:v>place_day_1_castel_sant_angelo</x:v>
      </x:c>
      <x:c r="J11" s="101" t="str">
        <x:v>place_day_1_castel_sant_angelo</x:v>
      </x:c>
      <x:c r="K11" s="101" t="str">
        <x:v>Erreicht Engelsburg.</x:v>
      </x:c>
      <x:c r="L11" s="101" t="str">
        <x:v>teamMembersInRadius &gt;= 2 &amp;&amp; stableFixes &gt;= 2</x:v>
      </x:c>
      <x:c r="M11" s="101" t="str">
        <x:v>stationActive=true</x:v>
      </x:c>
      <x:c r="N11" s="101" t="str">
        <x:v>Hinweisleiter; Ziel bleibt offen.</x:v>
      </x:c>
      <x:c r="O11" s="101" t="str">
        <x:v>REQUIRED</x:v>
      </x:c>
      <x:c r="P11" s="101" t="str">
        <x:v>previousStepComplete</x:v>
      </x:c>
      <x:c r="Q11" s="101" t="str">
        <x:v>MAP_AND_QUEST</x:v>
      </x:c>
      <x:c r="R11" s="101" t="str">
        <x:v>quest.location.reached</x:v>
      </x:c>
      <x:c r="S11" s="101" t="str">
        <x:v>Standard 15-m-Zielradius; keine Innen-/Eintrittspflicht.</x:v>
      </x:c>
    </x:row>
    <x:row r="12" ht="74" customHeight="1">
      <x:c r="A12" s="104" t="str">
        <x:v>D1-Q01</x:v>
      </x:c>
      <x:c r="B12" s="104" t="str">
        <x:v>D1-Q01-S08</x:v>
      </x:c>
      <x:c r="C12" s="110" t="n">
        <x:v>8</x:v>
      </x:c>
      <x:c r="D12" s="104" t="str">
        <x:v>OBJECTIVE</x:v>
      </x:c>
      <x:c r="E12" s="104" t="str">
        <x:v>ANSWER_QUESTION</x:v>
      </x:c>
      <x:c r="F12" s="104" t="str">
        <x:v>OBJECTIVE</x:v>
      </x:c>
      <x:c r="G12" s="104" t="str">
        <x:v>SUBMIT_ANSWER</x:v>
      </x:c>
      <x:c r="H12" s="104" t="str">
        <x:v>TEAM</x:v>
      </x:c>
      <x:c r="I12" s="104" t="str">
        <x:v>place_day_1_castel_sant_angelo</x:v>
      </x:c>
      <x:c r="J12" s="104" t="str">
        <x:v>OBS-D1-Q01-3</x:v>
      </x:c>
      <x:c r="K12" s="104" t="str">
        <x:v>Den Erzengel auf der Engelsburg identifizieren und die Nachhutstrategie festlegen. Frage: Welche geflügelte Figur bekrönt die Engelsburg?</x:v>
      </x:c>
      <x:c r="L12" s="104" t="str">
        <x:v>normalizedAnswer matches 'Der Erzengel Michael'</x:v>
      </x:c>
      <x:c r="M12" s="104" t="str">
        <x:v>stationComplete=true</x:v>
      </x:c>
      <x:c r="N12" s="104" t="str">
        <x:v>Hint 1 → Hint 2 → Fallback; Grundabschluss bleibt möglich.</x:v>
      </x:c>
      <x:c r="O12" s="104" t="str">
        <x:v>REQUIRED</x:v>
      </x:c>
      <x:c r="P12" s="104" t="str">
        <x:v>stationActive</x:v>
      </x:c>
      <x:c r="Q12" s="104" t="str">
        <x:v>OBSERVATION_INPUT</x:v>
      </x:c>
      <x:c r="R12" s="104" t="str">
        <x:v>quest.observation.answered</x:v>
      </x:c>
      <x:c r="S12" s="104" t="str">
        <x:v>Evidence: Große geflügelte Bronzefigur auf dem höchsten Punkt, vom öffentlichen Vorplatz sichtbar. | Ampel: GRUEN</x:v>
      </x:c>
    </x:row>
    <x:row r="13" ht="74" customHeight="1">
      <x:c r="A13" s="101" t="str">
        <x:v>D1-Q01</x:v>
      </x:c>
      <x:c r="B13" s="101" t="str">
        <x:v>D1-Q01-S09</x:v>
      </x:c>
      <x:c r="C13" s="109" t="n">
        <x:v>9</x:v>
      </x:c>
      <x:c r="D13" s="101" t="str">
        <x:v>OBJECTIVE</x:v>
      </x:c>
      <x:c r="E13" s="101" t="str">
        <x:v>SOLVE_PUZZLE</x:v>
      </x:c>
      <x:c r="F13" s="101" t="str">
        <x:v>OBJECTIVE</x:v>
      </x:c>
      <x:c r="G13" s="101" t="str">
        <x:v>SUBMIT_ANSWER</x:v>
      </x:c>
      <x:c r="H13" s="101" t="str">
        <x:v>TEAM</x:v>
      </x:c>
      <x:c r="I13" s="101" t="str">
        <x:v>place_day_1_castel_sant_angelo</x:v>
      </x:c>
      <x:c r="J13" s="101" t="str">
        <x:v>PZ-D1-Q01</x:v>
      </x:c>
      <x:c r="K13" s="101" t="str">
        <x:v>Der Gang schützt nur jene, die Treue nicht mit Lautstärke verwechseln. Gebt das lateinische Losungswort für Treue ein.</x:v>
      </x:c>
      <x:c r="L13" s="101" t="str">
        <x:v>puzzleResult == CORRECT</x:v>
      </x:c>
      <x:c r="M13" s="101" t="str">
        <x:v>synthesisComplete=true</x:v>
      </x:c>
      <x:c r="N13" s="101" t="str">
        <x:v>Auswahl: FIDES | GLORIA | PECUNIA</x:v>
      </x:c>
      <x:c r="O13" s="101" t="str">
        <x:v>REQUIRED</x:v>
      </x:c>
      <x:c r="P13" s="101" t="str">
        <x:v>allRequiredStationsComplete</x:v>
      </x:c>
      <x:c r="Q13" s="101" t="str">
        <x:v>PUZZLE</x:v>
      </x:c>
      <x:c r="R13" s="101" t="str">
        <x:v>quest.puzzle.solved</x:v>
      </x:c>
      <x:c r="S13" s="101" t="str">
        <x:v>Penalty: Bonus -10 %</x:v>
      </x:c>
    </x:row>
    <x:row r="14" ht="74" customHeight="1">
      <x:c r="A14" s="104" t="str">
        <x:v>D1-Q01</x:v>
      </x:c>
      <x:c r="B14" s="104" t="str">
        <x:v>D1-Q01-S10</x:v>
      </x:c>
      <x:c r="C14" s="110" t="n">
        <x:v>10</x:v>
      </x:c>
      <x:c r="D14" s="104" t="str">
        <x:v>BONUS_OBJECTIVE</x:v>
      </x:c>
      <x:c r="E14" s="104" t="str">
        <x:v>CLASS_ACTION</x:v>
      </x:c>
      <x:c r="F14" s="104" t="str">
        <x:v>OBJECTIVE</x:v>
      </x:c>
      <x:c r="G14" s="104" t="str">
        <x:v>SUBMIT_ANSWER</x:v>
      </x:c>
      <x:c r="H14" s="104" t="str">
        <x:v>ELIGIBLE_MEMBER</x:v>
      </x:c>
      <x:c r="I14" s="104" t="str">
        <x:v>place_day_1_castel_sant_angelo</x:v>
      </x:c>
      <x:c r="J14" s="104" t="str">
        <x:v>SWISS_GUARD</x:v>
      </x:c>
      <x:c r="K14" s="104" t="str">
        <x:v>Optionale Klassenaktion für SWISS_GUARD; ohne Klasse steht eine Standardalternative bereit.</x:v>
      </x:c>
      <x:c r="L14" s="104" t="str">
        <x:v>classActionComplete || fallbackActionComplete</x:v>
      </x:c>
      <x:c r="M14" s="104" t="str">
        <x:v>classBonus=true</x:v>
      </x:c>
      <x:c r="N14" s="104" t="str">
        <x:v>Quest bleibt lösbar; Bonus entfällt.</x:v>
      </x:c>
      <x:c r="O14" s="104" t="str">
        <x:v>OPTIONAL</x:v>
      </x:c>
      <x:c r="P14" s="104" t="str">
        <x:v>synthesisComplete</x:v>
      </x:c>
      <x:c r="Q14" s="104" t="str">
        <x:v>CLASS_ACTION</x:v>
      </x:c>
      <x:c r="R14" s="104" t="str">
        <x:v>quest.class_action</x:v>
      </x:c>
      <x:c r="S14" s="104" t="str">
        <x:v>Keine Klasse darf die Hauptquest blockieren.</x:v>
      </x:c>
    </x:row>
    <x:row r="15" ht="74" customHeight="1">
      <x:c r="A15" s="101" t="str">
        <x:v>D1-Q01</x:v>
      </x:c>
      <x:c r="B15" s="101" t="str">
        <x:v>D1-Q01-S11</x:v>
      </x:c>
      <x:c r="C15" s="109" t="n">
        <x:v>11</x:v>
      </x:c>
      <x:c r="D15" s="101" t="str">
        <x:v>OBJECTIVE</x:v>
      </x:c>
      <x:c r="E15" s="101" t="str">
        <x:v>USE_ITEM</x:v>
      </x:c>
      <x:c r="F15" s="101" t="str">
        <x:v>OBJECTIVE</x:v>
      </x:c>
      <x:c r="G15" s="101" t="str">
        <x:v>DELIVER_ITEM</x:v>
      </x:c>
      <x:c r="H15" s="101" t="str">
        <x:v>TEAM</x:v>
      </x:c>
      <x:c r="I15" s="101" t="str">
        <x:v>place_day_1_castel_sant_angelo</x:v>
      </x:c>
      <x:c r="J15" s="101" t="str">
        <x:v>qi_sigillum_guardiae</x:v>
      </x:c>
      <x:c r="K15" s="101" t="str">
        <x:v>Siegel der Schildwacht einsetzen: Am Abschluss einsetzen, um den gewählten Fluchtweg zu versiegeln.</x:v>
      </x:c>
      <x:c r="L15" s="101" t="str">
        <x:v>teamInventory consumed('qi_sigillum_guardiae')</x:v>
      </x:c>
      <x:c r="M15" s="101" t="str">
        <x:v>itemEffectApplied=true</x:v>
      </x:c>
      <x:c r="N15" s="101" t="str">
        <x:v>Item wird bei technischem Fehler atomar zurückgebucht.</x:v>
      </x:c>
      <x:c r="O15" s="101" t="str">
        <x:v>REQUIRED</x:v>
      </x:c>
      <x:c r="P15" s="101" t="str">
        <x:v>synthesisComplete</x:v>
      </x:c>
      <x:c r="Q15" s="101" t="str">
        <x:v>INVENTORY_ACTION</x:v>
      </x:c>
      <x:c r="R15" s="101" t="str">
        <x:v>quest.item.used</x:v>
      </x:c>
      <x:c r="S15" s="101" t="str">
        <x:v>Questitem nicht handelbar und nicht verlierbar.</x:v>
      </x:c>
    </x:row>
    <x:row r="16" ht="74" customHeight="1">
      <x:c r="A16" s="104" t="str">
        <x:v>D1-Q01</x:v>
      </x:c>
      <x:c r="B16" s="104" t="str">
        <x:v>D1-Q01-S12</x:v>
      </x:c>
      <x:c r="C16" s="110" t="n">
        <x:v>12</x:v>
      </x:c>
      <x:c r="D16" s="104" t="str">
        <x:v>OBJECTIVE</x:v>
      </x:c>
      <x:c r="E16" s="104" t="str">
        <x:v>TEAM_DECISION</x:v>
      </x:c>
      <x:c r="F16" s="104" t="str">
        <x:v>OBJECTIVE</x:v>
      </x:c>
      <x:c r="G16" s="104" t="str">
        <x:v>COMPLETE_DIALOGUE</x:v>
      </x:c>
      <x:c r="H16" s="104" t="str">
        <x:v>TEAM</x:v>
      </x:c>
      <x:c r="I16" s="104" t="str">
        <x:v>place_day_1_castel_sant_angelo</x:v>
      </x:c>
      <x:c r="J16" s="104" t="str">
        <x:v>D1-Q01-COMPLETE</x:v>
      </x:c>
      <x:c r="K16" s="104" t="str">
        <x:v>Startet den 60-Sekunden-Nachhutbeschluss und stimmt über NACHHUT_HALTEN|IRRWEG_LEGEN|SCHATTEN_STELLEN ab.</x:v>
      </x:c>
      <x:c r="L16" s="104" t="str">
        <x:v>teamVoteResolved || timerState('TMR-D1-Q01-S12') == EXPIRED</x:v>
      </x:c>
      <x:c r="M16" s="104" t="str">
        <x:v>rewardVariantLocked=true; timerOutcomeApplied=true</x:v>
      </x:c>
      <x:c r="N16" s="104" t="str">
        <x:v>Nach 60 s wird NACHHUT_HALTEN gewählt; der Timerbonus entfällt, die Quest bleibt lösbar.</x:v>
      </x:c>
      <x:c r="O16" s="104" t="str">
        <x:v>REQUIRED</x:v>
      </x:c>
      <x:c r="P16" s="104" t="str">
        <x:v>synthesisComplete</x:v>
      </x:c>
      <x:c r="Q16" s="104" t="str">
        <x:v>DIALOGUE_VOTE</x:v>
      </x:c>
      <x:c r="R16" s="104" t="str">
        <x:v>quest.decision</x:v>
      </x:c>
      <x:c r="S16" s="104" t="str">
        <x:v>timerRef=TMR-D1-Q01-S12; START_TIMER aus Dialog; kein Bewegungsziel.</x:v>
      </x:c>
    </x:row>
    <x:row r="17" ht="74" customHeight="1">
      <x:c r="A17" s="101" t="str">
        <x:v>D1-Q01</x:v>
      </x:c>
      <x:c r="B17" s="101" t="str">
        <x:v>D1-Q01-S13</x:v>
      </x:c>
      <x:c r="C17" s="109" t="n">
        <x:v>13</x:v>
      </x:c>
      <x:c r="D17" s="101" t="str">
        <x:v>BONUS_OBJECTIVE</x:v>
      </x:c>
      <x:c r="E17" s="101" t="str">
        <x:v>DEFEAT_ENEMY</x:v>
      </x:c>
      <x:c r="F17" s="101" t="str">
        <x:v>OBJECTIVE</x:v>
      </x:c>
      <x:c r="G17" s="101" t="str">
        <x:v>COMPLETE_ENCOUNTER</x:v>
      </x:c>
      <x:c r="H17" s="101" t="str">
        <x:v>TEAM</x:v>
      </x:c>
      <x:c r="I17" s="101" t="str">
        <x:v>place_day_1_castel_sant_angelo</x:v>
      </x:c>
      <x:c r="J17" s="101" t="str">
        <x:v>CP-QE-PASSETTO</x:v>
      </x:c>
      <x:c r="K17" s="101" t="str">
        <x:v>Schatten des Passetto bekämpfen.</x:v>
      </x:c>
      <x:c r="L17" s="101" t="str">
        <x:v>combatState == WON</x:v>
      </x:c>
      <x:c r="M17" s="101" t="str">
        <x:v>encounterComplete=true</x:v>
      </x:c>
      <x:c r="N17" s="101" t="str">
        <x:v>Optionaler Zweig endet ohne Grundbelohnungsverlust.</x:v>
      </x:c>
      <x:c r="O17" s="101" t="str">
        <x:v>OPTIONAL</x:v>
      </x:c>
      <x:c r="P17" s="101" t="str">
        <x:v>branchSelected</x:v>
      </x:c>
      <x:c r="Q17" s="101" t="str">
        <x:v>COMBAT</x:v>
      </x:c>
      <x:c r="R17" s="101" t="str">
        <x:v>quest.combat.completed</x:v>
      </x:c>
      <x:c r="S17" s="101" t="str">
        <x:v>QUEST_ENEMY ist teambezogen; kein normaler Respawn.</x:v>
      </x:c>
    </x:row>
    <x:row r="18" ht="74" customHeight="1">
      <x:c r="A18" s="104" t="str">
        <x:v>D1-Q01</x:v>
      </x:c>
      <x:c r="B18" s="104" t="str">
        <x:v>D1-Q01-S14</x:v>
      </x:c>
      <x:c r="C18" s="110" t="n">
        <x:v>14</x:v>
      </x:c>
      <x:c r="D18" s="104" t="str">
        <x:v>COMPLETE</x:v>
      </x:c>
      <x:c r="E18" s="104" t="str">
        <x:v>TALK_TO_NPC</x:v>
      </x:c>
      <x:c r="F18" s="104" t="str">
        <x:v>OBJECTIVE</x:v>
      </x:c>
      <x:c r="G18" s="104" t="str">
        <x:v>COMPLETE_DIALOGUE</x:v>
      </x:c>
      <x:c r="H18" s="104" t="str">
        <x:v>TEAM</x:v>
      </x:c>
      <x:c r="I18" s="104" t="str">
        <x:v>place_day_1_castel_sant_angelo</x:v>
      </x:c>
      <x:c r="J18" s="104" t="str">
        <x:v>D1-Q01-COMPLETE</x:v>
      </x:c>
      <x:c r="K18" s="104" t="str">
        <x:v>Abschlussdialog und Konsequenz anzeigen.</x:v>
      </x:c>
      <x:c r="L18" s="104" t="str">
        <x:v>dialogSequenceComplete('D1-Q01-COMPLETE')</x:v>
      </x:c>
      <x:c r="M18" s="104" t="str">
        <x:v>state=REWARD</x:v>
      </x:c>
      <x:c r="N18" s="104" t="str">
        <x:v>Dialog erneut öffnen.</x:v>
      </x:c>
      <x:c r="O18" s="104" t="str">
        <x:v>REQUIRED</x:v>
      </x:c>
      <x:c r="P18" s="104" t="str">
        <x:v>allRequiredObjectivesComplete</x:v>
      </x:c>
      <x:c r="Q18" s="104" t="str">
        <x:v>DIALOGUE</x:v>
      </x:c>
      <x:c r="R18" s="104" t="str">
        <x:v>quest.completed</x:v>
      </x:c>
      <x:c r="S18" s="104" t="str">
        <x:v>Abschluss erst serverseitig nach allen Pflichtschritten.</x:v>
      </x:c>
    </x:row>
    <x:row r="19" ht="74" customHeight="1">
      <x:c r="A19" s="101" t="str">
        <x:v>D1-Q01</x:v>
      </x:c>
      <x:c r="B19" s="101" t="str">
        <x:v>D1-Q01-S15</x:v>
      </x:c>
      <x:c r="C19" s="109" t="n">
        <x:v>15</x:v>
      </x:c>
      <x:c r="D19" s="101" t="str">
        <x:v>REWARD</x:v>
      </x:c>
      <x:c r="E19" s="101" t="str">
        <x:v>GRANT_REWARD</x:v>
      </x:c>
      <x:c r="F19" s="101" t="str">
        <x:v>SYSTEM_ACTION</x:v>
      </x:c>
      <x:c r="G19" s="101" t="str"/>
      <x:c r="H19" s="101" t="str">
        <x:v>TEAM</x:v>
      </x:c>
      <x:c r="I19" s="101" t="str"/>
      <x:c r="J19" s="101" t="str">
        <x:v>D1-Q01</x:v>
      </x:c>
      <x:c r="K19" s="101" t="str">
        <x:v>Atomare Vergabe von Ruhm, Denaren, Loot und Variantenbonus.</x:v>
      </x:c>
      <x:c r="L19" s="101" t="str">
        <x:v>rewardTransactionCommitted</x:v>
      </x:c>
      <x:c r="M19" s="101" t="str">
        <x:v>state=COMPLETED</x:v>
      </x:c>
      <x:c r="N19" s="101" t="str">
        <x:v>Idempotenter Retry mit gleicher rewardTransactionId.</x:v>
      </x:c>
      <x:c r="O19" s="101" t="str">
        <x:v>REQUIRED</x:v>
      </x:c>
      <x:c r="P19" s="101" t="str">
        <x:v>questComplete</x:v>
      </x:c>
      <x:c r="Q19" s="101" t="str">
        <x:v>REWARD</x:v>
      </x:c>
      <x:c r="R19" s="101" t="str">
        <x:v>quest.reward.granted</x:v>
      </x:c>
      <x:c r="S19" s="101" t="str">
        <x:v>Arbeitswerte aus Quest Master; finales Balancing separat.</x:v>
      </x:c>
    </x:row>
    <x:row r="20" ht="74" customHeight="1">
      <x:c r="A20" s="104" t="str">
        <x:v>D1-Q02</x:v>
      </x:c>
      <x:c r="B20" s="104" t="str">
        <x:v>D1-Q02-S01</x:v>
      </x:c>
      <x:c r="C20" s="110" t="n">
        <x:v>1</x:v>
      </x:c>
      <x:c r="D20" s="104" t="str">
        <x:v>DISCOVER</x:v>
      </x:c>
      <x:c r="E20" s="104" t="str">
        <x:v>DISCOVER_NPC</x:v>
      </x:c>
      <x:c r="F20" s="104" t="str">
        <x:v>FLOW_ACTION</x:v>
      </x:c>
      <x:c r="G20" s="104" t="str"/>
      <x:c r="H20" s="104" t="str">
        <x:v>TEAM</x:v>
      </x:c>
      <x:c r="I20" s="104" t="str">
        <x:v>place_day_1_porta_san_pellegrino</x:v>
      </x:c>
      <x:c r="J20" s="104" t="str">
        <x:v>npc_capitano_malatesta</x:v>
      </x:c>
      <x:c r="K20" s="104" t="str">
        <x:v>Entdeckt Capitano Malatesta ab 55 m; Interaktion wird bei stabilem 15-m-Fix verfügbar.</x:v>
      </x:c>
      <x:c r="L20" s="104" t="str">
        <x:v>npcDiscovered &amp;&amp; interactionGateOpen</x:v>
      </x:c>
      <x:c r="M20" s="104" t="str">
        <x:v>state=DIALOGUE</x:v>
      </x:c>
      <x:c r="N20" s="104" t="str">
        <x:v>UI bleibt auf Karte; GPS-Hinweis anzeigen.</x:v>
      </x:c>
      <x:c r="O20" s="104" t="str">
        <x:v>REQUIRED</x:v>
      </x:c>
      <x:c r="P20" s="104" t="str"/>
      <x:c r="Q20" s="104" t="str">
        <x:v>MAP_OBJECT_SHEET</x:v>
      </x:c>
      <x:c r="R20" s="104" t="str">
        <x:v>quest.discovered</x:v>
      </x:c>
      <x:c r="S20" s="104" t="str">
        <x:v>15-m-Enter/25-m-Exit-Hysterese; serverautoritativ.</x:v>
      </x:c>
    </x:row>
    <x:row r="21" ht="74" customHeight="1">
      <x:c r="A21" s="101" t="str">
        <x:v>D1-Q02</x:v>
      </x:c>
      <x:c r="B21" s="101" t="str">
        <x:v>D1-Q02-S02</x:v>
      </x:c>
      <x:c r="C21" s="109" t="n">
        <x:v>2</x:v>
      </x:c>
      <x:c r="D21" s="101" t="str">
        <x:v>DIALOGUE</x:v>
      </x:c>
      <x:c r="E21" s="101" t="str">
        <x:v>TALK_TO_NPC</x:v>
      </x:c>
      <x:c r="F21" s="101" t="str">
        <x:v>OBJECTIVE</x:v>
      </x:c>
      <x:c r="G21" s="101" t="str">
        <x:v>COMPLETE_DIALOGUE</x:v>
      </x:c>
      <x:c r="H21" s="101" t="str">
        <x:v>TEAM</x:v>
      </x:c>
      <x:c r="I21" s="101" t="str">
        <x:v>place_day_1_porta_san_pellegrino</x:v>
      </x:c>
      <x:c r="J21" s="101" t="str">
        <x:v>D1-Q02-OFFER</x:v>
      </x:c>
      <x:c r="K21" s="101" t="str">
        <x:v>Questangebot und erste Dialogoption anzeigen.</x:v>
      </x:c>
      <x:c r="L21" s="101" t="str">
        <x:v>dialogSequenceComplete('D1-Q02-OFFER')</x:v>
      </x:c>
      <x:c r="M21" s="101" t="str">
        <x:v>state=ACCEPT</x:v>
      </x:c>
      <x:c r="N21" s="101" t="str">
        <x:v>Dialog kann erneut geöffnet werden.</x:v>
      </x:c>
      <x:c r="O21" s="101" t="str">
        <x:v>REQUIRED</x:v>
      </x:c>
      <x:c r="P21" s="101" t="str"/>
      <x:c r="Q21" s="101" t="str">
        <x:v>DIALOGUE</x:v>
      </x:c>
      <x:c r="R21" s="101" t="str">
        <x:v>quest.dialogue.offer</x:v>
      </x:c>
      <x:c r="S21" s="101" t="str">
        <x:v>Teamentscheidung wird einmal serverseitig gespeichert.</x:v>
      </x:c>
    </x:row>
    <x:row r="22" ht="74" customHeight="1">
      <x:c r="A22" s="104" t="str">
        <x:v>D1-Q02</x:v>
      </x:c>
      <x:c r="B22" s="104" t="str">
        <x:v>D1-Q02-S03</x:v>
      </x:c>
      <x:c r="C22" s="110" t="n">
        <x:v>3</x:v>
      </x:c>
      <x:c r="D22" s="104" t="str">
        <x:v>ACCEPT</x:v>
      </x:c>
      <x:c r="E22" s="104" t="str">
        <x:v>ACCEPT_QUEST</x:v>
      </x:c>
      <x:c r="F22" s="104" t="str">
        <x:v>FLOW_ACTION</x:v>
      </x:c>
      <x:c r="G22" s="104" t="str"/>
      <x:c r="H22" s="104" t="str">
        <x:v>TEAM</x:v>
      </x:c>
      <x:c r="I22" s="104" t="str">
        <x:v>place_day_1_porta_san_pellegrino</x:v>
      </x:c>
      <x:c r="J22" s="104" t="str">
        <x:v>D1-Q02</x:v>
      </x:c>
      <x:c r="K22" s="104" t="str">
        <x:v>Quest annehmen; Voraussetzungen, Slotwirkung und Fallback vor Bestätigung anzeigen.</x:v>
      </x:c>
      <x:c r="L22" s="104" t="str">
        <x:v>teamVoteResolved &amp;&amp; questSlotReserved</x:v>
      </x:c>
      <x:c r="M22" s="104" t="str">
        <x:v>state=OBJECTIVE</x:v>
      </x:c>
      <x:c r="N22" s="104" t="str">
        <x:v>Annahme abbrechbar; kein Slotverbrauch.</x:v>
      </x:c>
      <x:c r="O22" s="104" t="str">
        <x:v>REQUIRED</x:v>
      </x:c>
      <x:c r="P22" s="104" t="str"/>
      <x:c r="Q22" s="104" t="str">
        <x:v>QUEST_ACCEPT</x:v>
      </x:c>
      <x:c r="R22" s="104" t="str">
        <x:v>quest.accepted</x:v>
      </x:c>
      <x:c r="S22" s="104" t="str">
        <x:v>Maximal drei reguläre aktive Quests pro Team.</x:v>
      </x:c>
    </x:row>
    <x:row r="23" ht="74" customHeight="1">
      <x:c r="A23" s="101" t="str">
        <x:v>D1-Q02</x:v>
      </x:c>
      <x:c r="B23" s="101" t="str">
        <x:v>D1-Q02-S04</x:v>
      </x:c>
      <x:c r="C23" s="109" t="n">
        <x:v>4</x:v>
      </x:c>
      <x:c r="D23" s="101" t="str">
        <x:v>OBJECTIVE</x:v>
      </x:c>
      <x:c r="E23" s="101" t="str">
        <x:v>ANSWER_QUESTION</x:v>
      </x:c>
      <x:c r="F23" s="101" t="str">
        <x:v>OBJECTIVE</x:v>
      </x:c>
      <x:c r="G23" s="101" t="str">
        <x:v>SUBMIT_ANSWER</x:v>
      </x:c>
      <x:c r="H23" s="101" t="str">
        <x:v>TEAM</x:v>
      </x:c>
      <x:c r="I23" s="101" t="str">
        <x:v>place_day_1_porta_san_pellegrino</x:v>
      </x:c>
      <x:c r="J23" s="101" t="str">
        <x:v>OBS-D1-Q02-1</x:v>
      </x:c>
      <x:c r="K23" s="101" t="str">
        <x:v>Das Tier im Wappen über St.-Pellegrino bestimmen. Frage: Welches Tier erkennt ihr im Wappen über dem Torbogen?</x:v>
      </x:c>
      <x:c r="L23" s="101" t="str">
        <x:v>normalizedAnswer matches 'Einen Stier'</x:v>
      </x:c>
      <x:c r="M23" s="101" t="str">
        <x:v>stationComplete=true</x:v>
      </x:c>
      <x:c r="N23" s="101" t="str">
        <x:v>Hint 1 → Hint 2 → Fallback; Grundabschluss bleibt möglich.</x:v>
      </x:c>
      <x:c r="O23" s="101" t="str">
        <x:v>REQUIRED</x:v>
      </x:c>
      <x:c r="P23" s="101" t="str">
        <x:v>stationActive</x:v>
      </x:c>
      <x:c r="Q23" s="101" t="str">
        <x:v>OBSERVATION_INPUT</x:v>
      </x:c>
      <x:c r="R23" s="101" t="str">
        <x:v>quest.observation.answered</x:v>
      </x:c>
      <x:c r="S23" s="101" t="str">
        <x:v>Evidence: Großer Torbogen und hoch angebrachtes päpstliches Wappen mit Stiermotiv. | Ampel: GELB</x:v>
      </x:c>
    </x:row>
    <x:row r="24" ht="74" customHeight="1">
      <x:c r="A24" s="104" t="str">
        <x:v>D1-Q02</x:v>
      </x:c>
      <x:c r="B24" s="104" t="str">
        <x:v>D1-Q02-S05</x:v>
      </x:c>
      <x:c r="C24" s="110" t="n">
        <x:v>5</x:v>
      </x:c>
      <x:c r="D24" s="104" t="str">
        <x:v>OBJECTIVE</x:v>
      </x:c>
      <x:c r="E24" s="104" t="str">
        <x:v>REACH_LOCATION</x:v>
      </x:c>
      <x:c r="F24" s="104" t="str">
        <x:v>OBJECTIVE</x:v>
      </x:c>
      <x:c r="G24" s="104" t="str">
        <x:v>REACH_LOCATION</x:v>
      </x:c>
      <x:c r="H24" s="104" t="str">
        <x:v>TEAM</x:v>
      </x:c>
      <x:c r="I24" s="104" t="str">
        <x:v>place_day_1_porta_cavalleggeri</x:v>
      </x:c>
      <x:c r="J24" s="104" t="str">
        <x:v>place_day_1_porta_cavalleggeri</x:v>
      </x:c>
      <x:c r="K24" s="104" t="str">
        <x:v>Erreicht Porta Cavalleggeri.</x:v>
      </x:c>
      <x:c r="L24" s="104" t="str">
        <x:v>teamMembersInRadius &gt;= 2 &amp;&amp; stableFixes &gt;= 2</x:v>
      </x:c>
      <x:c r="M24" s="104" t="str">
        <x:v>stationActive=true</x:v>
      </x:c>
      <x:c r="N24" s="104" t="str">
        <x:v>Hinweisleiter; Ziel bleibt offen.</x:v>
      </x:c>
      <x:c r="O24" s="104" t="str">
        <x:v>REQUIRED</x:v>
      </x:c>
      <x:c r="P24" s="104" t="str">
        <x:v>previousStepComplete</x:v>
      </x:c>
      <x:c r="Q24" s="104" t="str">
        <x:v>MAP_AND_QUEST</x:v>
      </x:c>
      <x:c r="R24" s="104" t="str">
        <x:v>quest.location.reached</x:v>
      </x:c>
      <x:c r="S24" s="104" t="str">
        <x:v>Standard 15-m-Zielradius; keine Innen-/Eintrittspflicht.</x:v>
      </x:c>
    </x:row>
    <x:row r="25" ht="74" customHeight="1">
      <x:c r="A25" s="101" t="str">
        <x:v>D1-Q02</x:v>
      </x:c>
      <x:c r="B25" s="101" t="str">
        <x:v>D1-Q02-S06</x:v>
      </x:c>
      <x:c r="C25" s="109" t="n">
        <x:v>6</x:v>
      </x:c>
      <x:c r="D25" s="101" t="str">
        <x:v>OBJECTIVE</x:v>
      </x:c>
      <x:c r="E25" s="101" t="str">
        <x:v>ANSWER_QUESTION</x:v>
      </x:c>
      <x:c r="F25" s="101" t="str">
        <x:v>OBJECTIVE</x:v>
      </x:c>
      <x:c r="G25" s="101" t="str">
        <x:v>SUBMIT_ANSWER</x:v>
      </x:c>
      <x:c r="H25" s="101" t="str">
        <x:v>TEAM</x:v>
      </x:c>
      <x:c r="I25" s="101" t="str">
        <x:v>place_day_1_porta_cavalleggeri</x:v>
      </x:c>
      <x:c r="J25" s="101" t="str">
        <x:v>OBS-D1-Q02-2</x:v>
      </x:c>
      <x:c r="K25" s="101" t="str">
        <x:v>Den erhaltenen Hauptbogen der Porta Cavalleggeri zählen. Frage: Wie viele historische Hauptbögen sind als Torrest sichtbar?</x:v>
      </x:c>
      <x:c r="L25" s="101" t="str">
        <x:v>normalizedAnswer matches 'Einer'</x:v>
      </x:c>
      <x:c r="M25" s="101" t="str">
        <x:v>stationComplete=true</x:v>
      </x:c>
      <x:c r="N25" s="101" t="str">
        <x:v>Hint 1 → Hint 2 → Fallback; Grundabschluss bleibt möglich.</x:v>
      </x:c>
      <x:c r="O25" s="101" t="str">
        <x:v>REQUIRED</x:v>
      </x:c>
      <x:c r="P25" s="101" t="str">
        <x:v>stationActive</x:v>
      </x:c>
      <x:c r="Q25" s="101" t="str">
        <x:v>OBSERVATION_INPUT</x:v>
      </x:c>
      <x:c r="R25" s="101" t="str">
        <x:v>quest.observation.answered</x:v>
      </x:c>
      <x:c r="S25" s="101" t="str">
        <x:v>Evidence: Ein einzelner erhaltener Mauerbogen mit päpstlichen Zeichen nahe dem Vatikan. | Ampel: GELB</x:v>
      </x:c>
    </x:row>
    <x:row r="26" ht="74" customHeight="1">
      <x:c r="A26" s="104" t="str">
        <x:v>D1-Q02</x:v>
      </x:c>
      <x:c r="B26" s="104" t="str">
        <x:v>D1-Q02-S07</x:v>
      </x:c>
      <x:c r="C26" s="110" t="n">
        <x:v>7</x:v>
      </x:c>
      <x:c r="D26" s="104" t="str">
        <x:v>OBJECTIVE</x:v>
      </x:c>
      <x:c r="E26" s="104" t="str">
        <x:v>REACH_LOCATION</x:v>
      </x:c>
      <x:c r="F26" s="104" t="str">
        <x:v>OBJECTIVE</x:v>
      </x:c>
      <x:c r="G26" s="104" t="str">
        <x:v>REACH_LOCATION</x:v>
      </x:c>
      <x:c r="H26" s="104" t="str">
        <x:v>TEAM</x:v>
      </x:c>
      <x:c r="I26" s="104" t="str">
        <x:v>place_day_1_porta_santo_spirito</x:v>
      </x:c>
      <x:c r="J26" s="104" t="str">
        <x:v>place_day_1_porta_santo_spirito</x:v>
      </x:c>
      <x:c r="K26" s="104" t="str">
        <x:v>Erreicht Porta Santo Spirito.</x:v>
      </x:c>
      <x:c r="L26" s="104" t="str">
        <x:v>teamMembersInRadius &gt;= 2 &amp;&amp; stableFixes &gt;= 2</x:v>
      </x:c>
      <x:c r="M26" s="104" t="str">
        <x:v>stationActive=true</x:v>
      </x:c>
      <x:c r="N26" s="104" t="str">
        <x:v>Hinweisleiter; Ziel bleibt offen.</x:v>
      </x:c>
      <x:c r="O26" s="104" t="str">
        <x:v>REQUIRED</x:v>
      </x:c>
      <x:c r="P26" s="104" t="str">
        <x:v>previousStepComplete</x:v>
      </x:c>
      <x:c r="Q26" s="104" t="str">
        <x:v>MAP_AND_QUEST</x:v>
      </x:c>
      <x:c r="R26" s="104" t="str">
        <x:v>quest.location.reached</x:v>
      </x:c>
      <x:c r="S26" s="104" t="str">
        <x:v>Standard 15-m-Zielradius; keine Innen-/Eintrittspflicht.</x:v>
      </x:c>
    </x:row>
    <x:row r="27" ht="74" customHeight="1">
      <x:c r="A27" s="101" t="str">
        <x:v>D1-Q02</x:v>
      </x:c>
      <x:c r="B27" s="101" t="str">
        <x:v>D1-Q02-S08</x:v>
      </x:c>
      <x:c r="C27" s="109" t="n">
        <x:v>8</x:v>
      </x:c>
      <x:c r="D27" s="101" t="str">
        <x:v>OBJECTIVE</x:v>
      </x:c>
      <x:c r="E27" s="101" t="str">
        <x:v>ANSWER_QUESTION</x:v>
      </x:c>
      <x:c r="F27" s="101" t="str">
        <x:v>OBJECTIVE</x:v>
      </x:c>
      <x:c r="G27" s="101" t="str">
        <x:v>SUBMIT_ANSWER</x:v>
      </x:c>
      <x:c r="H27" s="101" t="str">
        <x:v>TEAM</x:v>
      </x:c>
      <x:c r="I27" s="101" t="str">
        <x:v>place_day_1_porta_santo_spirito</x:v>
      </x:c>
      <x:c r="J27" s="101" t="str">
        <x:v>OBS-D1-Q02-3</x:v>
      </x:c>
      <x:c r="K27" s="101" t="str">
        <x:v>Säulen und Nischen an Porta Santo Spirito zuordnen und die Verteidigungsreihenfolge festlegen. Frage: Welche Kombination flankiert den großen mittleren Bogen?</x:v>
      </x:c>
      <x:c r="L27" s="101" t="str">
        <x:v>normalizedAnswer matches 'Dorische Säulen und leere Nischen'</x:v>
      </x:c>
      <x:c r="M27" s="101" t="str">
        <x:v>stationComplete=true</x:v>
      </x:c>
      <x:c r="N27" s="101" t="str">
        <x:v>Hint 1 → Hint 2 → Fallback; Grundabschluss bleibt möglich.</x:v>
      </x:c>
      <x:c r="O27" s="101" t="str">
        <x:v>REQUIRED</x:v>
      </x:c>
      <x:c r="P27" s="101" t="str">
        <x:v>stationActive</x:v>
      </x:c>
      <x:c r="Q27" s="101" t="str">
        <x:v>OBSERVATION_INPUT</x:v>
      </x:c>
      <x:c r="R27" s="101" t="str">
        <x:v>quest.observation.answered</x:v>
      </x:c>
      <x:c r="S27" s="101" t="str">
        <x:v>Evidence: Großer Mittelbogen, paarweise Säulen und deutlich erkennbare leere Nischen. | Ampel: GRUEN</x:v>
      </x:c>
    </x:row>
    <x:row r="28" ht="74" customHeight="1">
      <x:c r="A28" s="104" t="str">
        <x:v>D1-Q02</x:v>
      </x:c>
      <x:c r="B28" s="104" t="str">
        <x:v>D1-Q02-S09</x:v>
      </x:c>
      <x:c r="C28" s="110" t="n">
        <x:v>9</x:v>
      </x:c>
      <x:c r="D28" s="104" t="str">
        <x:v>OBJECTIVE</x:v>
      </x:c>
      <x:c r="E28" s="104" t="str">
        <x:v>SOLVE_PUZZLE</x:v>
      </x:c>
      <x:c r="F28" s="104" t="str">
        <x:v>OBJECTIVE</x:v>
      </x:c>
      <x:c r="G28" s="104" t="str">
        <x:v>SUBMIT_ANSWER</x:v>
      </x:c>
      <x:c r="H28" s="104" t="str">
        <x:v>TEAM</x:v>
      </x:c>
      <x:c r="I28" s="104" t="str">
        <x:v>place_day_1_porta_santo_spirito</x:v>
      </x:c>
      <x:c r="J28" s="104" t="str">
        <x:v>PZ-D1-Q02</x:v>
      </x:c>
      <x:c r="K28" s="104" t="str">
        <x:v>Ordnet jedem Tor sein robustes Merkmal zu und wählt anschließend den besten Sammelpunkt für eine kleine Nachhut.</x:v>
      </x:c>
      <x:c r="L28" s="104" t="str">
        <x:v>puzzleResult == CORRECT</x:v>
      </x:c>
      <x:c r="M28" s="104" t="str">
        <x:v>synthesisComplete=true</x:v>
      </x:c>
      <x:c r="N28" s="104" t="str">
        <x:v>Nur San Pellegrino und Santo Spirito vergleichen.</x:v>
      </x:c>
      <x:c r="O28" s="104" t="str">
        <x:v>REQUIRED</x:v>
      </x:c>
      <x:c r="P28" s="104" t="str">
        <x:v>allRequiredStationsComplete</x:v>
      </x:c>
      <x:c r="Q28" s="104" t="str">
        <x:v>PUZZLE</x:v>
      </x:c>
      <x:c r="R28" s="104" t="str">
        <x:v>quest.puzzle.solved</x:v>
      </x:c>
      <x:c r="S28" s="104" t="str">
        <x:v>Penalty: Kein Rüstungsbonus</x:v>
      </x:c>
    </x:row>
    <x:row r="29" ht="74" customHeight="1">
      <x:c r="A29" s="101" t="str">
        <x:v>D1-Q02</x:v>
      </x:c>
      <x:c r="B29" s="101" t="str">
        <x:v>D1-Q02-S10</x:v>
      </x:c>
      <x:c r="C29" s="109" t="n">
        <x:v>10</x:v>
      </x:c>
      <x:c r="D29" s="101" t="str">
        <x:v>BONUS_OBJECTIVE</x:v>
      </x:c>
      <x:c r="E29" s="101" t="str">
        <x:v>CLASS_ACTION</x:v>
      </x:c>
      <x:c r="F29" s="101" t="str">
        <x:v>OBJECTIVE</x:v>
      </x:c>
      <x:c r="G29" s="101" t="str">
        <x:v>SUBMIT_ANSWER</x:v>
      </x:c>
      <x:c r="H29" s="101" t="str">
        <x:v>ELIGIBLE_MEMBER</x:v>
      </x:c>
      <x:c r="I29" s="101" t="str">
        <x:v>place_day_1_porta_santo_spirito</x:v>
      </x:c>
      <x:c r="J29" s="101" t="str">
        <x:v>CONDOTTIERE</x:v>
      </x:c>
      <x:c r="K29" s="101" t="str">
        <x:v>Optionale Klassenaktion für CONDOTTIERE; ohne Klasse steht eine Standardalternative bereit.</x:v>
      </x:c>
      <x:c r="L29" s="101" t="str">
        <x:v>classActionComplete || fallbackActionComplete</x:v>
      </x:c>
      <x:c r="M29" s="101" t="str">
        <x:v>classBonus=true</x:v>
      </x:c>
      <x:c r="N29" s="101" t="str">
        <x:v>Quest bleibt lösbar; Bonus entfällt.</x:v>
      </x:c>
      <x:c r="O29" s="101" t="str">
        <x:v>OPTIONAL</x:v>
      </x:c>
      <x:c r="P29" s="101" t="str">
        <x:v>synthesisComplete</x:v>
      </x:c>
      <x:c r="Q29" s="101" t="str">
        <x:v>CLASS_ACTION</x:v>
      </x:c>
      <x:c r="R29" s="101" t="str">
        <x:v>quest.class_action</x:v>
      </x:c>
      <x:c r="S29" s="101" t="str">
        <x:v>Keine Klasse darf die Hauptquest blockieren.</x:v>
      </x:c>
    </x:row>
    <x:row r="30" ht="74" customHeight="1">
      <x:c r="A30" s="104" t="str">
        <x:v>D1-Q02</x:v>
      </x:c>
      <x:c r="B30" s="104" t="str">
        <x:v>D1-Q02-S11</x:v>
      </x:c>
      <x:c r="C30" s="110" t="n">
        <x:v>11</x:v>
      </x:c>
      <x:c r="D30" s="104" t="str">
        <x:v>OBJECTIVE</x:v>
      </x:c>
      <x:c r="E30" s="104" t="str">
        <x:v>DEFEAT_ENEMY</x:v>
      </x:c>
      <x:c r="F30" s="104" t="str">
        <x:v>OBJECTIVE</x:v>
      </x:c>
      <x:c r="G30" s="104" t="str">
        <x:v>COMPLETE_ENCOUNTER</x:v>
      </x:c>
      <x:c r="H30" s="104" t="str">
        <x:v>TEAM</x:v>
      </x:c>
      <x:c r="I30" s="104" t="str">
        <x:v>place_day_1_porta_santo_spirito</x:v>
      </x:c>
      <x:c r="J30" s="104" t="str">
        <x:v>CP-QE-CAVALLEGGERO</x:v>
      </x:c>
      <x:c r="K30" s="104" t="str">
        <x:v>Cavalleggero Pontificio bekämpfen.</x:v>
      </x:c>
      <x:c r="L30" s="104" t="str">
        <x:v>combatState == WON</x:v>
      </x:c>
      <x:c r="M30" s="104" t="str">
        <x:v>encounterComplete=true</x:v>
      </x:c>
      <x:c r="N30" s="104" t="str">
        <x:v>Quest bleibt aktiv; nach Team-Wipe Wiederbelebungsregeln.</x:v>
      </x:c>
      <x:c r="O30" s="104" t="str">
        <x:v>REQUIRED</x:v>
      </x:c>
      <x:c r="P30" s="104" t="str">
        <x:v>synthesisComplete</x:v>
      </x:c>
      <x:c r="Q30" s="104" t="str">
        <x:v>COMBAT</x:v>
      </x:c>
      <x:c r="R30" s="104" t="str">
        <x:v>quest.combat.completed</x:v>
      </x:c>
      <x:c r="S30" s="104" t="str">
        <x:v>QUEST_ENEMY ist teambezogen; kein normaler Respawn.</x:v>
      </x:c>
    </x:row>
    <x:row r="31" ht="74" customHeight="1">
      <x:c r="A31" s="101" t="str">
        <x:v>D1-Q02</x:v>
      </x:c>
      <x:c r="B31" s="101" t="str">
        <x:v>D1-Q02-S12</x:v>
      </x:c>
      <x:c r="C31" s="109" t="n">
        <x:v>12</x:v>
      </x:c>
      <x:c r="D31" s="101" t="str">
        <x:v>COMPLETE</x:v>
      </x:c>
      <x:c r="E31" s="101" t="str">
        <x:v>TALK_TO_NPC</x:v>
      </x:c>
      <x:c r="F31" s="101" t="str">
        <x:v>OBJECTIVE</x:v>
      </x:c>
      <x:c r="G31" s="101" t="str">
        <x:v>COMPLETE_DIALOGUE</x:v>
      </x:c>
      <x:c r="H31" s="101" t="str">
        <x:v>TEAM</x:v>
      </x:c>
      <x:c r="I31" s="101" t="str">
        <x:v>place_day_1_porta_santo_spirito</x:v>
      </x:c>
      <x:c r="J31" s="101" t="str">
        <x:v>D1-Q02-COMPLETE</x:v>
      </x:c>
      <x:c r="K31" s="101" t="str">
        <x:v>Abschlussdialog und Konsequenz anzeigen.</x:v>
      </x:c>
      <x:c r="L31" s="101" t="str">
        <x:v>dialogSequenceComplete('D1-Q02-COMPLETE')</x:v>
      </x:c>
      <x:c r="M31" s="101" t="str">
        <x:v>state=REWARD</x:v>
      </x:c>
      <x:c r="N31" s="101" t="str">
        <x:v>Dialog erneut öffnen.</x:v>
      </x:c>
      <x:c r="O31" s="101" t="str">
        <x:v>REQUIRED</x:v>
      </x:c>
      <x:c r="P31" s="101" t="str">
        <x:v>allRequiredObjectivesComplete</x:v>
      </x:c>
      <x:c r="Q31" s="101" t="str">
        <x:v>DIALOGUE</x:v>
      </x:c>
      <x:c r="R31" s="101" t="str">
        <x:v>quest.completed</x:v>
      </x:c>
      <x:c r="S31" s="101" t="str">
        <x:v>Abschluss erst serverseitig nach allen Pflichtschritten.</x:v>
      </x:c>
    </x:row>
    <x:row r="32" ht="74" customHeight="1">
      <x:c r="A32" s="104" t="str">
        <x:v>D1-Q02</x:v>
      </x:c>
      <x:c r="B32" s="104" t="str">
        <x:v>D1-Q02-S13</x:v>
      </x:c>
      <x:c r="C32" s="110" t="n">
        <x:v>13</x:v>
      </x:c>
      <x:c r="D32" s="104" t="str">
        <x:v>REWARD</x:v>
      </x:c>
      <x:c r="E32" s="104" t="str">
        <x:v>GRANT_REWARD</x:v>
      </x:c>
      <x:c r="F32" s="104" t="str">
        <x:v>SYSTEM_ACTION</x:v>
      </x:c>
      <x:c r="G32" s="104" t="str"/>
      <x:c r="H32" s="104" t="str">
        <x:v>TEAM</x:v>
      </x:c>
      <x:c r="I32" s="104" t="str"/>
      <x:c r="J32" s="104" t="str">
        <x:v>D1-Q02</x:v>
      </x:c>
      <x:c r="K32" s="104" t="str">
        <x:v>Atomare Vergabe von Ruhm, Denaren, Loot und Variantenbonus.</x:v>
      </x:c>
      <x:c r="L32" s="104" t="str">
        <x:v>rewardTransactionCommitted</x:v>
      </x:c>
      <x:c r="M32" s="104" t="str">
        <x:v>state=COMPLETED</x:v>
      </x:c>
      <x:c r="N32" s="104" t="str">
        <x:v>Idempotenter Retry mit gleicher rewardTransactionId.</x:v>
      </x:c>
      <x:c r="O32" s="104" t="str">
        <x:v>REQUIRED</x:v>
      </x:c>
      <x:c r="P32" s="104" t="str">
        <x:v>questComplete</x:v>
      </x:c>
      <x:c r="Q32" s="104" t="str">
        <x:v>REWARD</x:v>
      </x:c>
      <x:c r="R32" s="104" t="str">
        <x:v>quest.reward.granted</x:v>
      </x:c>
      <x:c r="S32" s="104" t="str">
        <x:v>Arbeitswerte aus Quest Master; finales Balancing separat.</x:v>
      </x:c>
    </x:row>
    <x:row r="33" ht="74" customHeight="1">
      <x:c r="A33" s="101" t="str">
        <x:v>D1-Q03</x:v>
      </x:c>
      <x:c r="B33" s="101" t="str">
        <x:v>D1-Q03-S01</x:v>
      </x:c>
      <x:c r="C33" s="109" t="n">
        <x:v>1</x:v>
      </x:c>
      <x:c r="D33" s="101" t="str">
        <x:v>DISCOVER</x:v>
      </x:c>
      <x:c r="E33" s="101" t="str">
        <x:v>DISCOVER_NPC</x:v>
      </x:c>
      <x:c r="F33" s="101" t="str">
        <x:v>FLOW_ACTION</x:v>
      </x:c>
      <x:c r="G33" s="101" t="str"/>
      <x:c r="H33" s="101" t="str">
        <x:v>TEAM</x:v>
      </x:c>
      <x:c r="I33" s="101" t="str">
        <x:v>place_day_1_piazza_del_popolo</x:v>
      </x:c>
      <x:c r="J33" s="101" t="str">
        <x:v>npc_flaminia_trivium</x:v>
      </x:c>
      <x:c r="K33" s="101" t="str">
        <x:v>Entdeckt Flaminia vom Dreizack ab 55 m; Interaktion wird bei stabilem 15-m-Fix verfügbar.</x:v>
      </x:c>
      <x:c r="L33" s="101" t="str">
        <x:v>npcDiscovered &amp;&amp; interactionGateOpen</x:v>
      </x:c>
      <x:c r="M33" s="101" t="str">
        <x:v>state=DIALOGUE</x:v>
      </x:c>
      <x:c r="N33" s="101" t="str">
        <x:v>UI bleibt auf Karte; GPS-Hinweis anzeigen.</x:v>
      </x:c>
      <x:c r="O33" s="101" t="str">
        <x:v>REQUIRED</x:v>
      </x:c>
      <x:c r="P33" s="101" t="str"/>
      <x:c r="Q33" s="101" t="str">
        <x:v>MAP_OBJECT_SHEET</x:v>
      </x:c>
      <x:c r="R33" s="101" t="str">
        <x:v>quest.discovered</x:v>
      </x:c>
      <x:c r="S33" s="101" t="str">
        <x:v>15-m-Enter/25-m-Exit-Hysterese; serverautoritativ.</x:v>
      </x:c>
    </x:row>
    <x:row r="34" ht="74" customHeight="1">
      <x:c r="A34" s="104" t="str">
        <x:v>D1-Q03</x:v>
      </x:c>
      <x:c r="B34" s="104" t="str">
        <x:v>D1-Q03-S02</x:v>
      </x:c>
      <x:c r="C34" s="110" t="n">
        <x:v>2</x:v>
      </x:c>
      <x:c r="D34" s="104" t="str">
        <x:v>DIALOGUE</x:v>
      </x:c>
      <x:c r="E34" s="104" t="str">
        <x:v>TALK_TO_NPC</x:v>
      </x:c>
      <x:c r="F34" s="104" t="str">
        <x:v>OBJECTIVE</x:v>
      </x:c>
      <x:c r="G34" s="104" t="str">
        <x:v>COMPLETE_DIALOGUE</x:v>
      </x:c>
      <x:c r="H34" s="104" t="str">
        <x:v>TEAM</x:v>
      </x:c>
      <x:c r="I34" s="104" t="str">
        <x:v>place_day_1_piazza_del_popolo</x:v>
      </x:c>
      <x:c r="J34" s="104" t="str">
        <x:v>D1-Q03-OFFER</x:v>
      </x:c>
      <x:c r="K34" s="104" t="str">
        <x:v>Questangebot und erste Dialogoption anzeigen.</x:v>
      </x:c>
      <x:c r="L34" s="104" t="str">
        <x:v>dialogSequenceComplete('D1-Q03-OFFER')</x:v>
      </x:c>
      <x:c r="M34" s="104" t="str">
        <x:v>state=ACCEPT</x:v>
      </x:c>
      <x:c r="N34" s="104" t="str">
        <x:v>Dialog kann erneut geöffnet werden.</x:v>
      </x:c>
      <x:c r="O34" s="104" t="str">
        <x:v>REQUIRED</x:v>
      </x:c>
      <x:c r="P34" s="104" t="str"/>
      <x:c r="Q34" s="104" t="str">
        <x:v>DIALOGUE</x:v>
      </x:c>
      <x:c r="R34" s="104" t="str">
        <x:v>quest.dialogue.offer</x:v>
      </x:c>
      <x:c r="S34" s="104" t="str">
        <x:v>Teamentscheidung wird einmal serverseitig gespeichert.</x:v>
      </x:c>
    </x:row>
    <x:row r="35" ht="74" customHeight="1">
      <x:c r="A35" s="101" t="str">
        <x:v>D1-Q03</x:v>
      </x:c>
      <x:c r="B35" s="101" t="str">
        <x:v>D1-Q03-S03</x:v>
      </x:c>
      <x:c r="C35" s="109" t="n">
        <x:v>3</x:v>
      </x:c>
      <x:c r="D35" s="101" t="str">
        <x:v>ACCEPT</x:v>
      </x:c>
      <x:c r="E35" s="101" t="str">
        <x:v>ACCEPT_QUEST</x:v>
      </x:c>
      <x:c r="F35" s="101" t="str">
        <x:v>FLOW_ACTION</x:v>
      </x:c>
      <x:c r="G35" s="101" t="str"/>
      <x:c r="H35" s="101" t="str">
        <x:v>TEAM</x:v>
      </x:c>
      <x:c r="I35" s="101" t="str">
        <x:v>place_day_1_piazza_del_popolo</x:v>
      </x:c>
      <x:c r="J35" s="101" t="str">
        <x:v>D1-Q03</x:v>
      </x:c>
      <x:c r="K35" s="101" t="str">
        <x:v>Quest annehmen; Voraussetzungen, Slotwirkung und Fallback vor Bestätigung anzeigen.</x:v>
      </x:c>
      <x:c r="L35" s="101" t="str">
        <x:v>teamVoteResolved &amp;&amp; questSlotReserved</x:v>
      </x:c>
      <x:c r="M35" s="101" t="str">
        <x:v>state=OBJECTIVE</x:v>
      </x:c>
      <x:c r="N35" s="101" t="str">
        <x:v>Annahme abbrechbar; kein Slotverbrauch.</x:v>
      </x:c>
      <x:c r="O35" s="101" t="str">
        <x:v>REQUIRED</x:v>
      </x:c>
      <x:c r="P35" s="101" t="str"/>
      <x:c r="Q35" s="101" t="str">
        <x:v>QUEST_ACCEPT</x:v>
      </x:c>
      <x:c r="R35" s="101" t="str">
        <x:v>quest.accepted</x:v>
      </x:c>
      <x:c r="S35" s="101" t="str">
        <x:v>Maximal drei reguläre aktive Quests pro Team.</x:v>
      </x:c>
    </x:row>
    <x:row r="36" ht="74" customHeight="1">
      <x:c r="A36" s="104" t="str">
        <x:v>D1-Q03</x:v>
      </x:c>
      <x:c r="B36" s="104" t="str">
        <x:v>D1-Q03-S04</x:v>
      </x:c>
      <x:c r="C36" s="110" t="n">
        <x:v>4</x:v>
      </x:c>
      <x:c r="D36" s="104" t="str">
        <x:v>OBJECTIVE</x:v>
      </x:c>
      <x:c r="E36" s="104" t="str">
        <x:v>ANSWER_QUESTION</x:v>
      </x:c>
      <x:c r="F36" s="104" t="str">
        <x:v>OBJECTIVE</x:v>
      </x:c>
      <x:c r="G36" s="104" t="str">
        <x:v>SUBMIT_ANSWER</x:v>
      </x:c>
      <x:c r="H36" s="104" t="str">
        <x:v>TEAM</x:v>
      </x:c>
      <x:c r="I36" s="104" t="str">
        <x:v>place_day_1_piazza_del_popolo</x:v>
      </x:c>
      <x:c r="J36" s="104" t="str">
        <x:v>OBS-D1-Q03-1</x:v>
      </x:c>
      <x:c r="K36" s="104" t="str">
        <x:v>Die zwei Kuppelkirchen und die drei ausgehenden Straßen als Dreizack erkennen. Frage: Wie viele nahezu spiegelbildliche Kuppelkirchen flankieren den Beginn der Via del Corso?</x:v>
      </x:c>
      <x:c r="L36" s="104" t="str">
        <x:v>normalizedAnswer matches 'Zwei'</x:v>
      </x:c>
      <x:c r="M36" s="104" t="str">
        <x:v>stationComplete=true</x:v>
      </x:c>
      <x:c r="N36" s="104" t="str">
        <x:v>Hint 1 → Hint 2 → Fallback; Grundabschluss bleibt möglich.</x:v>
      </x:c>
      <x:c r="O36" s="104" t="str">
        <x:v>REQUIRED</x:v>
      </x:c>
      <x:c r="P36" s="104" t="str">
        <x:v>stationActive</x:v>
      </x:c>
      <x:c r="Q36" s="104" t="str">
        <x:v>OBSERVATION_INPUT</x:v>
      </x:c>
      <x:c r="R36" s="104" t="str">
        <x:v>quest.observation.answered</x:v>
      </x:c>
      <x:c r="S36" s="104" t="str">
        <x:v>Evidence: Zwei große Kuppelkirchen am südlichen Platzende und drei radial ausgehende Straßen. | Ampel: GRUEN</x:v>
      </x:c>
    </x:row>
    <x:row r="37" ht="74" customHeight="1">
      <x:c r="A37" s="101" t="str">
        <x:v>D1-Q03</x:v>
      </x:c>
      <x:c r="B37" s="101" t="str">
        <x:v>D1-Q03-S05</x:v>
      </x:c>
      <x:c r="C37" s="109" t="n">
        <x:v>5</x:v>
      </x:c>
      <x:c r="D37" s="101" t="str">
        <x:v>OBJECTIVE</x:v>
      </x:c>
      <x:c r="E37" s="101" t="str">
        <x:v>REACH_LOCATION</x:v>
      </x:c>
      <x:c r="F37" s="101" t="str">
        <x:v>OBJECTIVE</x:v>
      </x:c>
      <x:c r="G37" s="101" t="str">
        <x:v>REACH_LOCATION</x:v>
      </x:c>
      <x:c r="H37" s="101" t="str">
        <x:v>TEAM</x:v>
      </x:c>
      <x:c r="I37" s="101" t="str">
        <x:v>place_day_1_obelisco_flaminio</x:v>
      </x:c>
      <x:c r="J37" s="101" t="str">
        <x:v>place_day_1_obelisco_flaminio</x:v>
      </x:c>
      <x:c r="K37" s="101" t="str">
        <x:v>Erreicht Obelisco Flaminio.</x:v>
      </x:c>
      <x:c r="L37" s="101" t="str">
        <x:v>teamMembersInRadius &gt;= 2 &amp;&amp; stableFixes &gt;= 2</x:v>
      </x:c>
      <x:c r="M37" s="101" t="str">
        <x:v>stationActive=true</x:v>
      </x:c>
      <x:c r="N37" s="101" t="str">
        <x:v>Hinweisleiter; Ziel bleibt offen.</x:v>
      </x:c>
      <x:c r="O37" s="101" t="str">
        <x:v>REQUIRED</x:v>
      </x:c>
      <x:c r="P37" s="101" t="str">
        <x:v>previousStepComplete</x:v>
      </x:c>
      <x:c r="Q37" s="101" t="str">
        <x:v>MAP_AND_QUEST</x:v>
      </x:c>
      <x:c r="R37" s="101" t="str">
        <x:v>quest.location.reached</x:v>
      </x:c>
      <x:c r="S37" s="101" t="str">
        <x:v>Standard 15-m-Zielradius; keine Innen-/Eintrittspflicht.</x:v>
      </x:c>
    </x:row>
    <x:row r="38" ht="74" customHeight="1">
      <x:c r="A38" s="104" t="str">
        <x:v>D1-Q03</x:v>
      </x:c>
      <x:c r="B38" s="104" t="str">
        <x:v>D1-Q03-S06</x:v>
      </x:c>
      <x:c r="C38" s="110" t="n">
        <x:v>6</x:v>
      </x:c>
      <x:c r="D38" s="104" t="str">
        <x:v>OBJECTIVE</x:v>
      </x:c>
      <x:c r="E38" s="104" t="str">
        <x:v>ANSWER_QUESTION</x:v>
      </x:c>
      <x:c r="F38" s="104" t="str">
        <x:v>OBJECTIVE</x:v>
      </x:c>
      <x:c r="G38" s="104" t="str">
        <x:v>SUBMIT_ANSWER</x:v>
      </x:c>
      <x:c r="H38" s="104" t="str">
        <x:v>TEAM</x:v>
      </x:c>
      <x:c r="I38" s="104" t="str">
        <x:v>place_day_1_obelisco_flaminio</x:v>
      </x:c>
      <x:c r="J38" s="104" t="str">
        <x:v>OBS-D1-Q03-2</x:v>
      </x:c>
      <x:c r="K38" s="104" t="str">
        <x:v>Vier Löwenbrunnen am Obelisk zählen und Rollen für die drei Straßen wählen. Frage: Wie viele Löwenbrunnen stehen rund um den Sockel des Obelisken?</x:v>
      </x:c>
      <x:c r="L38" s="104" t="str">
        <x:v>normalizedAnswer matches 'Vier'</x:v>
      </x:c>
      <x:c r="M38" s="104" t="str">
        <x:v>stationComplete=true</x:v>
      </x:c>
      <x:c r="N38" s="104" t="str">
        <x:v>Hint 1 → Hint 2 → Fallback; Grundabschluss bleibt möglich.</x:v>
      </x:c>
      <x:c r="O38" s="104" t="str">
        <x:v>REQUIRED</x:v>
      </x:c>
      <x:c r="P38" s="104" t="str">
        <x:v>stationActive</x:v>
      </x:c>
      <x:c r="Q38" s="104" t="str">
        <x:v>OBSERVATION_INPUT</x:v>
      </x:c>
      <x:c r="R38" s="104" t="str">
        <x:v>quest.observation.answered</x:v>
      </x:c>
      <x:c r="S38" s="104" t="str">
        <x:v>Evidence: Vier monumentale Löwenbrunnen unmittelbar um den Sockel. | Ampel: GRUEN</x:v>
      </x:c>
    </x:row>
    <x:row r="39" ht="74" customHeight="1">
      <x:c r="A39" s="101" t="str">
        <x:v>D1-Q03</x:v>
      </x:c>
      <x:c r="B39" s="101" t="str">
        <x:v>D1-Q03-S07</x:v>
      </x:c>
      <x:c r="C39" s="109" t="n">
        <x:v>7</x:v>
      </x:c>
      <x:c r="D39" s="101" t="str">
        <x:v>OBJECTIVE</x:v>
      </x:c>
      <x:c r="E39" s="101" t="str">
        <x:v>NAVIGATION_CHALLENGE</x:v>
      </x:c>
      <x:c r="F39" s="101" t="str">
        <x:v>OBJECTIVE</x:v>
      </x:c>
      <x:c r="G39" s="101" t="str">
        <x:v>REACH_LOCATION</x:v>
      </x:c>
      <x:c r="H39" s="101" t="str">
        <x:v>TEAM_SPLIT</x:v>
      </x:c>
      <x:c r="I39" s="101" t="str">
        <x:v>place_day_1_obelisco_flaminio</x:v>
      </x:c>
      <x:c r="J39" s="101" t="str">
        <x:v>NAV-D1-Q03</x:v>
      </x:c>
      <x:c r="K39" s="101" t="str">
        <x:v>Jede Rolle folgt dem zugewiesenen Straßennamen 60–100 selbst gezählte Schritte südwärts, bestätigt das erste sichere Straßen-/Fassadenzeichen und kehrt zum Löwenring zurück. Danach Hinweis: ‚Sucht das Tor mit drei großen Öffnungen.‘</x:v>
      </x:c>
      <x:c r="L39" s="101" t="str">
        <x:v>alle Pflichtrollen haben token; anschließend mindestens 2 Mitglieder im 15-m-Endradius und alle Mitglieder innerhalb 35 m Teamradius</x:v>
      </x:c>
      <x:c r="M39" s="101" t="str">
        <x:v>navigationToken=true</x:v>
      </x:c>
      <x:c r="N39" s="101" t="str">
        <x:v>Normale sichtbare Route Obelisk → Porta del Popolo</x:v>
      </x:c>
      <x:c r="O39" s="101" t="str">
        <x:v>REQUIRED</x:v>
      </x:c>
      <x:c r="P39" s="101" t="str">
        <x:v>assignedRolesReady</x:v>
      </x:c>
      <x:c r="Q39" s="101" t="str">
        <x:v>NAVIGATION</x:v>
      </x:c>
      <x:c r="R39" s="101" t="str">
        <x:v>quest.navigation.completed</x:v>
      </x:c>
      <x:c r="S39" s="101" t="str">
        <x:v>Nach Rollenwahl keine Zielmarke; Ziel erscheint erst innerhalb 35 m | Kein Rennen; nur Gehwege; keine Pflichtquerung; Koordinator darf abbrechen</x:v>
      </x:c>
    </x:row>
    <x:row r="40" ht="74" customHeight="1">
      <x:c r="A40" s="104" t="str">
        <x:v>D1-Q03</x:v>
      </x:c>
      <x:c r="B40" s="104" t="str">
        <x:v>D1-Q03-S08</x:v>
      </x:c>
      <x:c r="C40" s="110" t="n">
        <x:v>8</x:v>
      </x:c>
      <x:c r="D40" s="104" t="str">
        <x:v>OBJECTIVE</x:v>
      </x:c>
      <x:c r="E40" s="104" t="str">
        <x:v>REACH_LOCATION</x:v>
      </x:c>
      <x:c r="F40" s="104" t="str">
        <x:v>OBJECTIVE</x:v>
      </x:c>
      <x:c r="G40" s="104" t="str">
        <x:v>REACH_LOCATION</x:v>
      </x:c>
      <x:c r="H40" s="104" t="str">
        <x:v>TEAM</x:v>
      </x:c>
      <x:c r="I40" s="104" t="str">
        <x:v>place_day_1_porta_del_popolo</x:v>
      </x:c>
      <x:c r="J40" s="104" t="str">
        <x:v>place_day_1_porta_del_popolo</x:v>
      </x:c>
      <x:c r="K40" s="104" t="str">
        <x:v>Erreicht Porta del Popolo.</x:v>
      </x:c>
      <x:c r="L40" s="104" t="str">
        <x:v>teamMembersInRadius &gt;= 2 &amp;&amp; stableFixes &gt;= 2</x:v>
      </x:c>
      <x:c r="M40" s="104" t="str">
        <x:v>stationActive=true</x:v>
      </x:c>
      <x:c r="N40" s="104" t="str">
        <x:v>Hinweisleiter; Ziel bleibt offen.</x:v>
      </x:c>
      <x:c r="O40" s="104" t="str">
        <x:v>REQUIRED</x:v>
      </x:c>
      <x:c r="P40" s="104" t="str">
        <x:v>previousStepComplete</x:v>
      </x:c>
      <x:c r="Q40" s="104" t="str">
        <x:v>MAP_AND_QUEST</x:v>
      </x:c>
      <x:c r="R40" s="104" t="str">
        <x:v>quest.location.reached</x:v>
      </x:c>
      <x:c r="S40" s="104" t="str">
        <x:v>Standard 15-m-Zielradius; keine Innen-/Eintrittspflicht.</x:v>
      </x:c>
    </x:row>
    <x:row r="41" ht="74" customHeight="1">
      <x:c r="A41" s="101" t="str">
        <x:v>D1-Q03</x:v>
      </x:c>
      <x:c r="B41" s="101" t="str">
        <x:v>D1-Q03-S09</x:v>
      </x:c>
      <x:c r="C41" s="109" t="n">
        <x:v>9</x:v>
      </x:c>
      <x:c r="D41" s="101" t="str">
        <x:v>OBJECTIVE</x:v>
      </x:c>
      <x:c r="E41" s="101" t="str">
        <x:v>ANSWER_QUESTION</x:v>
      </x:c>
      <x:c r="F41" s="101" t="str">
        <x:v>OBJECTIVE</x:v>
      </x:c>
      <x:c r="G41" s="101" t="str">
        <x:v>SUBMIT_ANSWER</x:v>
      </x:c>
      <x:c r="H41" s="101" t="str">
        <x:v>TEAM</x:v>
      </x:c>
      <x:c r="I41" s="101" t="str">
        <x:v>place_day_1_porta_del_popolo</x:v>
      </x:c>
      <x:c r="J41" s="101" t="str">
        <x:v>OBS-D1-Q03-3</x:v>
      </x:c>
      <x:c r="K41" s="101" t="str">
        <x:v>Die drei großen Durchgänge der Porta del Popolo bestätigen und im verdeckten Sammelradius zusammenfinden. Frage: Wie viele große Durchgänge besitzt die Porta del Popolo heute?</x:v>
      </x:c>
      <x:c r="L41" s="101" t="str">
        <x:v>normalizedAnswer matches 'Drei'</x:v>
      </x:c>
      <x:c r="M41" s="101" t="str">
        <x:v>stationComplete=true</x:v>
      </x:c>
      <x:c r="N41" s="101" t="str">
        <x:v>Hint 1 → Hint 2 → Fallback; Grundabschluss bleibt möglich.</x:v>
      </x:c>
      <x:c r="O41" s="101" t="str">
        <x:v>REQUIRED</x:v>
      </x:c>
      <x:c r="P41" s="101" t="str">
        <x:v>stationActive</x:v>
      </x:c>
      <x:c r="Q41" s="101" t="str">
        <x:v>OBSERVATION_INPUT</x:v>
      </x:c>
      <x:c r="R41" s="101" t="str">
        <x:v>quest.observation.answered</x:v>
      </x:c>
      <x:c r="S41" s="101" t="str">
        <x:v>Evidence: Drei große heutige Öffnungen, davon ein höherer Mittelbogen. | Ampel: GRUEN</x:v>
      </x:c>
    </x:row>
    <x:row r="42" ht="74" customHeight="1">
      <x:c r="A42" s="104" t="str">
        <x:v>D1-Q03</x:v>
      </x:c>
      <x:c r="B42" s="104" t="str">
        <x:v>D1-Q03-S10</x:v>
      </x:c>
      <x:c r="C42" s="110" t="n">
        <x:v>10</x:v>
      </x:c>
      <x:c r="D42" s="104" t="str">
        <x:v>OBJECTIVE</x:v>
      </x:c>
      <x:c r="E42" s="104" t="str">
        <x:v>SOLVE_PUZZLE</x:v>
      </x:c>
      <x:c r="F42" s="104" t="str">
        <x:v>OBJECTIVE</x:v>
      </x:c>
      <x:c r="G42" s="104" t="str">
        <x:v>SUBMIT_ANSWER</x:v>
      </x:c>
      <x:c r="H42" s="104" t="str">
        <x:v>TEAM</x:v>
      </x:c>
      <x:c r="I42" s="104" t="str">
        <x:v>place_day_1_porta_del_popolo</x:v>
      </x:c>
      <x:c r="J42" s="104" t="str">
        <x:v>PZ-D1-Q03</x:v>
      </x:c>
      <x:c r="K42" s="104" t="str">
        <x:v>Welche Form beschreibt die südlich aus der Piazza laufenden Straßen am besten?</x:v>
      </x:c>
      <x:c r="L42" s="104" t="str">
        <x:v>puzzleResult == CORRECT</x:v>
      </x:c>
      <x:c r="M42" s="104" t="str">
        <x:v>synthesisComplete=true</x:v>
      </x:c>
      <x:c r="N42" s="104" t="str">
        <x:v>Silhouetten-Grafik mit drei Formen anzeigen.</x:v>
      </x:c>
      <x:c r="O42" s="104" t="str">
        <x:v>REQUIRED</x:v>
      </x:c>
      <x:c r="P42" s="104" t="str">
        <x:v>allRequiredStationsComplete</x:v>
      </x:c>
      <x:c r="Q42" s="104" t="str">
        <x:v>PUZZLE</x:v>
      </x:c>
      <x:c r="R42" s="104" t="str">
        <x:v>quest.puzzle.solved</x:v>
      </x:c>
      <x:c r="S42" s="104" t="str">
        <x:v>Penalty: Navigationsbonus entfällt</x:v>
      </x:c>
    </x:row>
    <x:row r="43" ht="74" customHeight="1">
      <x:c r="A43" s="101" t="str">
        <x:v>D1-Q03</x:v>
      </x:c>
      <x:c r="B43" s="101" t="str">
        <x:v>D1-Q03-S11</x:v>
      </x:c>
      <x:c r="C43" s="109" t="n">
        <x:v>11</x:v>
      </x:c>
      <x:c r="D43" s="101" t="str">
        <x:v>COMPLETE</x:v>
      </x:c>
      <x:c r="E43" s="101" t="str">
        <x:v>TALK_TO_NPC</x:v>
      </x:c>
      <x:c r="F43" s="101" t="str">
        <x:v>OBJECTIVE</x:v>
      </x:c>
      <x:c r="G43" s="101" t="str">
        <x:v>COMPLETE_DIALOGUE</x:v>
      </x:c>
      <x:c r="H43" s="101" t="str">
        <x:v>TEAM</x:v>
      </x:c>
      <x:c r="I43" s="101" t="str">
        <x:v>place_day_1_porta_del_popolo</x:v>
      </x:c>
      <x:c r="J43" s="101" t="str">
        <x:v>D1-Q03-COMPLETE</x:v>
      </x:c>
      <x:c r="K43" s="101" t="str">
        <x:v>Abschlussdialog und Konsequenz anzeigen.</x:v>
      </x:c>
      <x:c r="L43" s="101" t="str">
        <x:v>dialogSequenceComplete('D1-Q03-COMPLETE')</x:v>
      </x:c>
      <x:c r="M43" s="101" t="str">
        <x:v>state=REWARD</x:v>
      </x:c>
      <x:c r="N43" s="101" t="str">
        <x:v>Dialog erneut öffnen.</x:v>
      </x:c>
      <x:c r="O43" s="101" t="str">
        <x:v>REQUIRED</x:v>
      </x:c>
      <x:c r="P43" s="101" t="str">
        <x:v>allRequiredObjectivesComplete</x:v>
      </x:c>
      <x:c r="Q43" s="101" t="str">
        <x:v>DIALOGUE</x:v>
      </x:c>
      <x:c r="R43" s="101" t="str">
        <x:v>quest.completed</x:v>
      </x:c>
      <x:c r="S43" s="101" t="str">
        <x:v>Abschluss erst serverseitig nach allen Pflichtschritten.</x:v>
      </x:c>
    </x:row>
    <x:row r="44" ht="74" customHeight="1">
      <x:c r="A44" s="104" t="str">
        <x:v>D1-Q03</x:v>
      </x:c>
      <x:c r="B44" s="104" t="str">
        <x:v>D1-Q03-S12</x:v>
      </x:c>
      <x:c r="C44" s="110" t="n">
        <x:v>12</x:v>
      </x:c>
      <x:c r="D44" s="104" t="str">
        <x:v>REWARD</x:v>
      </x:c>
      <x:c r="E44" s="104" t="str">
        <x:v>GRANT_REWARD</x:v>
      </x:c>
      <x:c r="F44" s="104" t="str">
        <x:v>SYSTEM_ACTION</x:v>
      </x:c>
      <x:c r="G44" s="104" t="str"/>
      <x:c r="H44" s="104" t="str">
        <x:v>TEAM</x:v>
      </x:c>
      <x:c r="I44" s="104" t="str"/>
      <x:c r="J44" s="104" t="str">
        <x:v>D1-Q03</x:v>
      </x:c>
      <x:c r="K44" s="104" t="str">
        <x:v>Atomare Vergabe von Ruhm, Denaren, Loot und Variantenbonus.</x:v>
      </x:c>
      <x:c r="L44" s="104" t="str">
        <x:v>rewardTransactionCommitted</x:v>
      </x:c>
      <x:c r="M44" s="104" t="str">
        <x:v>state=COMPLETED</x:v>
      </x:c>
      <x:c r="N44" s="104" t="str">
        <x:v>Idempotenter Retry mit gleicher rewardTransactionId.</x:v>
      </x:c>
      <x:c r="O44" s="104" t="str">
        <x:v>REQUIRED</x:v>
      </x:c>
      <x:c r="P44" s="104" t="str">
        <x:v>questComplete</x:v>
      </x:c>
      <x:c r="Q44" s="104" t="str">
        <x:v>REWARD</x:v>
      </x:c>
      <x:c r="R44" s="104" t="str">
        <x:v>quest.reward.granted</x:v>
      </x:c>
      <x:c r="S44" s="104" t="str">
        <x:v>Arbeitswerte aus Quest Master; finales Balancing separat.</x:v>
      </x:c>
    </x:row>
    <x:row r="45" ht="74" customHeight="1">
      <x:c r="A45" s="101" t="str">
        <x:v>D1-Q04</x:v>
      </x:c>
      <x:c r="B45" s="101" t="str">
        <x:v>D1-Q04-S01</x:v>
      </x:c>
      <x:c r="C45" s="109" t="n">
        <x:v>1</x:v>
      </x:c>
      <x:c r="D45" s="101" t="str">
        <x:v>DISCOVER</x:v>
      </x:c>
      <x:c r="E45" s="101" t="str">
        <x:v>DISCOVER_NPC</x:v>
      </x:c>
      <x:c r="F45" s="101" t="str">
        <x:v>FLOW_ACTION</x:v>
      </x:c>
      <x:c r="G45" s="101" t="str"/>
      <x:c r="H45" s="101" t="str">
        <x:v>TEAM</x:v>
      </x:c>
      <x:c r="I45" s="101" t="str">
        <x:v>place_day_1_obelisco_di_antinoo</x:v>
      </x:c>
      <x:c r="J45" s="101" t="str">
        <x:v>npc_seshat_pincio</x:v>
      </x:c>
      <x:c r="K45" s="101" t="str">
        <x:v>Entdeckt Seshat vom Pincio ab 55 m; Interaktion wird bei stabilem 15-m-Fix verfügbar.</x:v>
      </x:c>
      <x:c r="L45" s="101" t="str">
        <x:v>npcDiscovered &amp;&amp; interactionGateOpen</x:v>
      </x:c>
      <x:c r="M45" s="101" t="str">
        <x:v>state=DIALOGUE</x:v>
      </x:c>
      <x:c r="N45" s="101" t="str">
        <x:v>UI bleibt auf Karte; GPS-Hinweis anzeigen.</x:v>
      </x:c>
      <x:c r="O45" s="101" t="str">
        <x:v>REQUIRED</x:v>
      </x:c>
      <x:c r="P45" s="101" t="str"/>
      <x:c r="Q45" s="101" t="str">
        <x:v>MAP_OBJECT_SHEET</x:v>
      </x:c>
      <x:c r="R45" s="101" t="str">
        <x:v>quest.discovered</x:v>
      </x:c>
      <x:c r="S45" s="101" t="str">
        <x:v>15-m-Enter/25-m-Exit-Hysterese; serverautoritativ.</x:v>
      </x:c>
    </x:row>
    <x:row r="46" ht="74" customHeight="1">
      <x:c r="A46" s="104" t="str">
        <x:v>D1-Q04</x:v>
      </x:c>
      <x:c r="B46" s="104" t="str">
        <x:v>D1-Q04-S02</x:v>
      </x:c>
      <x:c r="C46" s="110" t="n">
        <x:v>2</x:v>
      </x:c>
      <x:c r="D46" s="104" t="str">
        <x:v>DIALOGUE</x:v>
      </x:c>
      <x:c r="E46" s="104" t="str">
        <x:v>TALK_TO_NPC</x:v>
      </x:c>
      <x:c r="F46" s="104" t="str">
        <x:v>OBJECTIVE</x:v>
      </x:c>
      <x:c r="G46" s="104" t="str">
        <x:v>COMPLETE_DIALOGUE</x:v>
      </x:c>
      <x:c r="H46" s="104" t="str">
        <x:v>TEAM</x:v>
      </x:c>
      <x:c r="I46" s="104" t="str">
        <x:v>place_day_1_obelisco_di_antinoo</x:v>
      </x:c>
      <x:c r="J46" s="104" t="str">
        <x:v>D1-Q04-OFFER</x:v>
      </x:c>
      <x:c r="K46" s="104" t="str">
        <x:v>Questangebot und erste Dialogoption anzeigen.</x:v>
      </x:c>
      <x:c r="L46" s="104" t="str">
        <x:v>dialogSequenceComplete('D1-Q04-OFFER')</x:v>
      </x:c>
      <x:c r="M46" s="104" t="str">
        <x:v>state=ACCEPT</x:v>
      </x:c>
      <x:c r="N46" s="104" t="str">
        <x:v>Dialog kann erneut geöffnet werden.</x:v>
      </x:c>
      <x:c r="O46" s="104" t="str">
        <x:v>REQUIRED</x:v>
      </x:c>
      <x:c r="P46" s="104" t="str"/>
      <x:c r="Q46" s="104" t="str">
        <x:v>DIALOGUE</x:v>
      </x:c>
      <x:c r="R46" s="104" t="str">
        <x:v>quest.dialogue.offer</x:v>
      </x:c>
      <x:c r="S46" s="104" t="str">
        <x:v>Teamentscheidung wird einmal serverseitig gespeichert.</x:v>
      </x:c>
    </x:row>
    <x:row r="47" ht="74" customHeight="1">
      <x:c r="A47" s="101" t="str">
        <x:v>D1-Q04</x:v>
      </x:c>
      <x:c r="B47" s="101" t="str">
        <x:v>D1-Q04-S03</x:v>
      </x:c>
      <x:c r="C47" s="109" t="n">
        <x:v>3</x:v>
      </x:c>
      <x:c r="D47" s="101" t="str">
        <x:v>ACCEPT</x:v>
      </x:c>
      <x:c r="E47" s="101" t="str">
        <x:v>ACCEPT_QUEST</x:v>
      </x:c>
      <x:c r="F47" s="101" t="str">
        <x:v>FLOW_ACTION</x:v>
      </x:c>
      <x:c r="G47" s="101" t="str"/>
      <x:c r="H47" s="101" t="str">
        <x:v>TEAM</x:v>
      </x:c>
      <x:c r="I47" s="101" t="str">
        <x:v>place_day_1_obelisco_di_antinoo</x:v>
      </x:c>
      <x:c r="J47" s="101" t="str">
        <x:v>D1-Q04</x:v>
      </x:c>
      <x:c r="K47" s="101" t="str">
        <x:v>Quest annehmen; Voraussetzungen, Slotwirkung und Fallback vor Bestätigung anzeigen.</x:v>
      </x:c>
      <x:c r="L47" s="101" t="str">
        <x:v>teamVoteResolved &amp;&amp; questSlotReserved</x:v>
      </x:c>
      <x:c r="M47" s="101" t="str">
        <x:v>state=OBJECTIVE</x:v>
      </x:c>
      <x:c r="N47" s="101" t="str">
        <x:v>Annahme abbrechbar; kein Slotverbrauch.</x:v>
      </x:c>
      <x:c r="O47" s="101" t="str">
        <x:v>REQUIRED</x:v>
      </x:c>
      <x:c r="P47" s="101" t="str"/>
      <x:c r="Q47" s="101" t="str">
        <x:v>QUEST_ACCEPT</x:v>
      </x:c>
      <x:c r="R47" s="101" t="str">
        <x:v>quest.accepted</x:v>
      </x:c>
      <x:c r="S47" s="101" t="str">
        <x:v>Maximal drei reguläre aktive Quests pro Team.</x:v>
      </x:c>
    </x:row>
    <x:row r="48" ht="74" customHeight="1">
      <x:c r="A48" s="104" t="str">
        <x:v>D1-Q04</x:v>
      </x:c>
      <x:c r="B48" s="104" t="str">
        <x:v>D1-Q04-S04</x:v>
      </x:c>
      <x:c r="C48" s="110" t="n">
        <x:v>4</x:v>
      </x:c>
      <x:c r="D48" s="104" t="str">
        <x:v>OBJECTIVE</x:v>
      </x:c>
      <x:c r="E48" s="104" t="str">
        <x:v>ANSWER_QUESTION</x:v>
      </x:c>
      <x:c r="F48" s="104" t="str">
        <x:v>OBJECTIVE</x:v>
      </x:c>
      <x:c r="G48" s="104" t="str">
        <x:v>SUBMIT_ANSWER</x:v>
      </x:c>
      <x:c r="H48" s="104" t="str">
        <x:v>TEAM</x:v>
      </x:c>
      <x:c r="I48" s="104" t="str">
        <x:v>place_day_1_obelisco_di_antinoo</x:v>
      </x:c>
      <x:c r="J48" s="104" t="str">
        <x:v>OBS-D1-Q04-1</x:v>
      </x:c>
      <x:c r="K48" s="104" t="str">
        <x:v>Die Hieroglyphen am Antinoos-Obelisk identifizieren. Frage: Welche Art von Schriftzeichen bedeckt den Schaft?</x:v>
      </x:c>
      <x:c r="L48" s="104" t="str">
        <x:v>normalizedAnswer matches 'Hieroglyphen'</x:v>
      </x:c>
      <x:c r="M48" s="104" t="str">
        <x:v>stationComplete=true</x:v>
      </x:c>
      <x:c r="N48" s="104" t="str">
        <x:v>Hint 1 → Hint 2 → Fallback; Grundabschluss bleibt möglich.</x:v>
      </x:c>
      <x:c r="O48" s="104" t="str">
        <x:v>REQUIRED</x:v>
      </x:c>
      <x:c r="P48" s="104" t="str">
        <x:v>stationActive</x:v>
      </x:c>
      <x:c r="Q48" s="104" t="str">
        <x:v>OBSERVATION_INPUT</x:v>
      </x:c>
      <x:c r="R48" s="104" t="str">
        <x:v>quest.observation.answered</x:v>
      </x:c>
      <x:c r="S48" s="104" t="str">
        <x:v>Evidence: Hieroglyphen auf allen Schaftseiten und deutliche Obeliskform. | Ampel: GRUEN</x:v>
      </x:c>
    </x:row>
    <x:row r="49" ht="74" customHeight="1">
      <x:c r="A49" s="101" t="str">
        <x:v>D1-Q04</x:v>
      </x:c>
      <x:c r="B49" s="101" t="str">
        <x:v>D1-Q04-S05</x:v>
      </x:c>
      <x:c r="C49" s="109" t="n">
        <x:v>5</x:v>
      </x:c>
      <x:c r="D49" s="101" t="str">
        <x:v>OBJECTIVE</x:v>
      </x:c>
      <x:c r="E49" s="101" t="str">
        <x:v>REACH_LOCATION</x:v>
      </x:c>
      <x:c r="F49" s="101" t="str">
        <x:v>OBJECTIVE</x:v>
      </x:c>
      <x:c r="G49" s="101" t="str">
        <x:v>REACH_LOCATION</x:v>
      </x:c>
      <x:c r="H49" s="101" t="str">
        <x:v>TEAM</x:v>
      </x:c>
      <x:c r="I49" s="101" t="str">
        <x:v>place_day_1_fontana_della_dea_di_roma</x:v>
      </x:c>
      <x:c r="J49" s="101" t="str">
        <x:v>place_day_1_fontana_della_dea_di_roma</x:v>
      </x:c>
      <x:c r="K49" s="101" t="str">
        <x:v>Erreicht Fontana della Dea di Roma.</x:v>
      </x:c>
      <x:c r="L49" s="101" t="str">
        <x:v>teamMembersInRadius &gt;= 2 &amp;&amp; stableFixes &gt;= 2</x:v>
      </x:c>
      <x:c r="M49" s="101" t="str">
        <x:v>stationActive=true</x:v>
      </x:c>
      <x:c r="N49" s="101" t="str">
        <x:v>Hinweisleiter; Ziel bleibt offen.</x:v>
      </x:c>
      <x:c r="O49" s="101" t="str">
        <x:v>REQUIRED</x:v>
      </x:c>
      <x:c r="P49" s="101" t="str">
        <x:v>previousStepComplete</x:v>
      </x:c>
      <x:c r="Q49" s="101" t="str">
        <x:v>MAP_AND_QUEST</x:v>
      </x:c>
      <x:c r="R49" s="101" t="str">
        <x:v>quest.location.reached</x:v>
      </x:c>
      <x:c r="S49" s="101" t="str">
        <x:v>Standard 15-m-Zielradius; keine Innen-/Eintrittspflicht.</x:v>
      </x:c>
    </x:row>
    <x:row r="50" ht="74" customHeight="1">
      <x:c r="A50" s="104" t="str">
        <x:v>D1-Q04</x:v>
      </x:c>
      <x:c r="B50" s="104" t="str">
        <x:v>D1-Q04-S06</x:v>
      </x:c>
      <x:c r="C50" s="110" t="n">
        <x:v>6</x:v>
      </x:c>
      <x:c r="D50" s="104" t="str">
        <x:v>OBJECTIVE</x:v>
      </x:c>
      <x:c r="E50" s="104" t="str">
        <x:v>ANSWER_QUESTION</x:v>
      </x:c>
      <x:c r="F50" s="104" t="str">
        <x:v>OBJECTIVE</x:v>
      </x:c>
      <x:c r="G50" s="104" t="str">
        <x:v>SUBMIT_ANSWER</x:v>
      </x:c>
      <x:c r="H50" s="104" t="str">
        <x:v>TEAM</x:v>
      </x:c>
      <x:c r="I50" s="104" t="str">
        <x:v>place_day_1_fontana_della_dea_di_roma</x:v>
      </x:c>
      <x:c r="J50" s="104" t="str">
        <x:v>OBS-D1-Q04-2</x:v>
      </x:c>
      <x:c r="K50" s="104" t="str">
        <x:v>Wölfin und Zwillinge der Dea di Roma zuordnen und die Tessera Lupae aufnehmen. Frage: Welches Tier ist zusammen mit den Zwillingen Romulus und Remus dargestellt?</x:v>
      </x:c>
      <x:c r="L50" s="104" t="str">
        <x:v>normalizedAnswer matches 'Eine Wölfin'</x:v>
      </x:c>
      <x:c r="M50" s="104" t="str">
        <x:v>stationComplete=true</x:v>
      </x:c>
      <x:c r="N50" s="104" t="str">
        <x:v>Hint 1 → Hint 2 → Fallback; Grundabschluss bleibt möglich.</x:v>
      </x:c>
      <x:c r="O50" s="104" t="str">
        <x:v>REQUIRED</x:v>
      </x:c>
      <x:c r="P50" s="104" t="str">
        <x:v>stationActive</x:v>
      </x:c>
      <x:c r="Q50" s="104" t="str">
        <x:v>OBSERVATION_INPUT</x:v>
      </x:c>
      <x:c r="R50" s="104" t="str">
        <x:v>quest.observation.answered</x:v>
      </x:c>
      <x:c r="S50" s="104" t="str">
        <x:v>Evidence: Zentrale sitzende Göttin und gut erkennbare Wölfin mit Zwillingen im unteren Bereich. | Ampel: GRUEN</x:v>
      </x:c>
    </x:row>
    <x:row r="51" ht="74" customHeight="1">
      <x:c r="A51" s="101" t="str">
        <x:v>D1-Q04</x:v>
      </x:c>
      <x:c r="B51" s="101" t="str">
        <x:v>D1-Q04-S07</x:v>
      </x:c>
      <x:c r="C51" s="109" t="n">
        <x:v>7</x:v>
      </x:c>
      <x:c r="D51" s="101" t="str">
        <x:v>OBJECTIVE</x:v>
      </x:c>
      <x:c r="E51" s="101" t="str">
        <x:v>REACH_LOCATION</x:v>
      </x:c>
      <x:c r="F51" s="101" t="str">
        <x:v>OBJECTIVE</x:v>
      </x:c>
      <x:c r="G51" s="101" t="str">
        <x:v>REACH_LOCATION</x:v>
      </x:c>
      <x:c r="H51" s="101" t="str">
        <x:v>TEAM</x:v>
      </x:c>
      <x:c r="I51" s="101" t="str">
        <x:v>place_day_1_balconata_del_pincio</x:v>
      </x:c>
      <x:c r="J51" s="101" t="str">
        <x:v>place_day_1_balconata_del_pincio</x:v>
      </x:c>
      <x:c r="K51" s="101" t="str">
        <x:v>Erreicht Balconata del Pincio.</x:v>
      </x:c>
      <x:c r="L51" s="101" t="str">
        <x:v>teamMembersInRadius &gt;= 2 &amp;&amp; stableFixes &gt;= 2</x:v>
      </x:c>
      <x:c r="M51" s="101" t="str">
        <x:v>stationActive=true</x:v>
      </x:c>
      <x:c r="N51" s="101" t="str">
        <x:v>Hinweisleiter; Ziel bleibt offen.</x:v>
      </x:c>
      <x:c r="O51" s="101" t="str">
        <x:v>REQUIRED</x:v>
      </x:c>
      <x:c r="P51" s="101" t="str">
        <x:v>previousStepComplete</x:v>
      </x:c>
      <x:c r="Q51" s="101" t="str">
        <x:v>MAP_AND_QUEST</x:v>
      </x:c>
      <x:c r="R51" s="101" t="str">
        <x:v>quest.location.reached</x:v>
      </x:c>
      <x:c r="S51" s="101" t="str">
        <x:v>Standard 15-m-Zielradius; keine Innen-/Eintrittspflicht.</x:v>
      </x:c>
    </x:row>
    <x:row r="52" ht="74" customHeight="1">
      <x:c r="A52" s="104" t="str">
        <x:v>D1-Q04</x:v>
      </x:c>
      <x:c r="B52" s="104" t="str">
        <x:v>D1-Q04-S08</x:v>
      </x:c>
      <x:c r="C52" s="110" t="n">
        <x:v>8</x:v>
      </x:c>
      <x:c r="D52" s="104" t="str">
        <x:v>OBJECTIVE</x:v>
      </x:c>
      <x:c r="E52" s="104" t="str">
        <x:v>ANSWER_QUESTION</x:v>
      </x:c>
      <x:c r="F52" s="104" t="str">
        <x:v>OBJECTIVE</x:v>
      </x:c>
      <x:c r="G52" s="104" t="str">
        <x:v>SUBMIT_ANSWER</x:v>
      </x:c>
      <x:c r="H52" s="104" t="str">
        <x:v>TEAM</x:v>
      </x:c>
      <x:c r="I52" s="104" t="str">
        <x:v>place_day_1_balconata_del_pincio</x:v>
      </x:c>
      <x:c r="J52" s="104" t="str">
        <x:v>OBS-D1-Q04-3</x:v>
      </x:c>
      <x:c r="K52" s="104" t="str">
        <x:v>Piazza del Popolo vom Pincio erkennen und die Tessera vor dem Kampf einsetzen. Frage: Welcher große Platz liegt direkt unter der Aussichtsterrasse?</x:v>
      </x:c>
      <x:c r="L52" s="104" t="str">
        <x:v>normalizedAnswer matches 'Piazza del Popolo'</x:v>
      </x:c>
      <x:c r="M52" s="104" t="str">
        <x:v>stationComplete=true</x:v>
      </x:c>
      <x:c r="N52" s="104" t="str">
        <x:v>Hint 1 → Hint 2 → Fallback; Grundabschluss bleibt möglich.</x:v>
      </x:c>
      <x:c r="O52" s="104" t="str">
        <x:v>REQUIRED</x:v>
      </x:c>
      <x:c r="P52" s="104" t="str">
        <x:v>stationActive</x:v>
      </x:c>
      <x:c r="Q52" s="104" t="str">
        <x:v>OBSERVATION_INPUT</x:v>
      </x:c>
      <x:c r="R52" s="104" t="str">
        <x:v>quest.observation.answered</x:v>
      </x:c>
      <x:c r="S52" s="104" t="str">
        <x:v>Evidence: Große Balustrade mit unmittelbarem Überblick auf Piazza del Popolo. | Ampel: GRUEN</x:v>
      </x:c>
    </x:row>
    <x:row r="53" ht="74" customHeight="1">
      <x:c r="A53" s="101" t="str">
        <x:v>D1-Q04</x:v>
      </x:c>
      <x:c r="B53" s="101" t="str">
        <x:v>D1-Q04-S09</x:v>
      </x:c>
      <x:c r="C53" s="109" t="n">
        <x:v>9</x:v>
      </x:c>
      <x:c r="D53" s="101" t="str">
        <x:v>OBJECTIVE</x:v>
      </x:c>
      <x:c r="E53" s="101" t="str">
        <x:v>SOLVE_PUZZLE</x:v>
      </x:c>
      <x:c r="F53" s="101" t="str">
        <x:v>OBJECTIVE</x:v>
      </x:c>
      <x:c r="G53" s="101" t="str">
        <x:v>SUBMIT_ANSWER</x:v>
      </x:c>
      <x:c r="H53" s="101" t="str">
        <x:v>TEAM</x:v>
      </x:c>
      <x:c r="I53" s="101" t="str">
        <x:v>place_day_1_balconata_del_pincio</x:v>
      </x:c>
      <x:c r="J53" s="101" t="str">
        <x:v>PZ-D1-Q04</x:v>
      </x:c>
      <x:c r="K53" s="101" t="str">
        <x:v>Welches sichtbare Tier verbindet die Brunnenfigur mit der Gründungserzählung Roms?</x:v>
      </x:c>
      <x:c r="L53" s="101" t="str">
        <x:v>puzzleResult == CORRECT</x:v>
      </x:c>
      <x:c r="M53" s="101" t="str">
        <x:v>synthesisComplete=true</x:v>
      </x:c>
      <x:c r="N53" s="101" t="str">
        <x:v>Bildkarten Adler/Wölfin/Pferd/Delfin anzeigen.</x:v>
      </x:c>
      <x:c r="O53" s="101" t="str">
        <x:v>REQUIRED</x:v>
      </x:c>
      <x:c r="P53" s="101" t="str">
        <x:v>allRequiredStationsComplete</x:v>
      </x:c>
      <x:c r="Q53" s="101" t="str">
        <x:v>PUZZLE</x:v>
      </x:c>
      <x:c r="R53" s="101" t="str">
        <x:v>quest.puzzle.solved</x:v>
      </x:c>
      <x:c r="S53" s="101" t="str">
        <x:v>Penalty: Gegner behält eine Zusatzfähigkeit</x:v>
      </x:c>
    </x:row>
    <x:row r="54" ht="74" customHeight="1">
      <x:c r="A54" s="104" t="str">
        <x:v>D1-Q04</x:v>
      </x:c>
      <x:c r="B54" s="104" t="str">
        <x:v>D1-Q04-S10</x:v>
      </x:c>
      <x:c r="C54" s="110" t="n">
        <x:v>10</x:v>
      </x:c>
      <x:c r="D54" s="104" t="str">
        <x:v>OBJECTIVE</x:v>
      </x:c>
      <x:c r="E54" s="104" t="str">
        <x:v>USE_ITEM</x:v>
      </x:c>
      <x:c r="F54" s="104" t="str">
        <x:v>OBJECTIVE</x:v>
      </x:c>
      <x:c r="G54" s="104" t="str">
        <x:v>DELIVER_ITEM</x:v>
      </x:c>
      <x:c r="H54" s="104" t="str">
        <x:v>TEAM</x:v>
      </x:c>
      <x:c r="I54" s="104" t="str">
        <x:v>place_day_1_balconata_del_pincio</x:v>
      </x:c>
      <x:c r="J54" s="104" t="str">
        <x:v>qi_tessera_lupae</x:v>
      </x:c>
      <x:c r="K54" s="104" t="str">
        <x:v>Tessera der Wölfin einsetzen: Vor Kampfbeginn einsetzen; entfernt die erste Illusionsfähigkeit der Ombra.</x:v>
      </x:c>
      <x:c r="L54" s="104" t="str">
        <x:v>teamInventory consumed('qi_tessera_lupae')</x:v>
      </x:c>
      <x:c r="M54" s="104" t="str">
        <x:v>itemEffectApplied=true</x:v>
      </x:c>
      <x:c r="N54" s="104" t="str">
        <x:v>Item wird bei technischem Fehler atomar zurückgebucht.</x:v>
      </x:c>
      <x:c r="O54" s="104" t="str">
        <x:v>REQUIRED</x:v>
      </x:c>
      <x:c r="P54" s="104" t="str">
        <x:v>synthesisComplete</x:v>
      </x:c>
      <x:c r="Q54" s="104" t="str">
        <x:v>INVENTORY_ACTION</x:v>
      </x:c>
      <x:c r="R54" s="104" t="str">
        <x:v>quest.item.used</x:v>
      </x:c>
      <x:c r="S54" s="104" t="str">
        <x:v>Questitem nicht handelbar und nicht verlierbar.</x:v>
      </x:c>
    </x:row>
    <x:row r="55" ht="74" customHeight="1">
      <x:c r="A55" s="101" t="str">
        <x:v>D1-Q04</x:v>
      </x:c>
      <x:c r="B55" s="101" t="str">
        <x:v>D1-Q04-S11</x:v>
      </x:c>
      <x:c r="C55" s="109" t="n">
        <x:v>11</x:v>
      </x:c>
      <x:c r="D55" s="101" t="str">
        <x:v>OBJECTIVE</x:v>
      </x:c>
      <x:c r="E55" s="101" t="str">
        <x:v>DEFEAT_ENEMY</x:v>
      </x:c>
      <x:c r="F55" s="101" t="str">
        <x:v>OBJECTIVE</x:v>
      </x:c>
      <x:c r="G55" s="101" t="str">
        <x:v>COMPLETE_ENCOUNTER</x:v>
      </x:c>
      <x:c r="H55" s="101" t="str">
        <x:v>TEAM</x:v>
      </x:c>
      <x:c r="I55" s="101" t="str">
        <x:v>place_day_1_balconata_del_pincio</x:v>
      </x:c>
      <x:c r="J55" s="101" t="str">
        <x:v>CP-QE-ANTINOO</x:v>
      </x:c>
      <x:c r="K55" s="101" t="str">
        <x:v>Ombra di Antinoo bekämpfen.</x:v>
      </x:c>
      <x:c r="L55" s="101" t="str">
        <x:v>combatState == WON</x:v>
      </x:c>
      <x:c r="M55" s="101" t="str">
        <x:v>encounterComplete=true</x:v>
      </x:c>
      <x:c r="N55" s="101" t="str">
        <x:v>Quest bleibt aktiv; nach Team-Wipe Wiederbelebungsregeln.</x:v>
      </x:c>
      <x:c r="O55" s="101" t="str">
        <x:v>REQUIRED</x:v>
      </x:c>
      <x:c r="P55" s="101" t="str">
        <x:v>synthesisComplete</x:v>
      </x:c>
      <x:c r="Q55" s="101" t="str">
        <x:v>COMBAT</x:v>
      </x:c>
      <x:c r="R55" s="101" t="str">
        <x:v>quest.combat.completed</x:v>
      </x:c>
      <x:c r="S55" s="101" t="str">
        <x:v>QUEST_ENEMY ist teambezogen; kein normaler Respawn.</x:v>
      </x:c>
    </x:row>
    <x:row r="56" ht="74" customHeight="1">
      <x:c r="A56" s="104" t="str">
        <x:v>D1-Q04</x:v>
      </x:c>
      <x:c r="B56" s="104" t="str">
        <x:v>D1-Q04-S12</x:v>
      </x:c>
      <x:c r="C56" s="110" t="n">
        <x:v>12</x:v>
      </x:c>
      <x:c r="D56" s="104" t="str">
        <x:v>COMPLETE</x:v>
      </x:c>
      <x:c r="E56" s="104" t="str">
        <x:v>TALK_TO_NPC</x:v>
      </x:c>
      <x:c r="F56" s="104" t="str">
        <x:v>OBJECTIVE</x:v>
      </x:c>
      <x:c r="G56" s="104" t="str">
        <x:v>COMPLETE_DIALOGUE</x:v>
      </x:c>
      <x:c r="H56" s="104" t="str">
        <x:v>TEAM</x:v>
      </x:c>
      <x:c r="I56" s="104" t="str">
        <x:v>place_day_1_balconata_del_pincio</x:v>
      </x:c>
      <x:c r="J56" s="104" t="str">
        <x:v>D1-Q04-COMPLETE</x:v>
      </x:c>
      <x:c r="K56" s="104" t="str">
        <x:v>Abschlussdialog und Konsequenz anzeigen.</x:v>
      </x:c>
      <x:c r="L56" s="104" t="str">
        <x:v>dialogSequenceComplete('D1-Q04-COMPLETE')</x:v>
      </x:c>
      <x:c r="M56" s="104" t="str">
        <x:v>state=REWARD</x:v>
      </x:c>
      <x:c r="N56" s="104" t="str">
        <x:v>Dialog erneut öffnen.</x:v>
      </x:c>
      <x:c r="O56" s="104" t="str">
        <x:v>REQUIRED</x:v>
      </x:c>
      <x:c r="P56" s="104" t="str">
        <x:v>allRequiredObjectivesComplete</x:v>
      </x:c>
      <x:c r="Q56" s="104" t="str">
        <x:v>DIALOGUE</x:v>
      </x:c>
      <x:c r="R56" s="104" t="str">
        <x:v>quest.completed</x:v>
      </x:c>
      <x:c r="S56" s="104" t="str">
        <x:v>Abschluss erst serverseitig nach allen Pflichtschritten.</x:v>
      </x:c>
    </x:row>
    <x:row r="57" ht="74" customHeight="1">
      <x:c r="A57" s="101" t="str">
        <x:v>D1-Q04</x:v>
      </x:c>
      <x:c r="B57" s="101" t="str">
        <x:v>D1-Q04-S13</x:v>
      </x:c>
      <x:c r="C57" s="109" t="n">
        <x:v>13</x:v>
      </x:c>
      <x:c r="D57" s="101" t="str">
        <x:v>REWARD</x:v>
      </x:c>
      <x:c r="E57" s="101" t="str">
        <x:v>GRANT_REWARD</x:v>
      </x:c>
      <x:c r="F57" s="101" t="str">
        <x:v>SYSTEM_ACTION</x:v>
      </x:c>
      <x:c r="G57" s="101" t="str"/>
      <x:c r="H57" s="101" t="str">
        <x:v>TEAM</x:v>
      </x:c>
      <x:c r="I57" s="101" t="str"/>
      <x:c r="J57" s="101" t="str">
        <x:v>D1-Q04</x:v>
      </x:c>
      <x:c r="K57" s="101" t="str">
        <x:v>Atomare Vergabe von Ruhm, Denaren, Loot und Variantenbonus.</x:v>
      </x:c>
      <x:c r="L57" s="101" t="str">
        <x:v>rewardTransactionCommitted</x:v>
      </x:c>
      <x:c r="M57" s="101" t="str">
        <x:v>state=COMPLETED</x:v>
      </x:c>
      <x:c r="N57" s="101" t="str">
        <x:v>Idempotenter Retry mit gleicher rewardTransactionId.</x:v>
      </x:c>
      <x:c r="O57" s="101" t="str">
        <x:v>REQUIRED</x:v>
      </x:c>
      <x:c r="P57" s="101" t="str">
        <x:v>questComplete</x:v>
      </x:c>
      <x:c r="Q57" s="101" t="str">
        <x:v>REWARD</x:v>
      </x:c>
      <x:c r="R57" s="101" t="str">
        <x:v>quest.reward.granted</x:v>
      </x:c>
      <x:c r="S57" s="101" t="str">
        <x:v>Arbeitswerte aus Quest Master; finales Balancing separat.</x:v>
      </x:c>
    </x:row>
    <x:row r="58" ht="74" customHeight="1">
      <x:c r="A58" s="104" t="str">
        <x:v>D1-Q05</x:v>
      </x:c>
      <x:c r="B58" s="104" t="str">
        <x:v>D1-Q05-S01</x:v>
      </x:c>
      <x:c r="C58" s="110" t="n">
        <x:v>1</x:v>
      </x:c>
      <x:c r="D58" s="104" t="str">
        <x:v>DISCOVER</x:v>
      </x:c>
      <x:c r="E58" s="104" t="str">
        <x:v>DISCOVER_NPC</x:v>
      </x:c>
      <x:c r="F58" s="104" t="str">
        <x:v>FLOW_ACTION</x:v>
      </x:c>
      <x:c r="G58" s="104" t="str"/>
      <x:c r="H58" s="104" t="str">
        <x:v>TEAM</x:v>
      </x:c>
      <x:c r="I58" s="104" t="str">
        <x:v>place_day_1_piazza_di_spagna</x:v>
      </x:c>
      <x:c r="J58" s="104" t="str">
        <x:v>npc_barcaccia</x:v>
      </x:c>
      <x:c r="K58" s="104" t="str">
        <x:v>Entdeckt La Barcaccia ab 55 m; Interaktion wird bei stabilem 15-m-Fix verfügbar.</x:v>
      </x:c>
      <x:c r="L58" s="104" t="str">
        <x:v>npcDiscovered &amp;&amp; interactionGateOpen</x:v>
      </x:c>
      <x:c r="M58" s="104" t="str">
        <x:v>state=DIALOGUE</x:v>
      </x:c>
      <x:c r="N58" s="104" t="str">
        <x:v>UI bleibt auf Karte; GPS-Hinweis anzeigen.</x:v>
      </x:c>
      <x:c r="O58" s="104" t="str">
        <x:v>REQUIRED</x:v>
      </x:c>
      <x:c r="P58" s="104" t="str"/>
      <x:c r="Q58" s="104" t="str">
        <x:v>MAP_OBJECT_SHEET</x:v>
      </x:c>
      <x:c r="R58" s="104" t="str">
        <x:v>quest.discovered</x:v>
      </x:c>
      <x:c r="S58" s="104" t="str">
        <x:v>15-m-Enter/25-m-Exit-Hysterese; serverautoritativ.</x:v>
      </x:c>
    </x:row>
    <x:row r="59" ht="74" customHeight="1">
      <x:c r="A59" s="101" t="str">
        <x:v>D1-Q05</x:v>
      </x:c>
      <x:c r="B59" s="101" t="str">
        <x:v>D1-Q05-S02</x:v>
      </x:c>
      <x:c r="C59" s="109" t="n">
        <x:v>2</x:v>
      </x:c>
      <x:c r="D59" s="101" t="str">
        <x:v>DIALOGUE</x:v>
      </x:c>
      <x:c r="E59" s="101" t="str">
        <x:v>TALK_TO_NPC</x:v>
      </x:c>
      <x:c r="F59" s="101" t="str">
        <x:v>OBJECTIVE</x:v>
      </x:c>
      <x:c r="G59" s="101" t="str">
        <x:v>COMPLETE_DIALOGUE</x:v>
      </x:c>
      <x:c r="H59" s="101" t="str">
        <x:v>TEAM</x:v>
      </x:c>
      <x:c r="I59" s="101" t="str">
        <x:v>place_day_1_piazza_di_spagna</x:v>
      </x:c>
      <x:c r="J59" s="101" t="str">
        <x:v>D1-Q05-OFFER</x:v>
      </x:c>
      <x:c r="K59" s="101" t="str">
        <x:v>Questangebot und erste Dialogoption anzeigen.</x:v>
      </x:c>
      <x:c r="L59" s="101" t="str">
        <x:v>dialogSequenceComplete('D1-Q05-OFFER')</x:v>
      </x:c>
      <x:c r="M59" s="101" t="str">
        <x:v>state=ACCEPT</x:v>
      </x:c>
      <x:c r="N59" s="101" t="str">
        <x:v>Dialog kann erneut geöffnet werden.</x:v>
      </x:c>
      <x:c r="O59" s="101" t="str">
        <x:v>REQUIRED</x:v>
      </x:c>
      <x:c r="P59" s="101" t="str"/>
      <x:c r="Q59" s="101" t="str">
        <x:v>DIALOGUE</x:v>
      </x:c>
      <x:c r="R59" s="101" t="str">
        <x:v>quest.dialogue.offer</x:v>
      </x:c>
      <x:c r="S59" s="101" t="str">
        <x:v>Teamentscheidung wird einmal serverseitig gespeichert.</x:v>
      </x:c>
    </x:row>
    <x:row r="60" ht="74" customHeight="1">
      <x:c r="A60" s="104" t="str">
        <x:v>D1-Q05</x:v>
      </x:c>
      <x:c r="B60" s="104" t="str">
        <x:v>D1-Q05-S03</x:v>
      </x:c>
      <x:c r="C60" s="110" t="n">
        <x:v>3</x:v>
      </x:c>
      <x:c r="D60" s="104" t="str">
        <x:v>ACCEPT</x:v>
      </x:c>
      <x:c r="E60" s="104" t="str">
        <x:v>ACCEPT_QUEST</x:v>
      </x:c>
      <x:c r="F60" s="104" t="str">
        <x:v>FLOW_ACTION</x:v>
      </x:c>
      <x:c r="G60" s="104" t="str"/>
      <x:c r="H60" s="104" t="str">
        <x:v>TEAM</x:v>
      </x:c>
      <x:c r="I60" s="104" t="str">
        <x:v>place_day_1_piazza_di_spagna</x:v>
      </x:c>
      <x:c r="J60" s="104" t="str">
        <x:v>D1-Q05</x:v>
      </x:c>
      <x:c r="K60" s="104" t="str">
        <x:v>Quest annehmen; Voraussetzungen, Slotwirkung und Fallback vor Bestätigung anzeigen.</x:v>
      </x:c>
      <x:c r="L60" s="104" t="str">
        <x:v>teamVoteResolved &amp;&amp; questSlotReserved</x:v>
      </x:c>
      <x:c r="M60" s="104" t="str">
        <x:v>state=OBJECTIVE</x:v>
      </x:c>
      <x:c r="N60" s="104" t="str">
        <x:v>Annahme abbrechbar; kein Slotverbrauch.</x:v>
      </x:c>
      <x:c r="O60" s="104" t="str">
        <x:v>REQUIRED</x:v>
      </x:c>
      <x:c r="P60" s="104" t="str"/>
      <x:c r="Q60" s="104" t="str">
        <x:v>QUEST_ACCEPT</x:v>
      </x:c>
      <x:c r="R60" s="104" t="str">
        <x:v>quest.accepted</x:v>
      </x:c>
      <x:c r="S60" s="104" t="str">
        <x:v>Maximal drei reguläre aktive Quests pro Team.</x:v>
      </x:c>
    </x:row>
    <x:row r="61" ht="74" customHeight="1">
      <x:c r="A61" s="101" t="str">
        <x:v>D1-Q05</x:v>
      </x:c>
      <x:c r="B61" s="101" t="str">
        <x:v>D1-Q05-S04</x:v>
      </x:c>
      <x:c r="C61" s="109" t="n">
        <x:v>4</x:v>
      </x:c>
      <x:c r="D61" s="101" t="str">
        <x:v>OBJECTIVE</x:v>
      </x:c>
      <x:c r="E61" s="101" t="str">
        <x:v>ANSWER_QUESTION</x:v>
      </x:c>
      <x:c r="F61" s="101" t="str">
        <x:v>OBJECTIVE</x:v>
      </x:c>
      <x:c r="G61" s="101" t="str">
        <x:v>SUBMIT_ANSWER</x:v>
      </x:c>
      <x:c r="H61" s="101" t="str">
        <x:v>TEAM</x:v>
      </x:c>
      <x:c r="I61" s="101" t="str">
        <x:v>place_day_1_piazza_di_spagna</x:v>
      </x:c>
      <x:c r="J61" s="101" t="str">
        <x:v>OBS-D1-Q05-1</x:v>
      </x:c>
      <x:c r="K61" s="101" t="str">
        <x:v>Die große Bootsform des Brunnens bestimmen und ihre Lage zur Spanischen Treppe beschreiben. Frage: Welche Form hat der Brunnen am Fuß der Spanischen Treppe?</x:v>
      </x:c>
      <x:c r="L61" s="101" t="str">
        <x:v>normalizedAnswer matches 'Ein Boot'</x:v>
      </x:c>
      <x:c r="M61" s="101" t="str">
        <x:v>stationComplete=true</x:v>
      </x:c>
      <x:c r="N61" s="101" t="str">
        <x:v>Hint 1 → Hint 2 → Fallback; Grundabschluss bleibt möglich.</x:v>
      </x:c>
      <x:c r="O61" s="101" t="str">
        <x:v>REQUIRED</x:v>
      </x:c>
      <x:c r="P61" s="101" t="str">
        <x:v>stationActive</x:v>
      </x:c>
      <x:c r="Q61" s="101" t="str">
        <x:v>OBSERVATION_INPUT</x:v>
      </x:c>
      <x:c r="R61" s="101" t="str">
        <x:v>quest.observation.answered</x:v>
      </x:c>
      <x:c r="S61" s="101" t="str">
        <x:v>Evidence: Bootsförmiger Brunnen am Fuß der großen Freitreppe. | Ampel: GRUEN</x:v>
      </x:c>
    </x:row>
    <x:row r="62" ht="74" customHeight="1">
      <x:c r="A62" s="104" t="str">
        <x:v>D1-Q05</x:v>
      </x:c>
      <x:c r="B62" s="104" t="str">
        <x:v>D1-Q05-S05</x:v>
      </x:c>
      <x:c r="C62" s="110" t="n">
        <x:v>5</x:v>
      </x:c>
      <x:c r="D62" s="104" t="str">
        <x:v>OBJECTIVE</x:v>
      </x:c>
      <x:c r="E62" s="104" t="str">
        <x:v>SOLVE_PUZZLE</x:v>
      </x:c>
      <x:c r="F62" s="104" t="str">
        <x:v>OBJECTIVE</x:v>
      </x:c>
      <x:c r="G62" s="104" t="str">
        <x:v>SUBMIT_ANSWER</x:v>
      </x:c>
      <x:c r="H62" s="104" t="str">
        <x:v>TEAM</x:v>
      </x:c>
      <x:c r="I62" s="104" t="str">
        <x:v>place_day_1_piazza_di_spagna</x:v>
      </x:c>
      <x:c r="J62" s="104" t="str">
        <x:v>PZ-D1-Q05</x:v>
      </x:c>
      <x:c r="K62" s="104" t="str">
        <x:v>Welche Großform besitzt der Brunnen am Fuß der Treppe?</x:v>
      </x:c>
      <x:c r="L62" s="104" t="str">
        <x:v>puzzleResult == CORRECT</x:v>
      </x:c>
      <x:c r="M62" s="104" t="str">
        <x:v>synthesisComplete=true</x:v>
      </x:c>
      <x:c r="N62" s="104" t="str">
        <x:v>Richtung der Treppe bestätigen und zwei Optionen anzeigen.</x:v>
      </x:c>
      <x:c r="O62" s="104" t="str">
        <x:v>REQUIRED</x:v>
      </x:c>
      <x:c r="P62" s="104" t="str">
        <x:v>allRequiredStationsComplete</x:v>
      </x:c>
      <x:c r="Q62" s="104" t="str">
        <x:v>PUZZLE</x:v>
      </x:c>
      <x:c r="R62" s="104" t="str">
        <x:v>quest.puzzle.solved</x:v>
      </x:c>
      <x:c r="S62" s="104" t="str">
        <x:v>Penalty: Wissensbonus entfällt</x:v>
      </x:c>
    </x:row>
    <x:row r="63" ht="74" customHeight="1">
      <x:c r="A63" s="101" t="str">
        <x:v>D1-Q05</x:v>
      </x:c>
      <x:c r="B63" s="101" t="str">
        <x:v>D1-Q05-S06</x:v>
      </x:c>
      <x:c r="C63" s="109" t="n">
        <x:v>6</x:v>
      </x:c>
      <x:c r="D63" s="101" t="str">
        <x:v>COMPLETE</x:v>
      </x:c>
      <x:c r="E63" s="101" t="str">
        <x:v>TALK_TO_NPC</x:v>
      </x:c>
      <x:c r="F63" s="101" t="str">
        <x:v>OBJECTIVE</x:v>
      </x:c>
      <x:c r="G63" s="101" t="str">
        <x:v>COMPLETE_DIALOGUE</x:v>
      </x:c>
      <x:c r="H63" s="101" t="str">
        <x:v>TEAM</x:v>
      </x:c>
      <x:c r="I63" s="101" t="str">
        <x:v>place_day_1_piazza_di_spagna</x:v>
      </x:c>
      <x:c r="J63" s="101" t="str">
        <x:v>D1-Q05-COMPLETE</x:v>
      </x:c>
      <x:c r="K63" s="101" t="str">
        <x:v>Abschlussdialog und Konsequenz anzeigen.</x:v>
      </x:c>
      <x:c r="L63" s="101" t="str">
        <x:v>dialogSequenceComplete('D1-Q05-COMPLETE')</x:v>
      </x:c>
      <x:c r="M63" s="101" t="str">
        <x:v>state=REWARD</x:v>
      </x:c>
      <x:c r="N63" s="101" t="str">
        <x:v>Dialog erneut öffnen.</x:v>
      </x:c>
      <x:c r="O63" s="101" t="str">
        <x:v>REQUIRED</x:v>
      </x:c>
      <x:c r="P63" s="101" t="str">
        <x:v>allRequiredObjectivesComplete</x:v>
      </x:c>
      <x:c r="Q63" s="101" t="str">
        <x:v>DIALOGUE</x:v>
      </x:c>
      <x:c r="R63" s="101" t="str">
        <x:v>quest.completed</x:v>
      </x:c>
      <x:c r="S63" s="101" t="str">
        <x:v>Abschluss erst serverseitig nach allen Pflichtschritten.</x:v>
      </x:c>
    </x:row>
    <x:row r="64" ht="74" customHeight="1">
      <x:c r="A64" s="104" t="str">
        <x:v>D1-Q05</x:v>
      </x:c>
      <x:c r="B64" s="104" t="str">
        <x:v>D1-Q05-S07</x:v>
      </x:c>
      <x:c r="C64" s="110" t="n">
        <x:v>7</x:v>
      </x:c>
      <x:c r="D64" s="104" t="str">
        <x:v>REWARD</x:v>
      </x:c>
      <x:c r="E64" s="104" t="str">
        <x:v>GRANT_REWARD</x:v>
      </x:c>
      <x:c r="F64" s="104" t="str">
        <x:v>SYSTEM_ACTION</x:v>
      </x:c>
      <x:c r="G64" s="104" t="str"/>
      <x:c r="H64" s="104" t="str">
        <x:v>TEAM</x:v>
      </x:c>
      <x:c r="I64" s="104" t="str"/>
      <x:c r="J64" s="104" t="str">
        <x:v>D1-Q05</x:v>
      </x:c>
      <x:c r="K64" s="104" t="str">
        <x:v>Atomare Vergabe von Ruhm, Denaren, Loot und Variantenbonus.</x:v>
      </x:c>
      <x:c r="L64" s="104" t="str">
        <x:v>rewardTransactionCommitted</x:v>
      </x:c>
      <x:c r="M64" s="104" t="str">
        <x:v>state=COMPLETED</x:v>
      </x:c>
      <x:c r="N64" s="104" t="str">
        <x:v>Idempotenter Retry mit gleicher rewardTransactionId.</x:v>
      </x:c>
      <x:c r="O64" s="104" t="str">
        <x:v>REQUIRED</x:v>
      </x:c>
      <x:c r="P64" s="104" t="str">
        <x:v>questComplete</x:v>
      </x:c>
      <x:c r="Q64" s="104" t="str">
        <x:v>REWARD</x:v>
      </x:c>
      <x:c r="R64" s="104" t="str">
        <x:v>quest.reward.granted</x:v>
      </x:c>
      <x:c r="S64" s="104" t="str">
        <x:v>Arbeitswerte aus Quest Master; finales Balancing separat.</x:v>
      </x:c>
    </x:row>
    <x:row r="65" ht="74" customHeight="1">
      <x:c r="A65" s="101" t="str">
        <x:v>D1-Q06</x:v>
      </x:c>
      <x:c r="B65" s="101" t="str">
        <x:v>D1-Q06-S01</x:v>
      </x:c>
      <x:c r="C65" s="109" t="n">
        <x:v>1</x:v>
      </x:c>
      <x:c r="D65" s="101" t="str">
        <x:v>DISCOVER</x:v>
      </x:c>
      <x:c r="E65" s="101" t="str">
        <x:v>DISCOVER_NPC</x:v>
      </x:c>
      <x:c r="F65" s="101" t="str">
        <x:v>FLOW_ACTION</x:v>
      </x:c>
      <x:c r="G65" s="101" t="str"/>
      <x:c r="H65" s="101" t="str">
        <x:v>TEAM</x:v>
      </x:c>
      <x:c r="I65" s="101" t="str">
        <x:v>place_day_1_piazza_navona</x:v>
      </x:c>
      <x:c r="J65" s="101" t="str">
        <x:v>npc_bernini_echo</x:v>
      </x:c>
      <x:c r="K65" s="101" t="str">
        <x:v>Entdeckt Gian Lorenzo Bernini – Werkstattecho ab 55 m; Interaktion wird bei stabilem 15-m-Fix verfügbar.</x:v>
      </x:c>
      <x:c r="L65" s="101" t="str">
        <x:v>npcDiscovered &amp;&amp; interactionGateOpen</x:v>
      </x:c>
      <x:c r="M65" s="101" t="str">
        <x:v>state=DIALOGUE</x:v>
      </x:c>
      <x:c r="N65" s="101" t="str">
        <x:v>UI bleibt auf Karte; GPS-Hinweis anzeigen.</x:v>
      </x:c>
      <x:c r="O65" s="101" t="str">
        <x:v>REQUIRED</x:v>
      </x:c>
      <x:c r="P65" s="101" t="str"/>
      <x:c r="Q65" s="101" t="str">
        <x:v>MAP_OBJECT_SHEET</x:v>
      </x:c>
      <x:c r="R65" s="101" t="str">
        <x:v>quest.discovered</x:v>
      </x:c>
      <x:c r="S65" s="101" t="str">
        <x:v>15-m-Enter/25-m-Exit-Hysterese; serverautoritativ.</x:v>
      </x:c>
    </x:row>
    <x:row r="66" ht="74" customHeight="1">
      <x:c r="A66" s="104" t="str">
        <x:v>D1-Q06</x:v>
      </x:c>
      <x:c r="B66" s="104" t="str">
        <x:v>D1-Q06-S02</x:v>
      </x:c>
      <x:c r="C66" s="110" t="n">
        <x:v>2</x:v>
      </x:c>
      <x:c r="D66" s="104" t="str">
        <x:v>DIALOGUE</x:v>
      </x:c>
      <x:c r="E66" s="104" t="str">
        <x:v>TALK_TO_NPC</x:v>
      </x:c>
      <x:c r="F66" s="104" t="str">
        <x:v>OBJECTIVE</x:v>
      </x:c>
      <x:c r="G66" s="104" t="str">
        <x:v>COMPLETE_DIALOGUE</x:v>
      </x:c>
      <x:c r="H66" s="104" t="str">
        <x:v>TEAM</x:v>
      </x:c>
      <x:c r="I66" s="104" t="str">
        <x:v>place_day_1_piazza_navona</x:v>
      </x:c>
      <x:c r="J66" s="104" t="str">
        <x:v>D1-Q06-OFFER</x:v>
      </x:c>
      <x:c r="K66" s="104" t="str">
        <x:v>Questangebot und erste Dialogoption anzeigen.</x:v>
      </x:c>
      <x:c r="L66" s="104" t="str">
        <x:v>dialogSequenceComplete('D1-Q06-OFFER')</x:v>
      </x:c>
      <x:c r="M66" s="104" t="str">
        <x:v>state=ACCEPT</x:v>
      </x:c>
      <x:c r="N66" s="104" t="str">
        <x:v>Dialog kann erneut geöffnet werden.</x:v>
      </x:c>
      <x:c r="O66" s="104" t="str">
        <x:v>REQUIRED</x:v>
      </x:c>
      <x:c r="P66" s="104" t="str"/>
      <x:c r="Q66" s="104" t="str">
        <x:v>DIALOGUE</x:v>
      </x:c>
      <x:c r="R66" s="104" t="str">
        <x:v>quest.dialogue.offer</x:v>
      </x:c>
      <x:c r="S66" s="104" t="str">
        <x:v>Teamentscheidung wird einmal serverseitig gespeichert.</x:v>
      </x:c>
    </x:row>
    <x:row r="67" ht="74" customHeight="1">
      <x:c r="A67" s="101" t="str">
        <x:v>D1-Q06</x:v>
      </x:c>
      <x:c r="B67" s="101" t="str">
        <x:v>D1-Q06-S03</x:v>
      </x:c>
      <x:c r="C67" s="109" t="n">
        <x:v>3</x:v>
      </x:c>
      <x:c r="D67" s="101" t="str">
        <x:v>ACCEPT</x:v>
      </x:c>
      <x:c r="E67" s="101" t="str">
        <x:v>ACCEPT_QUEST</x:v>
      </x:c>
      <x:c r="F67" s="101" t="str">
        <x:v>FLOW_ACTION</x:v>
      </x:c>
      <x:c r="G67" s="101" t="str"/>
      <x:c r="H67" s="101" t="str">
        <x:v>TEAM</x:v>
      </x:c>
      <x:c r="I67" s="101" t="str">
        <x:v>place_day_1_piazza_navona</x:v>
      </x:c>
      <x:c r="J67" s="101" t="str">
        <x:v>D1-Q06</x:v>
      </x:c>
      <x:c r="K67" s="101" t="str">
        <x:v>Quest annehmen; Etappen-Timer 20 s, Startbedingung und Ablaufwirkung vor Bestätigung anzeigen.</x:v>
      </x:c>
      <x:c r="L67" s="101" t="str">
        <x:v>teamVoteResolved &amp;&amp; questSlotReserved</x:v>
      </x:c>
      <x:c r="M67" s="101" t="str">
        <x:v>state=OBJECTIVE</x:v>
      </x:c>
      <x:c r="N67" s="101" t="str">
        <x:v>Annahme abbrechbar; kein Slotverbrauch.</x:v>
      </x:c>
      <x:c r="O67" s="101" t="str">
        <x:v>REQUIRED</x:v>
      </x:c>
      <x:c r="P67" s="101" t="str"/>
      <x:c r="Q67" s="101" t="str">
        <x:v>QUEST_ACCEPT</x:v>
      </x:c>
      <x:c r="R67" s="101" t="str">
        <x:v>quest.accepted</x:v>
      </x:c>
      <x:c r="S67" s="101" t="str">
        <x:v>timerRef=TMR-D1-Q06-S05; Timer startet nicht bei Annahme, sondern gemäß Timer.StartsWhen.</x:v>
      </x:c>
    </x:row>
    <x:row r="68" ht="74" customHeight="1">
      <x:c r="A68" s="104" t="str">
        <x:v>D1-Q06</x:v>
      </x:c>
      <x:c r="B68" s="104" t="str">
        <x:v>D1-Q06-S04</x:v>
      </x:c>
      <x:c r="C68" s="110" t="n">
        <x:v>4</x:v>
      </x:c>
      <x:c r="D68" s="104" t="str">
        <x:v>OBJECTIVE</x:v>
      </x:c>
      <x:c r="E68" s="104" t="str">
        <x:v>ANSWER_QUESTION</x:v>
      </x:c>
      <x:c r="F68" s="104" t="str">
        <x:v>OBJECTIVE</x:v>
      </x:c>
      <x:c r="G68" s="104" t="str">
        <x:v>SUBMIT_ANSWER</x:v>
      </x:c>
      <x:c r="H68" s="104" t="str">
        <x:v>TEAM</x:v>
      </x:c>
      <x:c r="I68" s="104" t="str">
        <x:v>place_day_1_piazza_navona</x:v>
      </x:c>
      <x:c r="J68" s="104" t="str">
        <x:v>OBS-D1-Q06-1</x:v>
      </x:c>
      <x:c r="K68" s="104" t="str">
        <x:v>Die drei großen Brunnen der Platzachse bestätigen und Teamrollen verteilen. Frage: Wie viele große Brunnen liegen entlang der Längsachse der Piazza Navona?</x:v>
      </x:c>
      <x:c r="L68" s="104" t="str">
        <x:v>normalizedAnswer matches 'Drei'</x:v>
      </x:c>
      <x:c r="M68" s="104" t="str">
        <x:v>stationComplete=true</x:v>
      </x:c>
      <x:c r="N68" s="104" t="str">
        <x:v>Hint 1 → Hint 2 → Fallback; Grundabschluss bleibt möglich.</x:v>
      </x:c>
      <x:c r="O68" s="104" t="str">
        <x:v>REQUIRED</x:v>
      </x:c>
      <x:c r="P68" s="104" t="str">
        <x:v>stationActive</x:v>
      </x:c>
      <x:c r="Q68" s="104" t="str">
        <x:v>OBSERVATION_INPUT</x:v>
      </x:c>
      <x:c r="R68" s="104" t="str">
        <x:v>quest.observation.answered</x:v>
      </x:c>
      <x:c r="S68" s="104" t="str">
        <x:v>Evidence: Drei weit auseinanderliegende Großbrunnen entlang der Platzachse. | Ampel: GRUEN</x:v>
      </x:c>
    </x:row>
    <x:row r="69" ht="74" customHeight="1">
      <x:c r="A69" s="101" t="str">
        <x:v>D1-Q06</x:v>
      </x:c>
      <x:c r="B69" s="101" t="str">
        <x:v>D1-Q06-S05</x:v>
      </x:c>
      <x:c r="C69" s="109" t="n">
        <x:v>5</x:v>
      </x:c>
      <x:c r="D69" s="101" t="str">
        <x:v>OBJECTIVE</x:v>
      </x:c>
      <x:c r="E69" s="101" t="str">
        <x:v>NAVIGATION_CHALLENGE</x:v>
      </x:c>
      <x:c r="F69" s="101" t="str">
        <x:v>OBJECTIVE</x:v>
      </x:c>
      <x:c r="G69" s="101" t="str">
        <x:v>REACH_LOCATION</x:v>
      </x:c>
      <x:c r="H69" s="101" t="str">
        <x:v>TEAM_SPLIT</x:v>
      </x:c>
      <x:c r="I69" s="101" t="str">
        <x:v>place_day_1_piazza_navona</x:v>
      </x:c>
      <x:c r="J69" s="101" t="str">
        <x:v>NAV-D1-Q06</x:v>
      </x:c>
      <x:c r="K69" s="101" t="str">
        <x:v>Alle Rollen drücken BEREIT im 15-m-Radius ihres Brunnens. Nach dreifachem Ready startet TMR-D1-Q06-S05 für 20 Sekunden; jede Rolle bestätigt ihr sichtbares Großattribut.</x:v>
      </x:c>
      <x:c r="L69" s="101" t="str">
        <x:v>readyAt.length == 3 &amp;&amp; max(confirmTimestamps)-min(confirmTimestamps) &lt;= 20s</x:v>
      </x:c>
      <x:c r="M69" s="101" t="str">
        <x:v>navigationToken=true; syncBonus=true</x:v>
      </x:c>
      <x:c r="N69" s="101" t="str">
        <x:v>Nach 20 s sicherer Sequenzmodus mit drei Stationen; Synchronbonus entfällt, Grundquest bleibt lösbar.</x:v>
      </x:c>
      <x:c r="O69" s="101" t="str">
        <x:v>REQUIRED</x:v>
      </x:c>
      <x:c r="P69" s="101" t="str">
        <x:v>assignedRolesReady</x:v>
      </x:c>
      <x:c r="Q69" s="101" t="str">
        <x:v>NAVIGATION</x:v>
      </x:c>
      <x:c r="R69" s="101" t="str">
        <x:v>quest.navigation.completed</x:v>
      </x:c>
      <x:c r="S69" s="101" t="str">
        <x:v>timerRef=TMR-D1-Q06-S05; nicht rennen; Countdown erst nach dreifachem Ready; serverautoritativ.</x:v>
      </x:c>
    </x:row>
    <x:row r="70" ht="74" customHeight="1">
      <x:c r="A70" s="104" t="str">
        <x:v>D1-Q06</x:v>
      </x:c>
      <x:c r="B70" s="104" t="str">
        <x:v>D1-Q06-S06</x:v>
      </x:c>
      <x:c r="C70" s="110" t="n">
        <x:v>6</x:v>
      </x:c>
      <x:c r="D70" s="104" t="str">
        <x:v>OBJECTIVE</x:v>
      </x:c>
      <x:c r="E70" s="104" t="str">
        <x:v>REACH_LOCATION</x:v>
      </x:c>
      <x:c r="F70" s="104" t="str">
        <x:v>OBJECTIVE</x:v>
      </x:c>
      <x:c r="G70" s="104" t="str">
        <x:v>REACH_LOCATION</x:v>
      </x:c>
      <x:c r="H70" s="104" t="str">
        <x:v>TEAM</x:v>
      </x:c>
      <x:c r="I70" s="104" t="str">
        <x:v>place_day_1_fontana_del_nettuno</x:v>
      </x:c>
      <x:c r="J70" s="104" t="str">
        <x:v>place_day_1_fontana_del_nettuno</x:v>
      </x:c>
      <x:c r="K70" s="104" t="str">
        <x:v>Erreicht Neptunsbrunnen.</x:v>
      </x:c>
      <x:c r="L70" s="104" t="str">
        <x:v>teamMembersInRadius &gt;= 2 &amp;&amp; stableFixes &gt;= 2</x:v>
      </x:c>
      <x:c r="M70" s="104" t="str">
        <x:v>stationActive=true</x:v>
      </x:c>
      <x:c r="N70" s="104" t="str">
        <x:v>Hinweisleiter; Ziel bleibt offen.</x:v>
      </x:c>
      <x:c r="O70" s="104" t="str">
        <x:v>REQUIRED</x:v>
      </x:c>
      <x:c r="P70" s="104" t="str">
        <x:v>previousStepComplete</x:v>
      </x:c>
      <x:c r="Q70" s="104" t="str">
        <x:v>MAP_AND_QUEST</x:v>
      </x:c>
      <x:c r="R70" s="104" t="str">
        <x:v>quest.location.reached</x:v>
      </x:c>
      <x:c r="S70" s="104" t="str">
        <x:v>Standard 15-m-Zielradius; keine Innen-/Eintrittspflicht.</x:v>
      </x:c>
    </x:row>
    <x:row r="71" ht="74" customHeight="1">
      <x:c r="A71" s="101" t="str">
        <x:v>D1-Q06</x:v>
      </x:c>
      <x:c r="B71" s="101" t="str">
        <x:v>D1-Q06-S07</x:v>
      </x:c>
      <x:c r="C71" s="109" t="n">
        <x:v>7</x:v>
      </x:c>
      <x:c r="D71" s="101" t="str">
        <x:v>OBJECTIVE</x:v>
      </x:c>
      <x:c r="E71" s="101" t="str">
        <x:v>ANSWER_QUESTION</x:v>
      </x:c>
      <x:c r="F71" s="101" t="str">
        <x:v>OBJECTIVE</x:v>
      </x:c>
      <x:c r="G71" s="101" t="str">
        <x:v>SUBMIT_ANSWER</x:v>
      </x:c>
      <x:c r="H71" s="101" t="str">
        <x:v>TEAM</x:v>
      </x:c>
      <x:c r="I71" s="101" t="str">
        <x:v>place_day_1_fontana_del_nettuno</x:v>
      </x:c>
      <x:c r="J71" s="101" t="str">
        <x:v>OBS-D1-Q06-2</x:v>
      </x:c>
      <x:c r="K71" s="101" t="str">
        <x:v>Neptuns Kampf mit dem Oktopus beobachten und synchron melden. Frage: Mit welchem Meerestier ringt Neptun in der zentralen Skulptur?</x:v>
      </x:c>
      <x:c r="L71" s="101" t="str">
        <x:v>normalizedAnswer matches 'Mit einem Oktopus'</x:v>
      </x:c>
      <x:c r="M71" s="101" t="str">
        <x:v>stationComplete=true</x:v>
      </x:c>
      <x:c r="N71" s="101" t="str">
        <x:v>Hint 1 → Hint 2 → Fallback; Grundabschluss bleibt möglich.</x:v>
      </x:c>
      <x:c r="O71" s="101" t="str">
        <x:v>REQUIRED</x:v>
      </x:c>
      <x:c r="P71" s="101" t="str">
        <x:v>stationActive</x:v>
      </x:c>
      <x:c r="Q71" s="101" t="str">
        <x:v>OBSERVATION_INPUT</x:v>
      </x:c>
      <x:c r="R71" s="101" t="str">
        <x:v>quest.observation.answered</x:v>
      </x:c>
      <x:c r="S71" s="101" t="str">
        <x:v>Evidence: Große zentrale Neptunfigur im Ringkampf mit einem vielarmigen Meerestier. | Ampel: GRUEN</x:v>
      </x:c>
    </x:row>
    <x:row r="72" ht="74" customHeight="1">
      <x:c r="A72" s="104" t="str">
        <x:v>D1-Q06</x:v>
      </x:c>
      <x:c r="B72" s="104" t="str">
        <x:v>D1-Q06-S08</x:v>
      </x:c>
      <x:c r="C72" s="110" t="n">
        <x:v>8</x:v>
      </x:c>
      <x:c r="D72" s="104" t="str">
        <x:v>OBJECTIVE</x:v>
      </x:c>
      <x:c r="E72" s="104" t="str">
        <x:v>REACH_LOCATION</x:v>
      </x:c>
      <x:c r="F72" s="104" t="str">
        <x:v>OBJECTIVE</x:v>
      </x:c>
      <x:c r="G72" s="104" t="str">
        <x:v>REACH_LOCATION</x:v>
      </x:c>
      <x:c r="H72" s="104" t="str">
        <x:v>TEAM</x:v>
      </x:c>
      <x:c r="I72" s="104" t="str">
        <x:v>place_day_1_fontana_del_moro</x:v>
      </x:c>
      <x:c r="J72" s="104" t="str">
        <x:v>place_day_1_fontana_del_moro</x:v>
      </x:c>
      <x:c r="K72" s="104" t="str">
        <x:v>Erreicht Mohrenbrunnen.</x:v>
      </x:c>
      <x:c r="L72" s="104" t="str">
        <x:v>teamMembersInRadius &gt;= 2 &amp;&amp; stableFixes &gt;= 2</x:v>
      </x:c>
      <x:c r="M72" s="104" t="str">
        <x:v>stationActive=true</x:v>
      </x:c>
      <x:c r="N72" s="104" t="str">
        <x:v>Hinweisleiter; Ziel bleibt offen.</x:v>
      </x:c>
      <x:c r="O72" s="104" t="str">
        <x:v>REQUIRED</x:v>
      </x:c>
      <x:c r="P72" s="104" t="str">
        <x:v>previousStepComplete</x:v>
      </x:c>
      <x:c r="Q72" s="104" t="str">
        <x:v>MAP_AND_QUEST</x:v>
      </x:c>
      <x:c r="R72" s="104" t="str">
        <x:v>quest.location.reached</x:v>
      </x:c>
      <x:c r="S72" s="104" t="str">
        <x:v>Standard 15-m-Zielradius; keine Innen-/Eintrittspflicht.</x:v>
      </x:c>
    </x:row>
    <x:row r="73" ht="74" customHeight="1">
      <x:c r="A73" s="101" t="str">
        <x:v>D1-Q06</x:v>
      </x:c>
      <x:c r="B73" s="101" t="str">
        <x:v>D1-Q06-S09</x:v>
      </x:c>
      <x:c r="C73" s="109" t="n">
        <x:v>9</x:v>
      </x:c>
      <x:c r="D73" s="101" t="str">
        <x:v>OBJECTIVE</x:v>
      </x:c>
      <x:c r="E73" s="101" t="str">
        <x:v>ANSWER_QUESTION</x:v>
      </x:c>
      <x:c r="F73" s="101" t="str">
        <x:v>OBJECTIVE</x:v>
      </x:c>
      <x:c r="G73" s="101" t="str">
        <x:v>SUBMIT_ANSWER</x:v>
      </x:c>
      <x:c r="H73" s="101" t="str">
        <x:v>TEAM</x:v>
      </x:c>
      <x:c r="I73" s="101" t="str">
        <x:v>place_day_1_fontana_del_moro</x:v>
      </x:c>
      <x:c r="J73" s="101" t="str">
        <x:v>OBS-D1-Q06-3</x:v>
      </x:c>
      <x:c r="K73" s="101" t="str">
        <x:v>Delfin und Tritonen am Mohrenbrunnen erkennen; anschließend Nord–Mitte–Süd ordnen. Frage: Welches Tier hält die zentrale Figur des Mohrenbrunnens fest?</x:v>
      </x:c>
      <x:c r="L73" s="101" t="str">
        <x:v>normalizedAnswer matches 'Einen Delfin'</x:v>
      </x:c>
      <x:c r="M73" s="101" t="str">
        <x:v>stationComplete=true</x:v>
      </x:c>
      <x:c r="N73" s="101" t="str">
        <x:v>Hint 1 → Hint 2 → Fallback; Grundabschluss bleibt möglich.</x:v>
      </x:c>
      <x:c r="O73" s="101" t="str">
        <x:v>REQUIRED</x:v>
      </x:c>
      <x:c r="P73" s="101" t="str">
        <x:v>stationActive</x:v>
      </x:c>
      <x:c r="Q73" s="101" t="str">
        <x:v>OBSERVATION_INPUT</x:v>
      </x:c>
      <x:c r="R73" s="101" t="str">
        <x:v>quest.observation.answered</x:v>
      </x:c>
      <x:c r="S73" s="101" t="str">
        <x:v>Evidence: Zentrale männliche Figur mit Delfin; vier Tritonen im unteren Becken. | Ampel: GRUEN</x:v>
      </x:c>
    </x:row>
    <x:row r="74" ht="74" customHeight="1">
      <x:c r="A74" s="104" t="str">
        <x:v>D1-Q06</x:v>
      </x:c>
      <x:c r="B74" s="104" t="str">
        <x:v>D1-Q06-S10</x:v>
      </x:c>
      <x:c r="C74" s="110" t="n">
        <x:v>10</x:v>
      </x:c>
      <x:c r="D74" s="104" t="str">
        <x:v>OBJECTIVE</x:v>
      </x:c>
      <x:c r="E74" s="104" t="str">
        <x:v>SOLVE_PUZZLE</x:v>
      </x:c>
      <x:c r="F74" s="104" t="str">
        <x:v>OBJECTIVE</x:v>
      </x:c>
      <x:c r="G74" s="104" t="str">
        <x:v>SUBMIT_ANSWER</x:v>
      </x:c>
      <x:c r="H74" s="104" t="str">
        <x:v>TEAM</x:v>
      </x:c>
      <x:c r="I74" s="104" t="str">
        <x:v>place_day_1_fontana_del_moro</x:v>
      </x:c>
      <x:c r="J74" s="104" t="str">
        <x:v>PZ-D1-Q06</x:v>
      </x:c>
      <x:c r="K74" s="104" t="str">
        <x:v>Ordnet die Figuren der richtigen Position zu: Neptun mit Oktopus, Vierströmebrunnen, Mohr mit Delfin.</x:v>
      </x:c>
      <x:c r="L74" s="104" t="str">
        <x:v>puzzleResult == CORRECT</x:v>
      </x:c>
      <x:c r="M74" s="104" t="str">
        <x:v>synthesisComplete=true</x:v>
      </x:c>
      <x:c r="N74" s="104" t="str">
        <x:v>Nur die drei Positionen Nord/Mitte/Süd auswählen lassen.</x:v>
      </x:c>
      <x:c r="O74" s="104" t="str">
        <x:v>REQUIRED</x:v>
      </x:c>
      <x:c r="P74" s="104" t="str">
        <x:v>allRequiredStationsComplete</x:v>
      </x:c>
      <x:c r="Q74" s="104" t="str">
        <x:v>PUZZLE</x:v>
      </x:c>
      <x:c r="R74" s="104" t="str">
        <x:v>quest.puzzle.solved</x:v>
      </x:c>
      <x:c r="S74" s="104" t="str">
        <x:v>Penalty: Materialbonus entfällt</x:v>
      </x:c>
    </x:row>
    <x:row r="75" ht="74" customHeight="1">
      <x:c r="A75" s="101" t="str">
        <x:v>D1-Q06</x:v>
      </x:c>
      <x:c r="B75" s="101" t="str">
        <x:v>D1-Q06-S11</x:v>
      </x:c>
      <x:c r="C75" s="109" t="n">
        <x:v>11</x:v>
      </x:c>
      <x:c r="D75" s="101" t="str">
        <x:v>BONUS_OBJECTIVE</x:v>
      </x:c>
      <x:c r="E75" s="101" t="str">
        <x:v>CLASS_ACTION</x:v>
      </x:c>
      <x:c r="F75" s="101" t="str">
        <x:v>OBJECTIVE</x:v>
      </x:c>
      <x:c r="G75" s="101" t="str">
        <x:v>SUBMIT_ANSWER</x:v>
      </x:c>
      <x:c r="H75" s="101" t="str">
        <x:v>ELIGIBLE_MEMBER</x:v>
      </x:c>
      <x:c r="I75" s="101" t="str">
        <x:v>place_day_1_fontana_del_moro</x:v>
      </x:c>
      <x:c r="J75" s="101" t="str">
        <x:v>SCULPTOR</x:v>
      </x:c>
      <x:c r="K75" s="101" t="str">
        <x:v>Optionale Klassenaktion für SCULPTOR; ohne Klasse steht eine Standardalternative bereit.</x:v>
      </x:c>
      <x:c r="L75" s="101" t="str">
        <x:v>classActionComplete || fallbackActionComplete</x:v>
      </x:c>
      <x:c r="M75" s="101" t="str">
        <x:v>classBonus=true</x:v>
      </x:c>
      <x:c r="N75" s="101" t="str">
        <x:v>Quest bleibt lösbar; Bonus entfällt.</x:v>
      </x:c>
      <x:c r="O75" s="101" t="str">
        <x:v>OPTIONAL</x:v>
      </x:c>
      <x:c r="P75" s="101" t="str">
        <x:v>synthesisComplete</x:v>
      </x:c>
      <x:c r="Q75" s="101" t="str">
        <x:v>CLASS_ACTION</x:v>
      </x:c>
      <x:c r="R75" s="101" t="str">
        <x:v>quest.class_action</x:v>
      </x:c>
      <x:c r="S75" s="101" t="str">
        <x:v>Keine Klasse darf die Hauptquest blockieren.</x:v>
      </x:c>
    </x:row>
    <x:row r="76" ht="74" customHeight="1">
      <x:c r="A76" s="104" t="str">
        <x:v>D1-Q06</x:v>
      </x:c>
      <x:c r="B76" s="104" t="str">
        <x:v>D1-Q06-S12</x:v>
      </x:c>
      <x:c r="C76" s="110" t="n">
        <x:v>12</x:v>
      </x:c>
      <x:c r="D76" s="104" t="str">
        <x:v>OBJECTIVE</x:v>
      </x:c>
      <x:c r="E76" s="104" t="str">
        <x:v>TEAM_DECISION</x:v>
      </x:c>
      <x:c r="F76" s="104" t="str">
        <x:v>OBJECTIVE</x:v>
      </x:c>
      <x:c r="G76" s="104" t="str">
        <x:v>COMPLETE_DIALOGUE</x:v>
      </x:c>
      <x:c r="H76" s="104" t="str">
        <x:v>TEAM</x:v>
      </x:c>
      <x:c r="I76" s="104" t="str">
        <x:v>place_day_1_fontana_del_moro</x:v>
      </x:c>
      <x:c r="J76" s="104" t="str">
        <x:v>D1-Q06-COMPLETE</x:v>
      </x:c>
      <x:c r="K76" s="104" t="str">
        <x:v>Team stimmt über MARMOR_FUER_RUHM|BRONZE_FUER_DENARE|TRAVERTIN_FUER_SCHUTZ ab.</x:v>
      </x:c>
      <x:c r="L76" s="104" t="str">
        <x:v>teamVoteResolved</x:v>
      </x:c>
      <x:c r="M76" s="104" t="str">
        <x:v>rewardVariantLocked=true</x:v>
      </x:c>
      <x:c r="N76" s="104" t="str">
        <x:v>Bei Gleichstand entscheidet der Queststarter nach 30 s.</x:v>
      </x:c>
      <x:c r="O76" s="104" t="str">
        <x:v>REQUIRED</x:v>
      </x:c>
      <x:c r="P76" s="104" t="str">
        <x:v>synthesisComplete</x:v>
      </x:c>
      <x:c r="Q76" s="104" t="str">
        <x:v>DIALOGUE_VOTE</x:v>
      </x:c>
      <x:c r="R76" s="104" t="str">
        <x:v>quest.decision</x:v>
      </x:c>
      <x:c r="S76" s="104" t="str">
        <x:v>Wahl verändert nur kleine Belohnungs-/Dialogvariante.</x:v>
      </x:c>
    </x:row>
    <x:row r="77" ht="74" customHeight="1">
      <x:c r="A77" s="101" t="str">
        <x:v>D1-Q06</x:v>
      </x:c>
      <x:c r="B77" s="101" t="str">
        <x:v>D1-Q06-S13</x:v>
      </x:c>
      <x:c r="C77" s="109" t="n">
        <x:v>13</x:v>
      </x:c>
      <x:c r="D77" s="101" t="str">
        <x:v>COMPLETE</x:v>
      </x:c>
      <x:c r="E77" s="101" t="str">
        <x:v>TALK_TO_NPC</x:v>
      </x:c>
      <x:c r="F77" s="101" t="str">
        <x:v>OBJECTIVE</x:v>
      </x:c>
      <x:c r="G77" s="101" t="str">
        <x:v>COMPLETE_DIALOGUE</x:v>
      </x:c>
      <x:c r="H77" s="101" t="str">
        <x:v>TEAM</x:v>
      </x:c>
      <x:c r="I77" s="101" t="str">
        <x:v>place_day_1_fontana_del_moro</x:v>
      </x:c>
      <x:c r="J77" s="101" t="str">
        <x:v>D1-Q06-COMPLETE</x:v>
      </x:c>
      <x:c r="K77" s="101" t="str">
        <x:v>Abschlussdialog und Konsequenz anzeigen.</x:v>
      </x:c>
      <x:c r="L77" s="101" t="str">
        <x:v>dialogSequenceComplete('D1-Q06-COMPLETE')</x:v>
      </x:c>
      <x:c r="M77" s="101" t="str">
        <x:v>state=REWARD</x:v>
      </x:c>
      <x:c r="N77" s="101" t="str">
        <x:v>Dialog erneut öffnen.</x:v>
      </x:c>
      <x:c r="O77" s="101" t="str">
        <x:v>REQUIRED</x:v>
      </x:c>
      <x:c r="P77" s="101" t="str">
        <x:v>allRequiredObjectivesComplete</x:v>
      </x:c>
      <x:c r="Q77" s="101" t="str">
        <x:v>DIALOGUE</x:v>
      </x:c>
      <x:c r="R77" s="101" t="str">
        <x:v>quest.completed</x:v>
      </x:c>
      <x:c r="S77" s="101" t="str">
        <x:v>Abschluss erst serverseitig nach allen Pflichtschritten.</x:v>
      </x:c>
    </x:row>
    <x:row r="78" ht="74" customHeight="1">
      <x:c r="A78" s="104" t="str">
        <x:v>D1-Q06</x:v>
      </x:c>
      <x:c r="B78" s="104" t="str">
        <x:v>D1-Q06-S14</x:v>
      </x:c>
      <x:c r="C78" s="110" t="n">
        <x:v>14</x:v>
      </x:c>
      <x:c r="D78" s="104" t="str">
        <x:v>REWARD</x:v>
      </x:c>
      <x:c r="E78" s="104" t="str">
        <x:v>GRANT_REWARD</x:v>
      </x:c>
      <x:c r="F78" s="104" t="str">
        <x:v>SYSTEM_ACTION</x:v>
      </x:c>
      <x:c r="G78" s="104" t="str"/>
      <x:c r="H78" s="104" t="str">
        <x:v>TEAM</x:v>
      </x:c>
      <x:c r="I78" s="104" t="str"/>
      <x:c r="J78" s="104" t="str">
        <x:v>D1-Q06</x:v>
      </x:c>
      <x:c r="K78" s="104" t="str">
        <x:v>Atomare Vergabe von Ruhm, Denaren, Loot und Variantenbonus.</x:v>
      </x:c>
      <x:c r="L78" s="104" t="str">
        <x:v>rewardTransactionCommitted</x:v>
      </x:c>
      <x:c r="M78" s="104" t="str">
        <x:v>state=COMPLETED</x:v>
      </x:c>
      <x:c r="N78" s="104" t="str">
        <x:v>Idempotenter Retry mit gleicher rewardTransactionId.</x:v>
      </x:c>
      <x:c r="O78" s="104" t="str">
        <x:v>REQUIRED</x:v>
      </x:c>
      <x:c r="P78" s="104" t="str">
        <x:v>questComplete</x:v>
      </x:c>
      <x:c r="Q78" s="104" t="str">
        <x:v>REWARD</x:v>
      </x:c>
      <x:c r="R78" s="104" t="str">
        <x:v>quest.reward.granted</x:v>
      </x:c>
      <x:c r="S78" s="104" t="str">
        <x:v>Arbeitswerte aus Quest Master; finales Balancing separat.</x:v>
      </x:c>
    </x:row>
    <x:row r="79" ht="74" customHeight="1">
      <x:c r="A79" s="101" t="str">
        <x:v>D1-Q07</x:v>
      </x:c>
      <x:c r="B79" s="101" t="str">
        <x:v>D1-Q07-S01</x:v>
      </x:c>
      <x:c r="C79" s="109" t="n">
        <x:v>1</x:v>
      </x:c>
      <x:c r="D79" s="101" t="str">
        <x:v>DISCOVER</x:v>
      </x:c>
      <x:c r="E79" s="101" t="str">
        <x:v>DISCOVER_NPC</x:v>
      </x:c>
      <x:c r="F79" s="101" t="str">
        <x:v>FLOW_ACTION</x:v>
      </x:c>
      <x:c r="G79" s="101" t="str"/>
      <x:c r="H79" s="101" t="str">
        <x:v>TEAM</x:v>
      </x:c>
      <x:c r="I79" s="101" t="str">
        <x:v>place_day_1_pantheon</x:v>
      </x:c>
      <x:c r="J79" s="101" t="str">
        <x:v>npc_agrippa_echo</x:v>
      </x:c>
      <x:c r="K79" s="101" t="str">
        <x:v>Entdeckt Marcus Agrippa – Echo der Inschrift ab 55 m; Interaktion wird bei stabilem 15-m-Fix verfügbar.</x:v>
      </x:c>
      <x:c r="L79" s="101" t="str">
        <x:v>npcDiscovered &amp;&amp; interactionGateOpen</x:v>
      </x:c>
      <x:c r="M79" s="101" t="str">
        <x:v>state=DIALOGUE</x:v>
      </x:c>
      <x:c r="N79" s="101" t="str">
        <x:v>UI bleibt auf Karte; GPS-Hinweis anzeigen.</x:v>
      </x:c>
      <x:c r="O79" s="101" t="str">
        <x:v>REQUIRED</x:v>
      </x:c>
      <x:c r="P79" s="101" t="str"/>
      <x:c r="Q79" s="101" t="str">
        <x:v>MAP_OBJECT_SHEET</x:v>
      </x:c>
      <x:c r="R79" s="101" t="str">
        <x:v>quest.discovered</x:v>
      </x:c>
      <x:c r="S79" s="101" t="str">
        <x:v>15-m-Enter/25-m-Exit-Hysterese; serverautoritativ.</x:v>
      </x:c>
    </x:row>
    <x:row r="80" ht="74" customHeight="1">
      <x:c r="A80" s="104" t="str">
        <x:v>D1-Q07</x:v>
      </x:c>
      <x:c r="B80" s="104" t="str">
        <x:v>D1-Q07-S02</x:v>
      </x:c>
      <x:c r="C80" s="110" t="n">
        <x:v>2</x:v>
      </x:c>
      <x:c r="D80" s="104" t="str">
        <x:v>DIALOGUE</x:v>
      </x:c>
      <x:c r="E80" s="104" t="str">
        <x:v>TALK_TO_NPC</x:v>
      </x:c>
      <x:c r="F80" s="104" t="str">
        <x:v>OBJECTIVE</x:v>
      </x:c>
      <x:c r="G80" s="104" t="str">
        <x:v>COMPLETE_DIALOGUE</x:v>
      </x:c>
      <x:c r="H80" s="104" t="str">
        <x:v>TEAM</x:v>
      </x:c>
      <x:c r="I80" s="104" t="str">
        <x:v>place_day_1_pantheon</x:v>
      </x:c>
      <x:c r="J80" s="104" t="str">
        <x:v>D1-Q07-OFFER</x:v>
      </x:c>
      <x:c r="K80" s="104" t="str">
        <x:v>Questangebot und erste Dialogoption anzeigen.</x:v>
      </x:c>
      <x:c r="L80" s="104" t="str">
        <x:v>dialogSequenceComplete('D1-Q07-OFFER')</x:v>
      </x:c>
      <x:c r="M80" s="104" t="str">
        <x:v>state=ACCEPT</x:v>
      </x:c>
      <x:c r="N80" s="104" t="str">
        <x:v>Dialog kann erneut geöffnet werden.</x:v>
      </x:c>
      <x:c r="O80" s="104" t="str">
        <x:v>REQUIRED</x:v>
      </x:c>
      <x:c r="P80" s="104" t="str"/>
      <x:c r="Q80" s="104" t="str">
        <x:v>DIALOGUE</x:v>
      </x:c>
      <x:c r="R80" s="104" t="str">
        <x:v>quest.dialogue.offer</x:v>
      </x:c>
      <x:c r="S80" s="104" t="str">
        <x:v>Teamentscheidung wird einmal serverseitig gespeichert.</x:v>
      </x:c>
    </x:row>
    <x:row r="81" ht="74" customHeight="1">
      <x:c r="A81" s="101" t="str">
        <x:v>D1-Q07</x:v>
      </x:c>
      <x:c r="B81" s="101" t="str">
        <x:v>D1-Q07-S03</x:v>
      </x:c>
      <x:c r="C81" s="109" t="n">
        <x:v>3</x:v>
      </x:c>
      <x:c r="D81" s="101" t="str">
        <x:v>ACCEPT</x:v>
      </x:c>
      <x:c r="E81" s="101" t="str">
        <x:v>ACCEPT_QUEST</x:v>
      </x:c>
      <x:c r="F81" s="101" t="str">
        <x:v>FLOW_ACTION</x:v>
      </x:c>
      <x:c r="G81" s="101" t="str"/>
      <x:c r="H81" s="101" t="str">
        <x:v>TEAM</x:v>
      </x:c>
      <x:c r="I81" s="101" t="str">
        <x:v>place_day_1_pantheon</x:v>
      </x:c>
      <x:c r="J81" s="101" t="str">
        <x:v>D1-Q07</x:v>
      </x:c>
      <x:c r="K81" s="101" t="str">
        <x:v>Quest annehmen; Voraussetzungen, Slotwirkung und Fallback vor Bestätigung anzeigen.</x:v>
      </x:c>
      <x:c r="L81" s="101" t="str">
        <x:v>teamVoteResolved &amp;&amp; questSlotReserved</x:v>
      </x:c>
      <x:c r="M81" s="101" t="str">
        <x:v>state=OBJECTIVE</x:v>
      </x:c>
      <x:c r="N81" s="101" t="str">
        <x:v>Annahme abbrechbar; kein Slotverbrauch.</x:v>
      </x:c>
      <x:c r="O81" s="101" t="str">
        <x:v>REQUIRED</x:v>
      </x:c>
      <x:c r="P81" s="101" t="str"/>
      <x:c r="Q81" s="101" t="str">
        <x:v>QUEST_ACCEPT</x:v>
      </x:c>
      <x:c r="R81" s="101" t="str">
        <x:v>quest.accepted</x:v>
      </x:c>
      <x:c r="S81" s="101" t="str">
        <x:v>Maximal drei reguläre aktive Quests pro Team.</x:v>
      </x:c>
    </x:row>
    <x:row r="82" ht="74" customHeight="1">
      <x:c r="A82" s="104" t="str">
        <x:v>D1-Q07</x:v>
      </x:c>
      <x:c r="B82" s="104" t="str">
        <x:v>D1-Q07-S04</x:v>
      </x:c>
      <x:c r="C82" s="110" t="n">
        <x:v>4</x:v>
      </x:c>
      <x:c r="D82" s="104" t="str">
        <x:v>OBJECTIVE</x:v>
      </x:c>
      <x:c r="E82" s="104" t="str">
        <x:v>ANSWER_QUESTION</x:v>
      </x:c>
      <x:c r="F82" s="104" t="str">
        <x:v>OBJECTIVE</x:v>
      </x:c>
      <x:c r="G82" s="104" t="str">
        <x:v>SUBMIT_ANSWER</x:v>
      </x:c>
      <x:c r="H82" s="104" t="str">
        <x:v>TEAM</x:v>
      </x:c>
      <x:c r="I82" s="104" t="str">
        <x:v>place_day_1_pantheon</x:v>
      </x:c>
      <x:c r="J82" s="104" t="str">
        <x:v>OBS-D1-Q07-1</x:v>
      </x:c>
      <x:c r="K82" s="104" t="str">
        <x:v>Die oberste Inschriftenzeile am Pantheon lesen und AGRIPPA eingeben. Frage: Welcher Name steht in der obersten Zeile der großen Inschrift über dem Eingang?</x:v>
      </x:c>
      <x:c r="L82" s="104" t="str">
        <x:v>normalizedAnswer matches 'AGRIPPA'</x:v>
      </x:c>
      <x:c r="M82" s="104" t="str">
        <x:v>stationComplete=true</x:v>
      </x:c>
      <x:c r="N82" s="104" t="str">
        <x:v>Hint 1 → Hint 2 → Fallback; Grundabschluss bleibt möglich.</x:v>
      </x:c>
      <x:c r="O82" s="104" t="str">
        <x:v>REQUIRED</x:v>
      </x:c>
      <x:c r="P82" s="104" t="str">
        <x:v>stationActive</x:v>
      </x:c>
      <x:c r="Q82" s="104" t="str">
        <x:v>OBSERVATION_INPUT</x:v>
      </x:c>
      <x:c r="R82" s="104" t="str">
        <x:v>quest.observation.answered</x:v>
      </x:c>
      <x:c r="S82" s="104" t="str">
        <x:v>Evidence: Sehr große lateinische Inschrift über dem Portikus; vollständig vom öffentlichen Platz lesbar. | Ampel: GRUEN</x:v>
      </x:c>
    </x:row>
    <x:row r="83" ht="74" customHeight="1">
      <x:c r="A83" s="101" t="str">
        <x:v>D1-Q07</x:v>
      </x:c>
      <x:c r="B83" s="101" t="str">
        <x:v>D1-Q07-S05</x:v>
      </x:c>
      <x:c r="C83" s="109" t="n">
        <x:v>5</x:v>
      </x:c>
      <x:c r="D83" s="101" t="str">
        <x:v>OBJECTIVE</x:v>
      </x:c>
      <x:c r="E83" s="101" t="str">
        <x:v>REACH_LOCATION</x:v>
      </x:c>
      <x:c r="F83" s="101" t="str">
        <x:v>OBJECTIVE</x:v>
      </x:c>
      <x:c r="G83" s="101" t="str">
        <x:v>REACH_LOCATION</x:v>
      </x:c>
      <x:c r="H83" s="101" t="str">
        <x:v>TEAM</x:v>
      </x:c>
      <x:c r="I83" s="101" t="str">
        <x:v>place_day_1_obelisco_macuteo</x:v>
      </x:c>
      <x:c r="J83" s="101" t="str">
        <x:v>place_day_1_obelisco_macuteo</x:v>
      </x:c>
      <x:c r="K83" s="101" t="str">
        <x:v>Erreicht Obelisco Macuteo.</x:v>
      </x:c>
      <x:c r="L83" s="101" t="str">
        <x:v>teamMembersInRadius &gt;= 2 &amp;&amp; stableFixes &gt;= 2</x:v>
      </x:c>
      <x:c r="M83" s="101" t="str">
        <x:v>stationActive=true</x:v>
      </x:c>
      <x:c r="N83" s="101" t="str">
        <x:v>Hinweisleiter; Ziel bleibt offen.</x:v>
      </x:c>
      <x:c r="O83" s="101" t="str">
        <x:v>REQUIRED</x:v>
      </x:c>
      <x:c r="P83" s="101" t="str">
        <x:v>previousStepComplete</x:v>
      </x:c>
      <x:c r="Q83" s="101" t="str">
        <x:v>MAP_AND_QUEST</x:v>
      </x:c>
      <x:c r="R83" s="101" t="str">
        <x:v>quest.location.reached</x:v>
      </x:c>
      <x:c r="S83" s="101" t="str">
        <x:v>Standard 15-m-Zielradius; keine Innen-/Eintrittspflicht.</x:v>
      </x:c>
    </x:row>
    <x:row r="84" ht="74" customHeight="1">
      <x:c r="A84" s="104" t="str">
        <x:v>D1-Q07</x:v>
      </x:c>
      <x:c r="B84" s="104" t="str">
        <x:v>D1-Q07-S06</x:v>
      </x:c>
      <x:c r="C84" s="110" t="n">
        <x:v>6</x:v>
      </x:c>
      <x:c r="D84" s="104" t="str">
        <x:v>OBJECTIVE</x:v>
      </x:c>
      <x:c r="E84" s="104" t="str">
        <x:v>ANSWER_QUESTION</x:v>
      </x:c>
      <x:c r="F84" s="104" t="str">
        <x:v>OBJECTIVE</x:v>
      </x:c>
      <x:c r="G84" s="104" t="str">
        <x:v>SUBMIT_ANSWER</x:v>
      </x:c>
      <x:c r="H84" s="104" t="str">
        <x:v>TEAM</x:v>
      </x:c>
      <x:c r="I84" s="104" t="str">
        <x:v>place_day_1_obelisco_macuteo</x:v>
      </x:c>
      <x:c r="J84" s="104" t="str">
        <x:v>OBS-D1-Q07-2</x:v>
      </x:c>
      <x:c r="K84" s="104" t="str">
        <x:v>Den Obelisken als Teil einer Brunnenanlage erkennen und die Abschrift einsetzen. Frage: Auf welchem Bauwerk steht der Obelisco Macuteo heute?</x:v>
      </x:c>
      <x:c r="L84" s="104" t="str">
        <x:v>normalizedAnswer matches 'Auf einem Brunnen'</x:v>
      </x:c>
      <x:c r="M84" s="104" t="str">
        <x:v>stationComplete=true</x:v>
      </x:c>
      <x:c r="N84" s="104" t="str">
        <x:v>Hint 1 → Hint 2 → Fallback; Grundabschluss bleibt möglich.</x:v>
      </x:c>
      <x:c r="O84" s="104" t="str">
        <x:v>REQUIRED</x:v>
      </x:c>
      <x:c r="P84" s="104" t="str">
        <x:v>stationActive</x:v>
      </x:c>
      <x:c r="Q84" s="104" t="str">
        <x:v>OBSERVATION_INPUT</x:v>
      </x:c>
      <x:c r="R84" s="104" t="str">
        <x:v>quest.observation.answered</x:v>
      </x:c>
      <x:c r="S84" s="104" t="str">
        <x:v>Evidence: Obelisk mit Hieroglyphen, der sichtbar aus der Brunnenanlage der Piazza della Rotonda aufragt. | Ampel: GRUEN</x:v>
      </x:c>
    </x:row>
    <x:row r="85" ht="74" customHeight="1">
      <x:c r="A85" s="101" t="str">
        <x:v>D1-Q07</x:v>
      </x:c>
      <x:c r="B85" s="101" t="str">
        <x:v>D1-Q07-S07</x:v>
      </x:c>
      <x:c r="C85" s="109" t="n">
        <x:v>7</x:v>
      </x:c>
      <x:c r="D85" s="101" t="str">
        <x:v>OBJECTIVE</x:v>
      </x:c>
      <x:c r="E85" s="101" t="str">
        <x:v>SOLVE_PUZZLE</x:v>
      </x:c>
      <x:c r="F85" s="101" t="str">
        <x:v>OBJECTIVE</x:v>
      </x:c>
      <x:c r="G85" s="101" t="str">
        <x:v>SUBMIT_ANSWER</x:v>
      </x:c>
      <x:c r="H85" s="101" t="str">
        <x:v>TEAM</x:v>
      </x:c>
      <x:c r="I85" s="101" t="str">
        <x:v>place_day_1_obelisco_macuteo</x:v>
      </x:c>
      <x:c r="J85" s="101" t="str">
        <x:v>PZ-D1-Q07</x:v>
      </x:c>
      <x:c r="K85" s="101" t="str">
        <x:v>Welcher Name steht in der obersten Zeile der großen Inschrift?</x:v>
      </x:c>
      <x:c r="L85" s="101" t="str">
        <x:v>puzzleResult == CORRECT</x:v>
      </x:c>
      <x:c r="M85" s="101" t="str">
        <x:v>synthesisComplete=true</x:v>
      </x:c>
      <x:c r="N85" s="101" t="str">
        <x:v>Auswahl AGRIPPA | AUGUSTUS | HADRIANUS</x:v>
      </x:c>
      <x:c r="O85" s="101" t="str">
        <x:v>REQUIRED</x:v>
      </x:c>
      <x:c r="P85" s="101" t="str">
        <x:v>allRequiredStationsComplete</x:v>
      </x:c>
      <x:c r="Q85" s="101" t="str">
        <x:v>PUZZLE</x:v>
      </x:c>
      <x:c r="R85" s="101" t="str">
        <x:v>quest.puzzle.solved</x:v>
      </x:c>
      <x:c r="S85" s="101" t="str">
        <x:v>Penalty: Mumie behält Schutzschicht</x:v>
      </x:c>
    </x:row>
    <x:row r="86" ht="74" customHeight="1">
      <x:c r="A86" s="104" t="str">
        <x:v>D1-Q07</x:v>
      </x:c>
      <x:c r="B86" s="104" t="str">
        <x:v>D1-Q07-S08</x:v>
      </x:c>
      <x:c r="C86" s="110" t="n">
        <x:v>8</x:v>
      </x:c>
      <x:c r="D86" s="104" t="str">
        <x:v>OBJECTIVE</x:v>
      </x:c>
      <x:c r="E86" s="104" t="str">
        <x:v>USE_ITEM</x:v>
      </x:c>
      <x:c r="F86" s="104" t="str">
        <x:v>OBJECTIVE</x:v>
      </x:c>
      <x:c r="G86" s="104" t="str">
        <x:v>DELIVER_ITEM</x:v>
      </x:c>
      <x:c r="H86" s="104" t="str">
        <x:v>TEAM</x:v>
      </x:c>
      <x:c r="I86" s="104" t="str">
        <x:v>place_day_1_obelisco_macuteo</x:v>
      </x:c>
      <x:c r="J86" s="104" t="str">
        <x:v>qi_tabula_agrippae</x:v>
      </x:c>
      <x:c r="K86" s="104" t="str">
        <x:v>Wachstafel AGRIPPA einsetzen: Am Obelisco Macuteo einsetzen; entfernt die Schutzschicht der Mummia dell’Iseo.</x:v>
      </x:c>
      <x:c r="L86" s="104" t="str">
        <x:v>teamInventory consumed('qi_tabula_agrippae')</x:v>
      </x:c>
      <x:c r="M86" s="104" t="str">
        <x:v>itemEffectApplied=true</x:v>
      </x:c>
      <x:c r="N86" s="104" t="str">
        <x:v>Item wird bei technischem Fehler atomar zurückgebucht.</x:v>
      </x:c>
      <x:c r="O86" s="104" t="str">
        <x:v>REQUIRED</x:v>
      </x:c>
      <x:c r="P86" s="104" t="str">
        <x:v>synthesisComplete</x:v>
      </x:c>
      <x:c r="Q86" s="104" t="str">
        <x:v>INVENTORY_ACTION</x:v>
      </x:c>
      <x:c r="R86" s="104" t="str">
        <x:v>quest.item.used</x:v>
      </x:c>
      <x:c r="S86" s="104" t="str">
        <x:v>Questitem nicht handelbar und nicht verlierbar.</x:v>
      </x:c>
    </x:row>
    <x:row r="87" ht="74" customHeight="1">
      <x:c r="A87" s="101" t="str">
        <x:v>D1-Q07</x:v>
      </x:c>
      <x:c r="B87" s="101" t="str">
        <x:v>D1-Q07-S09</x:v>
      </x:c>
      <x:c r="C87" s="109" t="n">
        <x:v>9</x:v>
      </x:c>
      <x:c r="D87" s="101" t="str">
        <x:v>BONUS_OBJECTIVE</x:v>
      </x:c>
      <x:c r="E87" s="101" t="str">
        <x:v>DEFEAT_ENEMY</x:v>
      </x:c>
      <x:c r="F87" s="101" t="str">
        <x:v>OBJECTIVE</x:v>
      </x:c>
      <x:c r="G87" s="101" t="str">
        <x:v>COMPLETE_ENCOUNTER</x:v>
      </x:c>
      <x:c r="H87" s="101" t="str">
        <x:v>TEAM</x:v>
      </x:c>
      <x:c r="I87" s="101" t="str">
        <x:v>place_day_1_obelisco_macuteo</x:v>
      </x:c>
      <x:c r="J87" s="101" t="str">
        <x:v>CP-QE-MUMMIA</x:v>
      </x:c>
      <x:c r="K87" s="101" t="str">
        <x:v>Mummia dell’Iseo bekämpfen.</x:v>
      </x:c>
      <x:c r="L87" s="101" t="str">
        <x:v>combatState == WON</x:v>
      </x:c>
      <x:c r="M87" s="101" t="str">
        <x:v>encounterComplete=true</x:v>
      </x:c>
      <x:c r="N87" s="101" t="str">
        <x:v>Optionaler Zweig endet ohne Grundbelohnungsverlust.</x:v>
      </x:c>
      <x:c r="O87" s="101" t="str">
        <x:v>OPTIONAL</x:v>
      </x:c>
      <x:c r="P87" s="101" t="str">
        <x:v>branchSelected</x:v>
      </x:c>
      <x:c r="Q87" s="101" t="str">
        <x:v>COMBAT</x:v>
      </x:c>
      <x:c r="R87" s="101" t="str">
        <x:v>quest.combat.completed</x:v>
      </x:c>
      <x:c r="S87" s="101" t="str">
        <x:v>QUEST_ENEMY ist teambezogen; kein normaler Respawn.</x:v>
      </x:c>
    </x:row>
    <x:row r="88" ht="74" customHeight="1">
      <x:c r="A88" s="104" t="str">
        <x:v>D1-Q07</x:v>
      </x:c>
      <x:c r="B88" s="104" t="str">
        <x:v>D1-Q07-S10</x:v>
      </x:c>
      <x:c r="C88" s="110" t="n">
        <x:v>10</x:v>
      </x:c>
      <x:c r="D88" s="104" t="str">
        <x:v>COMPLETE</x:v>
      </x:c>
      <x:c r="E88" s="104" t="str">
        <x:v>TALK_TO_NPC</x:v>
      </x:c>
      <x:c r="F88" s="104" t="str">
        <x:v>OBJECTIVE</x:v>
      </x:c>
      <x:c r="G88" s="104" t="str">
        <x:v>COMPLETE_DIALOGUE</x:v>
      </x:c>
      <x:c r="H88" s="104" t="str">
        <x:v>TEAM</x:v>
      </x:c>
      <x:c r="I88" s="104" t="str">
        <x:v>place_day_1_obelisco_macuteo</x:v>
      </x:c>
      <x:c r="J88" s="104" t="str">
        <x:v>D1-Q07-COMPLETE</x:v>
      </x:c>
      <x:c r="K88" s="104" t="str">
        <x:v>Abschlussdialog und Konsequenz anzeigen.</x:v>
      </x:c>
      <x:c r="L88" s="104" t="str">
        <x:v>dialogSequenceComplete('D1-Q07-COMPLETE')</x:v>
      </x:c>
      <x:c r="M88" s="104" t="str">
        <x:v>state=REWARD</x:v>
      </x:c>
      <x:c r="N88" s="104" t="str">
        <x:v>Dialog erneut öffnen.</x:v>
      </x:c>
      <x:c r="O88" s="104" t="str">
        <x:v>REQUIRED</x:v>
      </x:c>
      <x:c r="P88" s="104" t="str">
        <x:v>allRequiredObjectivesComplete</x:v>
      </x:c>
      <x:c r="Q88" s="104" t="str">
        <x:v>DIALOGUE</x:v>
      </x:c>
      <x:c r="R88" s="104" t="str">
        <x:v>quest.completed</x:v>
      </x:c>
      <x:c r="S88" s="104" t="str">
        <x:v>Abschluss erst serverseitig nach allen Pflichtschritten.</x:v>
      </x:c>
    </x:row>
    <x:row r="89" ht="74" customHeight="1">
      <x:c r="A89" s="101" t="str">
        <x:v>D1-Q07</x:v>
      </x:c>
      <x:c r="B89" s="101" t="str">
        <x:v>D1-Q07-S11</x:v>
      </x:c>
      <x:c r="C89" s="109" t="n">
        <x:v>11</x:v>
      </x:c>
      <x:c r="D89" s="101" t="str">
        <x:v>REWARD</x:v>
      </x:c>
      <x:c r="E89" s="101" t="str">
        <x:v>GRANT_REWARD</x:v>
      </x:c>
      <x:c r="F89" s="101" t="str">
        <x:v>SYSTEM_ACTION</x:v>
      </x:c>
      <x:c r="G89" s="101" t="str"/>
      <x:c r="H89" s="101" t="str">
        <x:v>TEAM</x:v>
      </x:c>
      <x:c r="I89" s="101" t="str"/>
      <x:c r="J89" s="101" t="str">
        <x:v>D1-Q07</x:v>
      </x:c>
      <x:c r="K89" s="101" t="str">
        <x:v>Atomare Vergabe von Ruhm, Denaren, Loot und Variantenbonus.</x:v>
      </x:c>
      <x:c r="L89" s="101" t="str">
        <x:v>rewardTransactionCommitted</x:v>
      </x:c>
      <x:c r="M89" s="101" t="str">
        <x:v>state=COMPLETED</x:v>
      </x:c>
      <x:c r="N89" s="101" t="str">
        <x:v>Idempotenter Retry mit gleicher rewardTransactionId.</x:v>
      </x:c>
      <x:c r="O89" s="101" t="str">
        <x:v>REQUIRED</x:v>
      </x:c>
      <x:c r="P89" s="101" t="str">
        <x:v>questComplete</x:v>
      </x:c>
      <x:c r="Q89" s="101" t="str">
        <x:v>REWARD</x:v>
      </x:c>
      <x:c r="R89" s="101" t="str">
        <x:v>quest.reward.granted</x:v>
      </x:c>
      <x:c r="S89" s="101" t="str">
        <x:v>Arbeitswerte aus Quest Master; finales Balancing separat.</x:v>
      </x:c>
    </x:row>
    <x:row r="90" ht="74" customHeight="1">
      <x:c r="A90" s="104" t="str">
        <x:v>D1-Q08</x:v>
      </x:c>
      <x:c r="B90" s="104" t="str">
        <x:v>D1-Q08-S01</x:v>
      </x:c>
      <x:c r="C90" s="110" t="n">
        <x:v>1</x:v>
      </x:c>
      <x:c r="D90" s="104" t="str">
        <x:v>DISCOVER</x:v>
      </x:c>
      <x:c r="E90" s="104" t="str">
        <x:v>DISCOVER_NPC</x:v>
      </x:c>
      <x:c r="F90" s="104" t="str">
        <x:v>FLOW_ACTION</x:v>
      </x:c>
      <x:c r="G90" s="104" t="str"/>
      <x:c r="H90" s="104" t="str">
        <x:v>TEAM</x:v>
      </x:c>
      <x:c r="I90" s="104" t="str">
        <x:v>place_day_1_obelisco_di_montecitorio</x:v>
      </x:c>
      <x:c r="J90" s="104" t="str">
        <x:v>npc_cassius_archivar</x:v>
      </x:c>
      <x:c r="K90" s="104" t="str">
        <x:v>Entdeckt Cassius Spiralis ab 55 m; Interaktion wird bei stabilem 15-m-Fix verfügbar.</x:v>
      </x:c>
      <x:c r="L90" s="104" t="str">
        <x:v>npcDiscovered &amp;&amp; interactionGateOpen</x:v>
      </x:c>
      <x:c r="M90" s="104" t="str">
        <x:v>state=DIALOGUE</x:v>
      </x:c>
      <x:c r="N90" s="104" t="str">
        <x:v>UI bleibt auf Karte; GPS-Hinweis anzeigen.</x:v>
      </x:c>
      <x:c r="O90" s="104" t="str">
        <x:v>REQUIRED</x:v>
      </x:c>
      <x:c r="P90" s="104" t="str"/>
      <x:c r="Q90" s="104" t="str">
        <x:v>MAP_OBJECT_SHEET</x:v>
      </x:c>
      <x:c r="R90" s="104" t="str">
        <x:v>quest.discovered</x:v>
      </x:c>
      <x:c r="S90" s="104" t="str">
        <x:v>15-m-Enter/25-m-Exit-Hysterese; serverautoritativ.</x:v>
      </x:c>
    </x:row>
    <x:row r="91" ht="74" customHeight="1">
      <x:c r="A91" s="101" t="str">
        <x:v>D1-Q08</x:v>
      </x:c>
      <x:c r="B91" s="101" t="str">
        <x:v>D1-Q08-S02</x:v>
      </x:c>
      <x:c r="C91" s="109" t="n">
        <x:v>2</x:v>
      </x:c>
      <x:c r="D91" s="101" t="str">
        <x:v>DIALOGUE</x:v>
      </x:c>
      <x:c r="E91" s="101" t="str">
        <x:v>TALK_TO_NPC</x:v>
      </x:c>
      <x:c r="F91" s="101" t="str">
        <x:v>OBJECTIVE</x:v>
      </x:c>
      <x:c r="G91" s="101" t="str">
        <x:v>COMPLETE_DIALOGUE</x:v>
      </x:c>
      <x:c r="H91" s="101" t="str">
        <x:v>TEAM</x:v>
      </x:c>
      <x:c r="I91" s="101" t="str">
        <x:v>place_day_1_obelisco_di_montecitorio</x:v>
      </x:c>
      <x:c r="J91" s="101" t="str">
        <x:v>D1-Q08-OFFER</x:v>
      </x:c>
      <x:c r="K91" s="101" t="str">
        <x:v>Questangebot und erste Dialogoption anzeigen.</x:v>
      </x:c>
      <x:c r="L91" s="101" t="str">
        <x:v>dialogSequenceComplete('D1-Q08-OFFER')</x:v>
      </x:c>
      <x:c r="M91" s="101" t="str">
        <x:v>state=ACCEPT</x:v>
      </x:c>
      <x:c r="N91" s="101" t="str">
        <x:v>Dialog kann erneut geöffnet werden.</x:v>
      </x:c>
      <x:c r="O91" s="101" t="str">
        <x:v>REQUIRED</x:v>
      </x:c>
      <x:c r="P91" s="101" t="str"/>
      <x:c r="Q91" s="101" t="str">
        <x:v>DIALOGUE</x:v>
      </x:c>
      <x:c r="R91" s="101" t="str">
        <x:v>quest.dialogue.offer</x:v>
      </x:c>
      <x:c r="S91" s="101" t="str">
        <x:v>Teamentscheidung wird einmal serverseitig gespeichert.</x:v>
      </x:c>
    </x:row>
    <x:row r="92" ht="74" customHeight="1">
      <x:c r="A92" s="104" t="str">
        <x:v>D1-Q08</x:v>
      </x:c>
      <x:c r="B92" s="104" t="str">
        <x:v>D1-Q08-S03</x:v>
      </x:c>
      <x:c r="C92" s="110" t="n">
        <x:v>3</x:v>
      </x:c>
      <x:c r="D92" s="104" t="str">
        <x:v>ACCEPT</x:v>
      </x:c>
      <x:c r="E92" s="104" t="str">
        <x:v>ACCEPT_QUEST</x:v>
      </x:c>
      <x:c r="F92" s="104" t="str">
        <x:v>FLOW_ACTION</x:v>
      </x:c>
      <x:c r="G92" s="104" t="str"/>
      <x:c r="H92" s="104" t="str">
        <x:v>TEAM</x:v>
      </x:c>
      <x:c r="I92" s="104" t="str">
        <x:v>place_day_1_obelisco_di_montecitorio</x:v>
      </x:c>
      <x:c r="J92" s="104" t="str">
        <x:v>D1-Q08</x:v>
      </x:c>
      <x:c r="K92" s="104" t="str">
        <x:v>Quest annehmen; Voraussetzungen, Slotwirkung und Fallback vor Bestätigung anzeigen.</x:v>
      </x:c>
      <x:c r="L92" s="104" t="str">
        <x:v>teamVoteResolved &amp;&amp; questSlotReserved</x:v>
      </x:c>
      <x:c r="M92" s="104" t="str">
        <x:v>state=OBJECTIVE</x:v>
      </x:c>
      <x:c r="N92" s="104" t="str">
        <x:v>Annahme abbrechbar; kein Slotverbrauch.</x:v>
      </x:c>
      <x:c r="O92" s="104" t="str">
        <x:v>REQUIRED</x:v>
      </x:c>
      <x:c r="P92" s="104" t="str"/>
      <x:c r="Q92" s="104" t="str">
        <x:v>QUEST_ACCEPT</x:v>
      </x:c>
      <x:c r="R92" s="104" t="str">
        <x:v>quest.accepted</x:v>
      </x:c>
      <x:c r="S92" s="104" t="str">
        <x:v>Maximal drei reguläre aktive Quests pro Team.</x:v>
      </x:c>
    </x:row>
    <x:row r="93" ht="74" customHeight="1">
      <x:c r="A93" s="101" t="str">
        <x:v>D1-Q08</x:v>
      </x:c>
      <x:c r="B93" s="101" t="str">
        <x:v>D1-Q08-S04</x:v>
      </x:c>
      <x:c r="C93" s="109" t="n">
        <x:v>4</x:v>
      </x:c>
      <x:c r="D93" s="101" t="str">
        <x:v>OBJECTIVE</x:v>
      </x:c>
      <x:c r="E93" s="101" t="str">
        <x:v>ANSWER_QUESTION</x:v>
      </x:c>
      <x:c r="F93" s="101" t="str">
        <x:v>OBJECTIVE</x:v>
      </x:c>
      <x:c r="G93" s="101" t="str">
        <x:v>SUBMIT_ANSWER</x:v>
      </x:c>
      <x:c r="H93" s="101" t="str">
        <x:v>TEAM</x:v>
      </x:c>
      <x:c r="I93" s="101" t="str">
        <x:v>place_day_1_obelisco_di_montecitorio</x:v>
      </x:c>
      <x:c r="J93" s="101" t="str">
        <x:v>OBS-D1-Q08-1</x:v>
      </x:c>
      <x:c r="K93" s="101" t="str">
        <x:v>Hieroglyphen und Metallkugel am Montecitorio-Obelisk erfassen. Frage: Welche Schriftzeichen bedecken den Schaft des Obelisken?</x:v>
      </x:c>
      <x:c r="L93" s="101" t="str">
        <x:v>normalizedAnswer matches 'Ägyptische Hieroglyphen'</x:v>
      </x:c>
      <x:c r="M93" s="101" t="str">
        <x:v>stationComplete=true</x:v>
      </x:c>
      <x:c r="N93" s="101" t="str">
        <x:v>Hint 1 → Hint 2 → Fallback; Grundabschluss bleibt möglich.</x:v>
      </x:c>
      <x:c r="O93" s="101" t="str">
        <x:v>REQUIRED</x:v>
      </x:c>
      <x:c r="P93" s="101" t="str">
        <x:v>stationActive</x:v>
      </x:c>
      <x:c r="Q93" s="101" t="str">
        <x:v>OBSERVATION_INPUT</x:v>
      </x:c>
      <x:c r="R93" s="101" t="str">
        <x:v>quest.observation.answered</x:v>
      </x:c>
      <x:c r="S93" s="101" t="str">
        <x:v>Evidence: Monumentaler Schaft mit Hieroglyphen und einer Metallkugel an der Spitze. | Ampel: GRUEN</x:v>
      </x:c>
    </x:row>
    <x:row r="94" ht="74" customHeight="1">
      <x:c r="A94" s="104" t="str">
        <x:v>D1-Q08</x:v>
      </x:c>
      <x:c r="B94" s="104" t="str">
        <x:v>D1-Q08-S05</x:v>
      </x:c>
      <x:c r="C94" s="110" t="n">
        <x:v>5</x:v>
      </x:c>
      <x:c r="D94" s="104" t="str">
        <x:v>OBJECTIVE</x:v>
      </x:c>
      <x:c r="E94" s="104" t="str">
        <x:v>REACH_LOCATION</x:v>
      </x:c>
      <x:c r="F94" s="104" t="str">
        <x:v>OBJECTIVE</x:v>
      </x:c>
      <x:c r="G94" s="104" t="str">
        <x:v>REACH_LOCATION</x:v>
      </x:c>
      <x:c r="H94" s="104" t="str">
        <x:v>TEAM</x:v>
      </x:c>
      <x:c r="I94" s="104" t="str">
        <x:v>place_day_1_colonna_di_marco_aurelio</x:v>
      </x:c>
      <x:c r="J94" s="104" t="str">
        <x:v>place_day_1_colonna_di_marco_aurelio</x:v>
      </x:c>
      <x:c r="K94" s="104" t="str">
        <x:v>Erreicht Mark-Aurel-Säule.</x:v>
      </x:c>
      <x:c r="L94" s="104" t="str">
        <x:v>teamMembersInRadius &gt;= 2 &amp;&amp; stableFixes &gt;= 2</x:v>
      </x:c>
      <x:c r="M94" s="104" t="str">
        <x:v>stationActive=true</x:v>
      </x:c>
      <x:c r="N94" s="104" t="str">
        <x:v>Hinweisleiter; Ziel bleibt offen.</x:v>
      </x:c>
      <x:c r="O94" s="104" t="str">
        <x:v>REQUIRED</x:v>
      </x:c>
      <x:c r="P94" s="104" t="str">
        <x:v>previousStepComplete</x:v>
      </x:c>
      <x:c r="Q94" s="104" t="str">
        <x:v>MAP_AND_QUEST</x:v>
      </x:c>
      <x:c r="R94" s="104" t="str">
        <x:v>quest.location.reached</x:v>
      </x:c>
      <x:c r="S94" s="104" t="str">
        <x:v>Standard 15-m-Zielradius; keine Innen-/Eintrittspflicht.</x:v>
      </x:c>
    </x:row>
    <x:row r="95" ht="74" customHeight="1">
      <x:c r="A95" s="101" t="str">
        <x:v>D1-Q08</x:v>
      </x:c>
      <x:c r="B95" s="101" t="str">
        <x:v>D1-Q08-S06</x:v>
      </x:c>
      <x:c r="C95" s="109" t="n">
        <x:v>6</x:v>
      </x:c>
      <x:c r="D95" s="101" t="str">
        <x:v>OBJECTIVE</x:v>
      </x:c>
      <x:c r="E95" s="101" t="str">
        <x:v>ANSWER_QUESTION</x:v>
      </x:c>
      <x:c r="F95" s="101" t="str">
        <x:v>OBJECTIVE</x:v>
      </x:c>
      <x:c r="G95" s="101" t="str">
        <x:v>SUBMIT_ANSWER</x:v>
      </x:c>
      <x:c r="H95" s="101" t="str">
        <x:v>TEAM</x:v>
      </x:c>
      <x:c r="I95" s="101" t="str">
        <x:v>place_day_1_colonna_di_marco_aurelio</x:v>
      </x:c>
      <x:c r="J95" s="101" t="str">
        <x:v>OBS-D1-Q08-2</x:v>
      </x:c>
      <x:c r="K95" s="101" t="str">
        <x:v>Das spiralförmige Reliefband der Mark-Aurel-Säule erkennen und beide Monumente korrekt zuordnen. Frage: In welchem Muster läuft das Reliefband um die Säule?</x:v>
      </x:c>
      <x:c r="L95" s="101" t="str">
        <x:v>normalizedAnswer matches 'Spiralförmig'</x:v>
      </x:c>
      <x:c r="M95" s="101" t="str">
        <x:v>stationComplete=true</x:v>
      </x:c>
      <x:c r="N95" s="101" t="str">
        <x:v>Hint 1 → Hint 2 → Fallback; Grundabschluss bleibt möglich.</x:v>
      </x:c>
      <x:c r="O95" s="101" t="str">
        <x:v>REQUIRED</x:v>
      </x:c>
      <x:c r="P95" s="101" t="str">
        <x:v>stationActive</x:v>
      </x:c>
      <x:c r="Q95" s="101" t="str">
        <x:v>OBSERVATION_INPUT</x:v>
      </x:c>
      <x:c r="R95" s="101" t="str">
        <x:v>quest.observation.answered</x:v>
      </x:c>
      <x:c r="S95" s="101" t="str">
        <x:v>Evidence: Breites spiralförmiges Reliefband und große Figur auf der Spitze. | Ampel: GRUEN</x:v>
      </x:c>
    </x:row>
    <x:row r="96" ht="74" customHeight="1">
      <x:c r="A96" s="104" t="str">
        <x:v>D1-Q08</x:v>
      </x:c>
      <x:c r="B96" s="104" t="str">
        <x:v>D1-Q08-S07</x:v>
      </x:c>
      <x:c r="C96" s="110" t="n">
        <x:v>7</x:v>
      </x:c>
      <x:c r="D96" s="104" t="str">
        <x:v>OBJECTIVE</x:v>
      </x:c>
      <x:c r="E96" s="104" t="str">
        <x:v>SOLVE_PUZZLE</x:v>
      </x:c>
      <x:c r="F96" s="104" t="str">
        <x:v>OBJECTIVE</x:v>
      </x:c>
      <x:c r="G96" s="104" t="str">
        <x:v>SUBMIT_ANSWER</x:v>
      </x:c>
      <x:c r="H96" s="104" t="str">
        <x:v>TEAM</x:v>
      </x:c>
      <x:c r="I96" s="104" t="str">
        <x:v>place_day_1_colonna_di_marco_aurelio</x:v>
      </x:c>
      <x:c r="J96" s="104" t="str">
        <x:v>PZ-D1-Q08</x:v>
      </x:c>
      <x:c r="K96" s="104" t="str">
        <x:v>Welche Zuordnung ist korrekt?</x:v>
      </x:c>
      <x:c r="L96" s="104" t="str">
        <x:v>puzzleResult == CORRECT</x:v>
      </x:c>
      <x:c r="M96" s="104" t="str">
        <x:v>synthesisComplete=true</x:v>
      </x:c>
      <x:c r="N96" s="104" t="str">
        <x:v>Zwei Bildsymbole per Drag-and-drop zuordnen.</x:v>
      </x:c>
      <x:c r="O96" s="104" t="str">
        <x:v>REQUIRED</x:v>
      </x:c>
      <x:c r="P96" s="104" t="str">
        <x:v>allRequiredStationsComplete</x:v>
      </x:c>
      <x:c r="Q96" s="104" t="str">
        <x:v>PUZZLE</x:v>
      </x:c>
      <x:c r="R96" s="104" t="str">
        <x:v>quest.puzzle.solved</x:v>
      </x:c>
      <x:c r="S96" s="104" t="str">
        <x:v>Penalty: Wissensbonus entfällt</x:v>
      </x:c>
    </x:row>
    <x:row r="97" ht="74" customHeight="1">
      <x:c r="A97" s="101" t="str">
        <x:v>D1-Q08</x:v>
      </x:c>
      <x:c r="B97" s="101" t="str">
        <x:v>D1-Q08-S08</x:v>
      </x:c>
      <x:c r="C97" s="109" t="n">
        <x:v>8</x:v>
      </x:c>
      <x:c r="D97" s="101" t="str">
        <x:v>COMPLETE</x:v>
      </x:c>
      <x:c r="E97" s="101" t="str">
        <x:v>TALK_TO_NPC</x:v>
      </x:c>
      <x:c r="F97" s="101" t="str">
        <x:v>OBJECTIVE</x:v>
      </x:c>
      <x:c r="G97" s="101" t="str">
        <x:v>COMPLETE_DIALOGUE</x:v>
      </x:c>
      <x:c r="H97" s="101" t="str">
        <x:v>TEAM</x:v>
      </x:c>
      <x:c r="I97" s="101" t="str">
        <x:v>place_day_1_colonna_di_marco_aurelio</x:v>
      </x:c>
      <x:c r="J97" s="101" t="str">
        <x:v>D1-Q08-COMPLETE</x:v>
      </x:c>
      <x:c r="K97" s="101" t="str">
        <x:v>Abschlussdialog und Konsequenz anzeigen.</x:v>
      </x:c>
      <x:c r="L97" s="101" t="str">
        <x:v>dialogSequenceComplete('D1-Q08-COMPLETE')</x:v>
      </x:c>
      <x:c r="M97" s="101" t="str">
        <x:v>state=REWARD</x:v>
      </x:c>
      <x:c r="N97" s="101" t="str">
        <x:v>Dialog erneut öffnen.</x:v>
      </x:c>
      <x:c r="O97" s="101" t="str">
        <x:v>REQUIRED</x:v>
      </x:c>
      <x:c r="P97" s="101" t="str">
        <x:v>allRequiredObjectivesComplete</x:v>
      </x:c>
      <x:c r="Q97" s="101" t="str">
        <x:v>DIALOGUE</x:v>
      </x:c>
      <x:c r="R97" s="101" t="str">
        <x:v>quest.completed</x:v>
      </x:c>
      <x:c r="S97" s="101" t="str">
        <x:v>Abschluss erst serverseitig nach allen Pflichtschritten.</x:v>
      </x:c>
    </x:row>
    <x:row r="98" ht="74" customHeight="1">
      <x:c r="A98" s="104" t="str">
        <x:v>D1-Q08</x:v>
      </x:c>
      <x:c r="B98" s="104" t="str">
        <x:v>D1-Q08-S09</x:v>
      </x:c>
      <x:c r="C98" s="110" t="n">
        <x:v>9</x:v>
      </x:c>
      <x:c r="D98" s="104" t="str">
        <x:v>REWARD</x:v>
      </x:c>
      <x:c r="E98" s="104" t="str">
        <x:v>GRANT_REWARD</x:v>
      </x:c>
      <x:c r="F98" s="104" t="str">
        <x:v>SYSTEM_ACTION</x:v>
      </x:c>
      <x:c r="G98" s="104" t="str"/>
      <x:c r="H98" s="104" t="str">
        <x:v>TEAM</x:v>
      </x:c>
      <x:c r="I98" s="104" t="str"/>
      <x:c r="J98" s="104" t="str">
        <x:v>D1-Q08</x:v>
      </x:c>
      <x:c r="K98" s="104" t="str">
        <x:v>Atomare Vergabe von Ruhm, Denaren, Loot und Variantenbonus.</x:v>
      </x:c>
      <x:c r="L98" s="104" t="str">
        <x:v>rewardTransactionCommitted</x:v>
      </x:c>
      <x:c r="M98" s="104" t="str">
        <x:v>state=COMPLETED</x:v>
      </x:c>
      <x:c r="N98" s="104" t="str">
        <x:v>Idempotenter Retry mit gleicher rewardTransactionId.</x:v>
      </x:c>
      <x:c r="O98" s="104" t="str">
        <x:v>REQUIRED</x:v>
      </x:c>
      <x:c r="P98" s="104" t="str">
        <x:v>questComplete</x:v>
      </x:c>
      <x:c r="Q98" s="104" t="str">
        <x:v>REWARD</x:v>
      </x:c>
      <x:c r="R98" s="104" t="str">
        <x:v>quest.reward.granted</x:v>
      </x:c>
      <x:c r="S98" s="104" t="str">
        <x:v>Arbeitswerte aus Quest Master; finales Balancing separat.</x:v>
      </x:c>
    </x:row>
    <x:row r="99" ht="74" customHeight="1">
      <x:c r="A99" s="101" t="str">
        <x:v>D1-Q09</x:v>
      </x:c>
      <x:c r="B99" s="101" t="str">
        <x:v>D1-Q09-S01</x:v>
      </x:c>
      <x:c r="C99" s="109" t="n">
        <x:v>1</x:v>
      </x:c>
      <x:c r="D99" s="101" t="str">
        <x:v>DISCOVER</x:v>
      </x:c>
      <x:c r="E99" s="101" t="str">
        <x:v>DISCOVER_NPC</x:v>
      </x:c>
      <x:c r="F99" s="101" t="str">
        <x:v>FLOW_ACTION</x:v>
      </x:c>
      <x:c r="G99" s="101" t="str"/>
      <x:c r="H99" s="101" t="str">
        <x:v>TEAM</x:v>
      </x:c>
      <x:c r="I99" s="101" t="str">
        <x:v>place_day_1_fontana_di_trevi</x:v>
      </x:c>
      <x:c r="J99" s="101" t="str">
        <x:v>npc_aqua_virgo</x:v>
      </x:c>
      <x:c r="K99" s="101" t="str">
        <x:v>Entdeckt Aqua Virgo ab 55 m; Interaktion wird bei stabilem 15-m-Fix verfügbar.</x:v>
      </x:c>
      <x:c r="L99" s="101" t="str">
        <x:v>npcDiscovered &amp;&amp; interactionGateOpen</x:v>
      </x:c>
      <x:c r="M99" s="101" t="str">
        <x:v>state=DIALOGUE</x:v>
      </x:c>
      <x:c r="N99" s="101" t="str">
        <x:v>UI bleibt auf Karte; GPS-Hinweis anzeigen.</x:v>
      </x:c>
      <x:c r="O99" s="101" t="str">
        <x:v>REQUIRED</x:v>
      </x:c>
      <x:c r="P99" s="101" t="str"/>
      <x:c r="Q99" s="101" t="str">
        <x:v>MAP_OBJECT_SHEET</x:v>
      </x:c>
      <x:c r="R99" s="101" t="str">
        <x:v>quest.discovered</x:v>
      </x:c>
      <x:c r="S99" s="101" t="str">
        <x:v>15-m-Enter/25-m-Exit-Hysterese; serverautoritativ.</x:v>
      </x:c>
    </x:row>
    <x:row r="100" ht="74" customHeight="1">
      <x:c r="A100" s="104" t="str">
        <x:v>D1-Q09</x:v>
      </x:c>
      <x:c r="B100" s="104" t="str">
        <x:v>D1-Q09-S02</x:v>
      </x:c>
      <x:c r="C100" s="110" t="n">
        <x:v>2</x:v>
      </x:c>
      <x:c r="D100" s="104" t="str">
        <x:v>DIALOGUE</x:v>
      </x:c>
      <x:c r="E100" s="104" t="str">
        <x:v>TALK_TO_NPC</x:v>
      </x:c>
      <x:c r="F100" s="104" t="str">
        <x:v>OBJECTIVE</x:v>
      </x:c>
      <x:c r="G100" s="104" t="str">
        <x:v>COMPLETE_DIALOGUE</x:v>
      </x:c>
      <x:c r="H100" s="104" t="str">
        <x:v>TEAM</x:v>
      </x:c>
      <x:c r="I100" s="104" t="str">
        <x:v>place_day_1_fontana_di_trevi</x:v>
      </x:c>
      <x:c r="J100" s="104" t="str">
        <x:v>D1-Q09-OFFER</x:v>
      </x:c>
      <x:c r="K100" s="104" t="str">
        <x:v>Questangebot und erste Dialogoption anzeigen.</x:v>
      </x:c>
      <x:c r="L100" s="104" t="str">
        <x:v>dialogSequenceComplete('D1-Q09-OFFER')</x:v>
      </x:c>
      <x:c r="M100" s="104" t="str">
        <x:v>state=ACCEPT</x:v>
      </x:c>
      <x:c r="N100" s="104" t="str">
        <x:v>Dialog kann erneut geöffnet werden.</x:v>
      </x:c>
      <x:c r="O100" s="104" t="str">
        <x:v>REQUIRED</x:v>
      </x:c>
      <x:c r="P100" s="104" t="str"/>
      <x:c r="Q100" s="104" t="str">
        <x:v>DIALOGUE</x:v>
      </x:c>
      <x:c r="R100" s="104" t="str">
        <x:v>quest.dialogue.offer</x:v>
      </x:c>
      <x:c r="S100" s="104" t="str">
        <x:v>Teamentscheidung wird einmal serverseitig gespeichert.</x:v>
      </x:c>
    </x:row>
    <x:row r="101" ht="74" customHeight="1">
      <x:c r="A101" s="101" t="str">
        <x:v>D1-Q09</x:v>
      </x:c>
      <x:c r="B101" s="101" t="str">
        <x:v>D1-Q09-S03</x:v>
      </x:c>
      <x:c r="C101" s="109" t="n">
        <x:v>3</x:v>
      </x:c>
      <x:c r="D101" s="101" t="str">
        <x:v>ACCEPT</x:v>
      </x:c>
      <x:c r="E101" s="101" t="str">
        <x:v>ACCEPT_QUEST</x:v>
      </x:c>
      <x:c r="F101" s="101" t="str">
        <x:v>FLOW_ACTION</x:v>
      </x:c>
      <x:c r="G101" s="101" t="str"/>
      <x:c r="H101" s="101" t="str">
        <x:v>TEAM</x:v>
      </x:c>
      <x:c r="I101" s="101" t="str">
        <x:v>place_day_1_fontana_di_trevi</x:v>
      </x:c>
      <x:c r="J101" s="101" t="str">
        <x:v>D1-Q09</x:v>
      </x:c>
      <x:c r="K101" s="101" t="str">
        <x:v>Quest annehmen; Voraussetzungen, Slotwirkung und Fallback vor Bestätigung anzeigen.</x:v>
      </x:c>
      <x:c r="L101" s="101" t="str">
        <x:v>teamVoteResolved &amp;&amp; questSlotReserved</x:v>
      </x:c>
      <x:c r="M101" s="101" t="str">
        <x:v>state=OBJECTIVE</x:v>
      </x:c>
      <x:c r="N101" s="101" t="str">
        <x:v>Annahme abbrechbar; kein Slotverbrauch.</x:v>
      </x:c>
      <x:c r="O101" s="101" t="str">
        <x:v>REQUIRED</x:v>
      </x:c>
      <x:c r="P101" s="101" t="str"/>
      <x:c r="Q101" s="101" t="str">
        <x:v>QUEST_ACCEPT</x:v>
      </x:c>
      <x:c r="R101" s="101" t="str">
        <x:v>quest.accepted</x:v>
      </x:c>
      <x:c r="S101" s="101" t="str">
        <x:v>Maximal drei reguläre aktive Quests pro Team.</x:v>
      </x:c>
    </x:row>
    <x:row r="102" ht="74" customHeight="1">
      <x:c r="A102" s="104" t="str">
        <x:v>D1-Q09</x:v>
      </x:c>
      <x:c r="B102" s="104" t="str">
        <x:v>D1-Q09-S04</x:v>
      </x:c>
      <x:c r="C102" s="110" t="n">
        <x:v>4</x:v>
      </x:c>
      <x:c r="D102" s="104" t="str">
        <x:v>OBJECTIVE</x:v>
      </x:c>
      <x:c r="E102" s="104" t="str">
        <x:v>ANSWER_QUESTION</x:v>
      </x:c>
      <x:c r="F102" s="104" t="str">
        <x:v>OBJECTIVE</x:v>
      </x:c>
      <x:c r="G102" s="104" t="str">
        <x:v>SUBMIT_ANSWER</x:v>
      </x:c>
      <x:c r="H102" s="104" t="str">
        <x:v>TEAM</x:v>
      </x:c>
      <x:c r="I102" s="104" t="str">
        <x:v>place_day_1_fontana_di_trevi</x:v>
      </x:c>
      <x:c r="J102" s="104" t="str">
        <x:v>OBS-D1-Q09-1</x:v>
      </x:c>
      <x:c r="K102" s="104" t="str">
        <x:v>Die zwei Seepferde am Trevi-Brunnen zählen. Frage: Wie viele Seepferde ziehen den Wagen der zentralen Figur?</x:v>
      </x:c>
      <x:c r="L102" s="104" t="str">
        <x:v>normalizedAnswer matches 'Zwei'</x:v>
      </x:c>
      <x:c r="M102" s="104" t="str">
        <x:v>stationComplete=true</x:v>
      </x:c>
      <x:c r="N102" s="104" t="str">
        <x:v>Hint 1 → Hint 2 → Fallback; Grundabschluss bleibt möglich.</x:v>
      </x:c>
      <x:c r="O102" s="104" t="str">
        <x:v>REQUIRED</x:v>
      </x:c>
      <x:c r="P102" s="104" t="str">
        <x:v>stationActive</x:v>
      </x:c>
      <x:c r="Q102" s="104" t="str">
        <x:v>OBSERVATION_INPUT</x:v>
      </x:c>
      <x:c r="R102" s="104" t="str">
        <x:v>quest.observation.answered</x:v>
      </x:c>
      <x:c r="S102" s="104" t="str">
        <x:v>Evidence: Zwei große Seepferde vor dem muschelförmigen Wagen der Zentralfigur. | Ampel: GELB</x:v>
      </x:c>
    </x:row>
    <x:row r="103" ht="74" customHeight="1">
      <x:c r="A103" s="101" t="str">
        <x:v>D1-Q09</x:v>
      </x:c>
      <x:c r="B103" s="101" t="str">
        <x:v>D1-Q09-S05</x:v>
      </x:c>
      <x:c r="C103" s="109" t="n">
        <x:v>5</x:v>
      </x:c>
      <x:c r="D103" s="101" t="str">
        <x:v>OBJECTIVE</x:v>
      </x:c>
      <x:c r="E103" s="101" t="str">
        <x:v>REACH_LOCATION</x:v>
      </x:c>
      <x:c r="F103" s="101" t="str">
        <x:v>OBJECTIVE</x:v>
      </x:c>
      <x:c r="G103" s="101" t="str">
        <x:v>REACH_LOCATION</x:v>
      </x:c>
      <x:c r="H103" s="101" t="str">
        <x:v>TEAM</x:v>
      </x:c>
      <x:c r="I103" s="101" t="str">
        <x:v>place_day_1_acquedotto_vergine</x:v>
      </x:c>
      <x:c r="J103" s="101" t="str">
        <x:v>place_day_1_acquedotto_vergine</x:v>
      </x:c>
      <x:c r="K103" s="101" t="str">
        <x:v>Erreicht Acquedotto Vergine.</x:v>
      </x:c>
      <x:c r="L103" s="101" t="str">
        <x:v>teamMembersInRadius &gt;= 2 &amp;&amp; stableFixes &gt;= 2</x:v>
      </x:c>
      <x:c r="M103" s="101" t="str">
        <x:v>stationActive=true</x:v>
      </x:c>
      <x:c r="N103" s="101" t="str">
        <x:v>Hinweisleiter; Ziel bleibt offen.</x:v>
      </x:c>
      <x:c r="O103" s="101" t="str">
        <x:v>REQUIRED</x:v>
      </x:c>
      <x:c r="P103" s="101" t="str">
        <x:v>previousStepComplete</x:v>
      </x:c>
      <x:c r="Q103" s="101" t="str">
        <x:v>MAP_AND_QUEST</x:v>
      </x:c>
      <x:c r="R103" s="101" t="str">
        <x:v>quest.location.reached</x:v>
      </x:c>
      <x:c r="S103" s="101" t="str">
        <x:v>Standard 15-m-Zielradius; keine Innen-/Eintrittspflicht.</x:v>
      </x:c>
    </x:row>
    <x:row r="104" ht="74" customHeight="1">
      <x:c r="A104" s="104" t="str">
        <x:v>D1-Q09</x:v>
      </x:c>
      <x:c r="B104" s="104" t="str">
        <x:v>D1-Q09-S06</x:v>
      </x:c>
      <x:c r="C104" s="110" t="n">
        <x:v>6</x:v>
      </x:c>
      <x:c r="D104" s="104" t="str">
        <x:v>OBJECTIVE</x:v>
      </x:c>
      <x:c r="E104" s="104" t="str">
        <x:v>ANSWER_QUESTION</x:v>
      </x:c>
      <x:c r="F104" s="104" t="str">
        <x:v>OBJECTIVE</x:v>
      </x:c>
      <x:c r="G104" s="104" t="str">
        <x:v>SUBMIT_ANSWER</x:v>
      </x:c>
      <x:c r="H104" s="104" t="str">
        <x:v>TEAM</x:v>
      </x:c>
      <x:c r="I104" s="104" t="str">
        <x:v>place_day_1_acquedotto_vergine</x:v>
      </x:c>
      <x:c r="J104" s="104" t="str">
        <x:v>OBS-D1-Q09-2</x:v>
      </x:c>
      <x:c r="K104" s="104" t="str">
        <x:v>Die erhaltenen Arkaden der Aqua Virgo prüfen; bei verdeckter Sicht den Materialfallback nutzen. Frage: Wie viele kleinere antike Arkaden sind in der Via del Nazareno nebeneinander erhalten?</x:v>
      </x:c>
      <x:c r="L104" s="104" t="str">
        <x:v>normalizedAnswer matches 'Drei'</x:v>
      </x:c>
      <x:c r="M104" s="104" t="str">
        <x:v>stationComplete=true</x:v>
      </x:c>
      <x:c r="N104" s="104" t="str">
        <x:v>Hint 1 → Hint 2 → Fallback; Grundabschluss bleibt möglich.</x:v>
      </x:c>
      <x:c r="O104" s="104" t="str">
        <x:v>REQUIRED</x:v>
      </x:c>
      <x:c r="P104" s="104" t="str">
        <x:v>stationActive</x:v>
      </x:c>
      <x:c r="Q104" s="104" t="str">
        <x:v>OBSERVATION_INPUT</x:v>
      </x:c>
      <x:c r="R104" s="104" t="str">
        <x:v>quest.observation.answered</x:v>
      </x:c>
      <x:c r="S104" s="104" t="str">
        <x:v>Evidence: Drei teilweise im heutigen Bodenniveau versunkene Travertinarkaden hinter einer Absperrung. | Ampel: GELB</x:v>
      </x:c>
    </x:row>
    <x:row r="105" ht="74" customHeight="1">
      <x:c r="A105" s="101" t="str">
        <x:v>D1-Q09</x:v>
      </x:c>
      <x:c r="B105" s="101" t="str">
        <x:v>D1-Q09-S07</x:v>
      </x:c>
      <x:c r="C105" s="109" t="n">
        <x:v>7</x:v>
      </x:c>
      <x:c r="D105" s="101" t="str">
        <x:v>OBJECTIVE</x:v>
      </x:c>
      <x:c r="E105" s="101" t="str">
        <x:v>REACH_LOCATION</x:v>
      </x:c>
      <x:c r="F105" s="101" t="str">
        <x:v>OBJECTIVE</x:v>
      </x:c>
      <x:c r="G105" s="101" t="str">
        <x:v>REACH_LOCATION</x:v>
      </x:c>
      <x:c r="H105" s="101" t="str">
        <x:v>TEAM</x:v>
      </x:c>
      <x:c r="I105" s="101" t="str">
        <x:v>place_day_1_fontana_del_tritone</x:v>
      </x:c>
      <x:c r="J105" s="101" t="str">
        <x:v>place_day_1_fontana_del_tritone</x:v>
      </x:c>
      <x:c r="K105" s="101" t="str">
        <x:v>Erreicht Tritonenbrunnen.</x:v>
      </x:c>
      <x:c r="L105" s="101" t="str">
        <x:v>teamMembersInRadius &gt;= 2 &amp;&amp; stableFixes &gt;= 2</x:v>
      </x:c>
      <x:c r="M105" s="101" t="str">
        <x:v>stationActive=true</x:v>
      </x:c>
      <x:c r="N105" s="101" t="str">
        <x:v>Hinweisleiter; Ziel bleibt offen.</x:v>
      </x:c>
      <x:c r="O105" s="101" t="str">
        <x:v>REQUIRED</x:v>
      </x:c>
      <x:c r="P105" s="101" t="str">
        <x:v>previousStepComplete</x:v>
      </x:c>
      <x:c r="Q105" s="101" t="str">
        <x:v>MAP_AND_QUEST</x:v>
      </x:c>
      <x:c r="R105" s="101" t="str">
        <x:v>quest.location.reached</x:v>
      </x:c>
      <x:c r="S105" s="101" t="str">
        <x:v>Standard 15-m-Zielradius; keine Innen-/Eintrittspflicht.</x:v>
      </x:c>
    </x:row>
    <x:row r="106" ht="74" customHeight="1">
      <x:c r="A106" s="104" t="str">
        <x:v>D1-Q09</x:v>
      </x:c>
      <x:c r="B106" s="104" t="str">
        <x:v>D1-Q09-S08</x:v>
      </x:c>
      <x:c r="C106" s="110" t="n">
        <x:v>8</x:v>
      </x:c>
      <x:c r="D106" s="104" t="str">
        <x:v>OBJECTIVE</x:v>
      </x:c>
      <x:c r="E106" s="104" t="str">
        <x:v>ANSWER_QUESTION</x:v>
      </x:c>
      <x:c r="F106" s="104" t="str">
        <x:v>OBJECTIVE</x:v>
      </x:c>
      <x:c r="G106" s="104" t="str">
        <x:v>SUBMIT_ANSWER</x:v>
      </x:c>
      <x:c r="H106" s="104" t="str">
        <x:v>TEAM</x:v>
      </x:c>
      <x:c r="I106" s="104" t="str">
        <x:v>place_day_1_fontana_del_tritone</x:v>
      </x:c>
      <x:c r="J106" s="104" t="str">
        <x:v>OBS-D1-Q09-3</x:v>
      </x:c>
      <x:c r="K106" s="104" t="str">
        <x:v>Vier Delfine am Tritonenbrunnen zählen, die Ampulle füllen und den Gegner stellen. Frage: Wie viele Delfine tragen die große Muschel?</x:v>
      </x:c>
      <x:c r="L106" s="104" t="str">
        <x:v>normalizedAnswer matches 'Vier'</x:v>
      </x:c>
      <x:c r="M106" s="104" t="str">
        <x:v>stationComplete=true</x:v>
      </x:c>
      <x:c r="N106" s="104" t="str">
        <x:v>Hint 1 → Hint 2 → Fallback; Grundabschluss bleibt möglich.</x:v>
      </x:c>
      <x:c r="O106" s="104" t="str">
        <x:v>REQUIRED</x:v>
      </x:c>
      <x:c r="P106" s="104" t="str">
        <x:v>stationActive</x:v>
      </x:c>
      <x:c r="Q106" s="104" t="str">
        <x:v>OBSERVATION_INPUT</x:v>
      </x:c>
      <x:c r="R106" s="104" t="str">
        <x:v>quest.observation.answered</x:v>
      </x:c>
      <x:c r="S106" s="104" t="str">
        <x:v>Evidence: Vier große Delfine, Muschelschale, Triton mit Schneckenhorn. | Ampel: GRUEN</x:v>
      </x:c>
    </x:row>
    <x:row r="107" ht="74" customHeight="1">
      <x:c r="A107" s="101" t="str">
        <x:v>D1-Q09</x:v>
      </x:c>
      <x:c r="B107" s="101" t="str">
        <x:v>D1-Q09-S09</x:v>
      </x:c>
      <x:c r="C107" s="109" t="n">
        <x:v>9</x:v>
      </x:c>
      <x:c r="D107" s="101" t="str">
        <x:v>OBJECTIVE</x:v>
      </x:c>
      <x:c r="E107" s="101" t="str">
        <x:v>SOLVE_PUZZLE</x:v>
      </x:c>
      <x:c r="F107" s="101" t="str">
        <x:v>OBJECTIVE</x:v>
      </x:c>
      <x:c r="G107" s="101" t="str">
        <x:v>SUBMIT_ANSWER</x:v>
      </x:c>
      <x:c r="H107" s="101" t="str">
        <x:v>TEAM</x:v>
      </x:c>
      <x:c r="I107" s="101" t="str">
        <x:v>place_day_1_fontana_del_tritone</x:v>
      </x:c>
      <x:c r="J107" s="101" t="str">
        <x:v>PZ-D1-Q09</x:v>
      </x:c>
      <x:c r="K107" s="101" t="str">
        <x:v>Welche gemeinsame Funktion verbindet Arkaden und beide Brunnen?</x:v>
      </x:c>
      <x:c r="L107" s="101" t="str">
        <x:v>puzzleResult == CORRECT</x:v>
      </x:c>
      <x:c r="M107" s="101" t="str">
        <x:v>synthesisComplete=true</x:v>
      </x:c>
      <x:c r="N107" s="101" t="str">
        <x:v>Arkadenfrage durch Materialvergleich Travertin/Wasser ersetzen.</x:v>
      </x:c>
      <x:c r="O107" s="101" t="str">
        <x:v>REQUIRED</x:v>
      </x:c>
      <x:c r="P107" s="101" t="str">
        <x:v>allRequiredStationsComplete</x:v>
      </x:c>
      <x:c r="Q107" s="101" t="str">
        <x:v>PUZZLE</x:v>
      </x:c>
      <x:c r="R107" s="101" t="str">
        <x:v>quest.puzzle.solved</x:v>
      </x:c>
      <x:c r="S107" s="101" t="str">
        <x:v>Penalty: Gegner behält Schmutzstoß</x:v>
      </x:c>
    </x:row>
    <x:row r="108" ht="74" customHeight="1">
      <x:c r="A108" s="104" t="str">
        <x:v>D1-Q09</x:v>
      </x:c>
      <x:c r="B108" s="104" t="str">
        <x:v>D1-Q09-S10</x:v>
      </x:c>
      <x:c r="C108" s="110" t="n">
        <x:v>10</x:v>
      </x:c>
      <x:c r="D108" s="104" t="str">
        <x:v>OBJECTIVE</x:v>
      </x:c>
      <x:c r="E108" s="104" t="str">
        <x:v>USE_ITEM</x:v>
      </x:c>
      <x:c r="F108" s="104" t="str">
        <x:v>OBJECTIVE</x:v>
      </x:c>
      <x:c r="G108" s="104" t="str">
        <x:v>DELIVER_ITEM</x:v>
      </x:c>
      <x:c r="H108" s="104" t="str">
        <x:v>TEAM</x:v>
      </x:c>
      <x:c r="I108" s="104" t="str">
        <x:v>place_day_1_fontana_del_tritone</x:v>
      </x:c>
      <x:c r="J108" s="104" t="str">
        <x:v>qi_ampulla_virgo</x:v>
      </x:c>
      <x:c r="K108" s="104" t="str">
        <x:v>Ampulla der Aqua Virgo einsetzen: Zu Kampfbeginn einsetzen; reinigt einen teamweiten Schmutz-/Giftstatus.</x:v>
      </x:c>
      <x:c r="L108" s="104" t="str">
        <x:v>teamInventory consumed('qi_ampulla_virgo')</x:v>
      </x:c>
      <x:c r="M108" s="104" t="str">
        <x:v>itemEffectApplied=true</x:v>
      </x:c>
      <x:c r="N108" s="104" t="str">
        <x:v>Item wird bei technischem Fehler atomar zurückgebucht.</x:v>
      </x:c>
      <x:c r="O108" s="104" t="str">
        <x:v>REQUIRED</x:v>
      </x:c>
      <x:c r="P108" s="104" t="str">
        <x:v>synthesisComplete</x:v>
      </x:c>
      <x:c r="Q108" s="104" t="str">
        <x:v>INVENTORY_ACTION</x:v>
      </x:c>
      <x:c r="R108" s="104" t="str">
        <x:v>quest.item.used</x:v>
      </x:c>
      <x:c r="S108" s="104" t="str">
        <x:v>Questitem nicht handelbar und nicht verlierbar.</x:v>
      </x:c>
    </x:row>
    <x:row r="109" ht="74" customHeight="1">
      <x:c r="A109" s="101" t="str">
        <x:v>D1-Q09</x:v>
      </x:c>
      <x:c r="B109" s="101" t="str">
        <x:v>D1-Q09-S11</x:v>
      </x:c>
      <x:c r="C109" s="109" t="n">
        <x:v>11</x:v>
      </x:c>
      <x:c r="D109" s="101" t="str">
        <x:v>OBJECTIVE</x:v>
      </x:c>
      <x:c r="E109" s="101" t="str">
        <x:v>DEFEAT_ENEMY</x:v>
      </x:c>
      <x:c r="F109" s="101" t="str">
        <x:v>OBJECTIVE</x:v>
      </x:c>
      <x:c r="G109" s="101" t="str">
        <x:v>COMPLETE_ENCOUNTER</x:v>
      </x:c>
      <x:c r="H109" s="101" t="str">
        <x:v>TEAM</x:v>
      </x:c>
      <x:c r="I109" s="101" t="str">
        <x:v>place_day_1_fontana_del_tritone</x:v>
      </x:c>
      <x:c r="J109" s="101" t="str">
        <x:v>CP-QE-RATTO</x:v>
      </x:c>
      <x:c r="K109" s="101" t="str">
        <x:v>Ratto dell’Acqua Virgo bekämpfen.</x:v>
      </x:c>
      <x:c r="L109" s="101" t="str">
        <x:v>combatState == WON</x:v>
      </x:c>
      <x:c r="M109" s="101" t="str">
        <x:v>encounterComplete=true</x:v>
      </x:c>
      <x:c r="N109" s="101" t="str">
        <x:v>Quest bleibt aktiv; nach Team-Wipe Wiederbelebungsregeln.</x:v>
      </x:c>
      <x:c r="O109" s="101" t="str">
        <x:v>REQUIRED</x:v>
      </x:c>
      <x:c r="P109" s="101" t="str">
        <x:v>synthesisComplete</x:v>
      </x:c>
      <x:c r="Q109" s="101" t="str">
        <x:v>COMBAT</x:v>
      </x:c>
      <x:c r="R109" s="101" t="str">
        <x:v>quest.combat.completed</x:v>
      </x:c>
      <x:c r="S109" s="101" t="str">
        <x:v>QUEST_ENEMY ist teambezogen; kein normaler Respawn.</x:v>
      </x:c>
    </x:row>
    <x:row r="110" ht="74" customHeight="1">
      <x:c r="A110" s="104" t="str">
        <x:v>D1-Q09</x:v>
      </x:c>
      <x:c r="B110" s="104" t="str">
        <x:v>D1-Q09-S12</x:v>
      </x:c>
      <x:c r="C110" s="110" t="n">
        <x:v>12</x:v>
      </x:c>
      <x:c r="D110" s="104" t="str">
        <x:v>COMPLETE</x:v>
      </x:c>
      <x:c r="E110" s="104" t="str">
        <x:v>TALK_TO_NPC</x:v>
      </x:c>
      <x:c r="F110" s="104" t="str">
        <x:v>OBJECTIVE</x:v>
      </x:c>
      <x:c r="G110" s="104" t="str">
        <x:v>COMPLETE_DIALOGUE</x:v>
      </x:c>
      <x:c r="H110" s="104" t="str">
        <x:v>TEAM</x:v>
      </x:c>
      <x:c r="I110" s="104" t="str">
        <x:v>place_day_1_fontana_del_tritone</x:v>
      </x:c>
      <x:c r="J110" s="104" t="str">
        <x:v>D1-Q09-COMPLETE</x:v>
      </x:c>
      <x:c r="K110" s="104" t="str">
        <x:v>Abschlussdialog und Konsequenz anzeigen.</x:v>
      </x:c>
      <x:c r="L110" s="104" t="str">
        <x:v>dialogSequenceComplete('D1-Q09-COMPLETE')</x:v>
      </x:c>
      <x:c r="M110" s="104" t="str">
        <x:v>state=REWARD</x:v>
      </x:c>
      <x:c r="N110" s="104" t="str">
        <x:v>Dialog erneut öffnen.</x:v>
      </x:c>
      <x:c r="O110" s="104" t="str">
        <x:v>REQUIRED</x:v>
      </x:c>
      <x:c r="P110" s="104" t="str">
        <x:v>allRequiredObjectivesComplete</x:v>
      </x:c>
      <x:c r="Q110" s="104" t="str">
        <x:v>DIALOGUE</x:v>
      </x:c>
      <x:c r="R110" s="104" t="str">
        <x:v>quest.completed</x:v>
      </x:c>
      <x:c r="S110" s="104" t="str">
        <x:v>Abschluss erst serverseitig nach allen Pflichtschritten.</x:v>
      </x:c>
    </x:row>
    <x:row r="111" ht="74" customHeight="1">
      <x:c r="A111" s="101" t="str">
        <x:v>D1-Q09</x:v>
      </x:c>
      <x:c r="B111" s="101" t="str">
        <x:v>D1-Q09-S13</x:v>
      </x:c>
      <x:c r="C111" s="109" t="n">
        <x:v>13</x:v>
      </x:c>
      <x:c r="D111" s="101" t="str">
        <x:v>REWARD</x:v>
      </x:c>
      <x:c r="E111" s="101" t="str">
        <x:v>GRANT_REWARD</x:v>
      </x:c>
      <x:c r="F111" s="101" t="str">
        <x:v>SYSTEM_ACTION</x:v>
      </x:c>
      <x:c r="G111" s="101" t="str"/>
      <x:c r="H111" s="101" t="str">
        <x:v>TEAM</x:v>
      </x:c>
      <x:c r="I111" s="101" t="str"/>
      <x:c r="J111" s="101" t="str">
        <x:v>D1-Q09</x:v>
      </x:c>
      <x:c r="K111" s="101" t="str">
        <x:v>Atomare Vergabe von Ruhm, Denaren, Loot und Variantenbonus.</x:v>
      </x:c>
      <x:c r="L111" s="101" t="str">
        <x:v>rewardTransactionCommitted</x:v>
      </x:c>
      <x:c r="M111" s="101" t="str">
        <x:v>state=COMPLETED</x:v>
      </x:c>
      <x:c r="N111" s="101" t="str">
        <x:v>Idempotenter Retry mit gleicher rewardTransactionId.</x:v>
      </x:c>
      <x:c r="O111" s="101" t="str">
        <x:v>REQUIRED</x:v>
      </x:c>
      <x:c r="P111" s="101" t="str">
        <x:v>questComplete</x:v>
      </x:c>
      <x:c r="Q111" s="101" t="str">
        <x:v>REWARD</x:v>
      </x:c>
      <x:c r="R111" s="101" t="str">
        <x:v>quest.reward.granted</x:v>
      </x:c>
      <x:c r="S111" s="101" t="str">
        <x:v>Arbeitswerte aus Quest Master; finales Balancing separat.</x:v>
      </x:c>
    </x:row>
    <x:row r="112" ht="74" customHeight="1">
      <x:c r="A112" s="104" t="str">
        <x:v>D1-Q10</x:v>
      </x:c>
      <x:c r="B112" s="104" t="str">
        <x:v>D1-Q10-S01</x:v>
      </x:c>
      <x:c r="C112" s="110" t="n">
        <x:v>1</x:v>
      </x:c>
      <x:c r="D112" s="104" t="str">
        <x:v>DISCOVER</x:v>
      </x:c>
      <x:c r="E112" s="104" t="str">
        <x:v>DISCOVER_NPC</x:v>
      </x:c>
      <x:c r="F112" s="104" t="str">
        <x:v>FLOW_ACTION</x:v>
      </x:c>
      <x:c r="G112" s="104" t="str"/>
      <x:c r="H112" s="104" t="str">
        <x:v>TEAM</x:v>
      </x:c>
      <x:c r="I112" s="104" t="str">
        <x:v>place_day_1_piazza_scanderbeg</x:v>
      </x:c>
      <x:c r="J112" s="104" t="str">
        <x:v>npc_skanderbeg_echo</x:v>
      </x:c>
      <x:c r="K112" s="104" t="str">
        <x:v>Entdeckt Skanderbeg – steinernes Echo ab 55 m; Interaktion wird bei stabilem 15-m-Fix verfügbar.</x:v>
      </x:c>
      <x:c r="L112" s="104" t="str">
        <x:v>npcDiscovered &amp;&amp; interactionGateOpen</x:v>
      </x:c>
      <x:c r="M112" s="104" t="str">
        <x:v>state=DIALOGUE</x:v>
      </x:c>
      <x:c r="N112" s="104" t="str">
        <x:v>UI bleibt auf Karte; GPS-Hinweis anzeigen.</x:v>
      </x:c>
      <x:c r="O112" s="104" t="str">
        <x:v>REQUIRED</x:v>
      </x:c>
      <x:c r="P112" s="104" t="str"/>
      <x:c r="Q112" s="104" t="str">
        <x:v>MAP_OBJECT_SHEET</x:v>
      </x:c>
      <x:c r="R112" s="104" t="str">
        <x:v>quest.discovered</x:v>
      </x:c>
      <x:c r="S112" s="104" t="str">
        <x:v>15-m-Enter/25-m-Exit-Hysterese; serverautoritativ.</x:v>
      </x:c>
    </x:row>
    <x:row r="113" ht="74" customHeight="1">
      <x:c r="A113" s="101" t="str">
        <x:v>D1-Q10</x:v>
      </x:c>
      <x:c r="B113" s="101" t="str">
        <x:v>D1-Q10-S02</x:v>
      </x:c>
      <x:c r="C113" s="109" t="n">
        <x:v>2</x:v>
      </x:c>
      <x:c r="D113" s="101" t="str">
        <x:v>DIALOGUE</x:v>
      </x:c>
      <x:c r="E113" s="101" t="str">
        <x:v>TALK_TO_NPC</x:v>
      </x:c>
      <x:c r="F113" s="101" t="str">
        <x:v>OBJECTIVE</x:v>
      </x:c>
      <x:c r="G113" s="101" t="str">
        <x:v>COMPLETE_DIALOGUE</x:v>
      </x:c>
      <x:c r="H113" s="101" t="str">
        <x:v>TEAM</x:v>
      </x:c>
      <x:c r="I113" s="101" t="str">
        <x:v>place_day_1_piazza_scanderbeg</x:v>
      </x:c>
      <x:c r="J113" s="101" t="str">
        <x:v>D1-Q10-OFFER</x:v>
      </x:c>
      <x:c r="K113" s="101" t="str">
        <x:v>Questangebot und erste Dialogoption anzeigen.</x:v>
      </x:c>
      <x:c r="L113" s="101" t="str">
        <x:v>dialogSequenceComplete('D1-Q10-OFFER')</x:v>
      </x:c>
      <x:c r="M113" s="101" t="str">
        <x:v>state=ACCEPT</x:v>
      </x:c>
      <x:c r="N113" s="101" t="str">
        <x:v>Dialog kann erneut geöffnet werden.</x:v>
      </x:c>
      <x:c r="O113" s="101" t="str">
        <x:v>REQUIRED</x:v>
      </x:c>
      <x:c r="P113" s="101" t="str"/>
      <x:c r="Q113" s="101" t="str">
        <x:v>DIALOGUE</x:v>
      </x:c>
      <x:c r="R113" s="101" t="str">
        <x:v>quest.dialogue.offer</x:v>
      </x:c>
      <x:c r="S113" s="101" t="str">
        <x:v>Teamentscheidung wird einmal serverseitig gespeichert.</x:v>
      </x:c>
    </x:row>
    <x:row r="114" ht="74" customHeight="1">
      <x:c r="A114" s="104" t="str">
        <x:v>D1-Q10</x:v>
      </x:c>
      <x:c r="B114" s="104" t="str">
        <x:v>D1-Q10-S03</x:v>
      </x:c>
      <x:c r="C114" s="110" t="n">
        <x:v>3</x:v>
      </x:c>
      <x:c r="D114" s="104" t="str">
        <x:v>ACCEPT</x:v>
      </x:c>
      <x:c r="E114" s="104" t="str">
        <x:v>ACCEPT_QUEST</x:v>
      </x:c>
      <x:c r="F114" s="104" t="str">
        <x:v>FLOW_ACTION</x:v>
      </x:c>
      <x:c r="G114" s="104" t="str"/>
      <x:c r="H114" s="104" t="str">
        <x:v>TEAM</x:v>
      </x:c>
      <x:c r="I114" s="104" t="str">
        <x:v>place_day_1_piazza_scanderbeg</x:v>
      </x:c>
      <x:c r="J114" s="104" t="str">
        <x:v>D1-Q10</x:v>
      </x:c>
      <x:c r="K114" s="104" t="str">
        <x:v>Quest annehmen; Voraussetzungen, Slotwirkung und Fallback vor Bestätigung anzeigen.</x:v>
      </x:c>
      <x:c r="L114" s="104" t="str">
        <x:v>teamVoteResolved &amp;&amp; questSlotReserved</x:v>
      </x:c>
      <x:c r="M114" s="104" t="str">
        <x:v>state=OBJECTIVE</x:v>
      </x:c>
      <x:c r="N114" s="104" t="str">
        <x:v>Annahme abbrechbar; kein Slotverbrauch.</x:v>
      </x:c>
      <x:c r="O114" s="104" t="str">
        <x:v>REQUIRED</x:v>
      </x:c>
      <x:c r="P114" s="104" t="str"/>
      <x:c r="Q114" s="104" t="str">
        <x:v>QUEST_ACCEPT</x:v>
      </x:c>
      <x:c r="R114" s="104" t="str">
        <x:v>quest.accepted</x:v>
      </x:c>
      <x:c r="S114" s="104" t="str">
        <x:v>Maximal drei reguläre aktive Quests pro Team.</x:v>
      </x:c>
    </x:row>
    <x:row r="115" ht="74" customHeight="1">
      <x:c r="A115" s="101" t="str">
        <x:v>D1-Q10</x:v>
      </x:c>
      <x:c r="B115" s="101" t="str">
        <x:v>D1-Q10-S04</x:v>
      </x:c>
      <x:c r="C115" s="109" t="n">
        <x:v>4</x:v>
      </x:c>
      <x:c r="D115" s="101" t="str">
        <x:v>OBJECTIVE</x:v>
      </x:c>
      <x:c r="E115" s="101" t="str">
        <x:v>ANSWER_QUESTION</x:v>
      </x:c>
      <x:c r="F115" s="101" t="str">
        <x:v>OBJECTIVE</x:v>
      </x:c>
      <x:c r="G115" s="101" t="str">
        <x:v>SUBMIT_ANSWER</x:v>
      </x:c>
      <x:c r="H115" s="101" t="str">
        <x:v>TEAM</x:v>
      </x:c>
      <x:c r="I115" s="101" t="str">
        <x:v>place_day_1_piazza_scanderbeg</x:v>
      </x:c>
      <x:c r="J115" s="101" t="str">
        <x:v>OBS-D1-Q10-1</x:v>
      </x:c>
      <x:c r="K115" s="101" t="str">
        <x:v>Den Namen am Porträtrelief lesen; bei Unlesbarkeit direkt am Obelisk starten. Frage: Welcher Name steht beim Porträtrelief am Palazzo Scanderbeg?</x:v>
      </x:c>
      <x:c r="L115" s="101" t="str">
        <x:v>normalizedAnswer matches 'Scanderbeg'</x:v>
      </x:c>
      <x:c r="M115" s="101" t="str">
        <x:v>stationComplete=true</x:v>
      </x:c>
      <x:c r="N115" s="101" t="str">
        <x:v>Hint 1 → Hint 2 → Fallback; Grundabschluss bleibt möglich.</x:v>
      </x:c>
      <x:c r="O115" s="101" t="str">
        <x:v>REQUIRED</x:v>
      </x:c>
      <x:c r="P115" s="101" t="str">
        <x:v>stationActive</x:v>
      </x:c>
      <x:c r="Q115" s="101" t="str">
        <x:v>OBSERVATION_INPUT</x:v>
      </x:c>
      <x:c r="R115" s="101" t="str">
        <x:v>quest.observation.answered</x:v>
      </x:c>
      <x:c r="S115" s="101" t="str">
        <x:v>Evidence: Steinernes Porträtrelief mit lesbarem Namen an der Hausfassade. | Ampel: GELB</x:v>
      </x:c>
    </x:row>
    <x:row r="116" ht="74" customHeight="1">
      <x:c r="A116" s="104" t="str">
        <x:v>D1-Q10</x:v>
      </x:c>
      <x:c r="B116" s="104" t="str">
        <x:v>D1-Q10-S05</x:v>
      </x:c>
      <x:c r="C116" s="110" t="n">
        <x:v>5</x:v>
      </x:c>
      <x:c r="D116" s="104" t="str">
        <x:v>OBJECTIVE</x:v>
      </x:c>
      <x:c r="E116" s="104" t="str">
        <x:v>REACH_LOCATION</x:v>
      </x:c>
      <x:c r="F116" s="104" t="str">
        <x:v>OBJECTIVE</x:v>
      </x:c>
      <x:c r="G116" s="104" t="str">
        <x:v>REACH_LOCATION</x:v>
      </x:c>
      <x:c r="H116" s="104" t="str">
        <x:v>TEAM</x:v>
      </x:c>
      <x:c r="I116" s="104" t="str">
        <x:v>place_day_1_obelisco_del_quirinale</x:v>
      </x:c>
      <x:c r="J116" s="104" t="str">
        <x:v>place_day_1_obelisco_del_quirinale</x:v>
      </x:c>
      <x:c r="K116" s="104" t="str">
        <x:v>Erreicht Obelisco del Quirinale.</x:v>
      </x:c>
      <x:c r="L116" s="104" t="str">
        <x:v>teamMembersInRadius &gt;= 2 &amp;&amp; stableFixes &gt;= 2</x:v>
      </x:c>
      <x:c r="M116" s="104" t="str">
        <x:v>stationActive=true</x:v>
      </x:c>
      <x:c r="N116" s="104" t="str">
        <x:v>Hinweisleiter; Ziel bleibt offen.</x:v>
      </x:c>
      <x:c r="O116" s="104" t="str">
        <x:v>REQUIRED</x:v>
      </x:c>
      <x:c r="P116" s="104" t="str">
        <x:v>previousStepComplete</x:v>
      </x:c>
      <x:c r="Q116" s="104" t="str">
        <x:v>MAP_AND_QUEST</x:v>
      </x:c>
      <x:c r="R116" s="104" t="str">
        <x:v>quest.location.reached</x:v>
      </x:c>
      <x:c r="S116" s="104" t="str">
        <x:v>Standard 15-m-Zielradius; keine Innen-/Eintrittspflicht.</x:v>
      </x:c>
    </x:row>
    <x:row r="117" ht="74" customHeight="1">
      <x:c r="A117" s="101" t="str">
        <x:v>D1-Q10</x:v>
      </x:c>
      <x:c r="B117" s="101" t="str">
        <x:v>D1-Q10-S06</x:v>
      </x:c>
      <x:c r="C117" s="109" t="n">
        <x:v>6</x:v>
      </x:c>
      <x:c r="D117" s="101" t="str">
        <x:v>OBJECTIVE</x:v>
      </x:c>
      <x:c r="E117" s="101" t="str">
        <x:v>ANSWER_QUESTION</x:v>
      </x:c>
      <x:c r="F117" s="101" t="str">
        <x:v>OBJECTIVE</x:v>
      </x:c>
      <x:c r="G117" s="101" t="str">
        <x:v>SUBMIT_ANSWER</x:v>
      </x:c>
      <x:c r="H117" s="101" t="str">
        <x:v>TEAM</x:v>
      </x:c>
      <x:c r="I117" s="101" t="str">
        <x:v>place_day_1_obelisco_del_quirinale</x:v>
      </x:c>
      <x:c r="J117" s="101" t="str">
        <x:v>OBS-D1-Q10-2</x:v>
      </x:c>
      <x:c r="K117" s="101" t="str">
        <x:v>Die zwei monumentalen Pferdegruppen am Quirinal zählen. Frage: Wie viele monumentale Pferde flankieren den Obelisken?</x:v>
      </x:c>
      <x:c r="L117" s="101" t="str">
        <x:v>normalizedAnswer matches 'Zwei'</x:v>
      </x:c>
      <x:c r="M117" s="101" t="str">
        <x:v>stationComplete=true</x:v>
      </x:c>
      <x:c r="N117" s="101" t="str">
        <x:v>Hint 1 → Hint 2 → Fallback; Grundabschluss bleibt möglich.</x:v>
      </x:c>
      <x:c r="O117" s="101" t="str">
        <x:v>REQUIRED</x:v>
      </x:c>
      <x:c r="P117" s="101" t="str">
        <x:v>stationActive</x:v>
      </x:c>
      <x:c r="Q117" s="101" t="str">
        <x:v>OBSERVATION_INPUT</x:v>
      </x:c>
      <x:c r="R117" s="101" t="str">
        <x:v>quest.observation.answered</x:v>
      </x:c>
      <x:c r="S117" s="101" t="str">
        <x:v>Evidence: Zwei monumentale Pferdegruppen flankieren den Obelisken. | Ampel: GRUEN</x:v>
      </x:c>
    </x:row>
    <x:row r="118" ht="74" customHeight="1">
      <x:c r="A118" s="104" t="str">
        <x:v>D1-Q10</x:v>
      </x:c>
      <x:c r="B118" s="104" t="str">
        <x:v>D1-Q10-S07</x:v>
      </x:c>
      <x:c r="C118" s="110" t="n">
        <x:v>7</x:v>
      </x:c>
      <x:c r="D118" s="104" t="str">
        <x:v>OBJECTIVE</x:v>
      </x:c>
      <x:c r="E118" s="104" t="str">
        <x:v>REACH_LOCATION</x:v>
      </x:c>
      <x:c r="F118" s="104" t="str">
        <x:v>OBJECTIVE</x:v>
      </x:c>
      <x:c r="G118" s="104" t="str">
        <x:v>REACH_LOCATION</x:v>
      </x:c>
      <x:c r="H118" s="104" t="str">
        <x:v>TEAM</x:v>
      </x:c>
      <x:c r="I118" s="104" t="str">
        <x:v>place_day_1_palazzo_del_quirinale</x:v>
      </x:c>
      <x:c r="J118" s="104" t="str">
        <x:v>place_day_1_palazzo_del_quirinale</x:v>
      </x:c>
      <x:c r="K118" s="104" t="str">
        <x:v>Erreicht Quirinalspalast.</x:v>
      </x:c>
      <x:c r="L118" s="104" t="str">
        <x:v>teamMembersInRadius &gt;= 2 &amp;&amp; stableFixes &gt;= 2</x:v>
      </x:c>
      <x:c r="M118" s="104" t="str">
        <x:v>stationActive=true</x:v>
      </x:c>
      <x:c r="N118" s="104" t="str">
        <x:v>Hinweisleiter; Ziel bleibt offen.</x:v>
      </x:c>
      <x:c r="O118" s="104" t="str">
        <x:v>REQUIRED</x:v>
      </x:c>
      <x:c r="P118" s="104" t="str">
        <x:v>previousStepComplete</x:v>
      </x:c>
      <x:c r="Q118" s="104" t="str">
        <x:v>MAP_AND_QUEST</x:v>
      </x:c>
      <x:c r="R118" s="104" t="str">
        <x:v>quest.location.reached</x:v>
      </x:c>
      <x:c r="S118" s="104" t="str">
        <x:v>Standard 15-m-Zielradius; keine Innen-/Eintrittspflicht.</x:v>
      </x:c>
    </x:row>
    <x:row r="119" ht="74" customHeight="1">
      <x:c r="A119" s="101" t="str">
        <x:v>D1-Q10</x:v>
      </x:c>
      <x:c r="B119" s="101" t="str">
        <x:v>D1-Q10-S08</x:v>
      </x:c>
      <x:c r="C119" s="109" t="n">
        <x:v>8</x:v>
      </x:c>
      <x:c r="D119" s="101" t="str">
        <x:v>OBJECTIVE</x:v>
      </x:c>
      <x:c r="E119" s="101" t="str">
        <x:v>ANSWER_QUESTION</x:v>
      </x:c>
      <x:c r="F119" s="101" t="str">
        <x:v>OBJECTIVE</x:v>
      </x:c>
      <x:c r="G119" s="101" t="str">
        <x:v>SUBMIT_ANSWER</x:v>
      </x:c>
      <x:c r="H119" s="101" t="str">
        <x:v>TEAM</x:v>
      </x:c>
      <x:c r="I119" s="101" t="str">
        <x:v>place_day_1_palazzo_del_quirinale</x:v>
      </x:c>
      <x:c r="J119" s="101" t="str">
        <x:v>OBS-D1-Q10-3</x:v>
      </x:c>
      <x:c r="K119" s="101" t="str">
        <x:v>Den Quirinalspalast als heutigen Amtssitz einordnen und Loyalität wählen. Frage: Welche heutige staatliche Institution nutzt den Quirinalspalast?</x:v>
      </x:c>
      <x:c r="L119" s="101" t="str">
        <x:v>normalizedAnswer matches 'Der Präsident der Italienischen Republik'</x:v>
      </x:c>
      <x:c r="M119" s="101" t="str">
        <x:v>stationComplete=true</x:v>
      </x:c>
      <x:c r="N119" s="101" t="str">
        <x:v>Hint 1 → Hint 2 → Fallback; Grundabschluss bleibt möglich.</x:v>
      </x:c>
      <x:c r="O119" s="101" t="str">
        <x:v>REQUIRED</x:v>
      </x:c>
      <x:c r="P119" s="101" t="str">
        <x:v>stationActive</x:v>
      </x:c>
      <x:c r="Q119" s="101" t="str">
        <x:v>OBSERVATION_INPUT</x:v>
      </x:c>
      <x:c r="R119" s="101" t="str">
        <x:v>quest.observation.answered</x:v>
      </x:c>
      <x:c r="S119" s="101" t="str">
        <x:v>Evidence: Monumentale lange Palastfassade und Hauptportal an der öffentlich zugänglichen Piazza del Quirinale. | Ampel: GRUEN</x:v>
      </x:c>
    </x:row>
    <x:row r="120" ht="74" customHeight="1">
      <x:c r="A120" s="104" t="str">
        <x:v>D1-Q10</x:v>
      </x:c>
      <x:c r="B120" s="104" t="str">
        <x:v>D1-Q10-S09</x:v>
      </x:c>
      <x:c r="C120" s="110" t="n">
        <x:v>9</x:v>
      </x:c>
      <x:c r="D120" s="104" t="str">
        <x:v>OBJECTIVE</x:v>
      </x:c>
      <x:c r="E120" s="104" t="str">
        <x:v>SOLVE_PUZZLE</x:v>
      </x:c>
      <x:c r="F120" s="104" t="str">
        <x:v>OBJECTIVE</x:v>
      </x:c>
      <x:c r="G120" s="104" t="str">
        <x:v>SUBMIT_ANSWER</x:v>
      </x:c>
      <x:c r="H120" s="104" t="str">
        <x:v>TEAM</x:v>
      </x:c>
      <x:c r="I120" s="104" t="str">
        <x:v>place_day_1_palazzo_del_quirinale</x:v>
      </x:c>
      <x:c r="J120" s="104" t="str">
        <x:v>PZ-D1-Q10</x:v>
      </x:c>
      <x:c r="K120" s="104" t="str">
        <x:v>Welche heutige Institution nutzt den Quirinalspalast?</x:v>
      </x:c>
      <x:c r="L120" s="104" t="str">
        <x:v>puzzleResult == CORRECT</x:v>
      </x:c>
      <x:c r="M120" s="104" t="str">
        <x:v>synthesisComplete=true</x:v>
      </x:c>
      <x:c r="N120" s="104" t="str">
        <x:v>Die Frage wird als reine Wissensauswahl angezeigt; keine Annäherung an Wachen.</x:v>
      </x:c>
      <x:c r="O120" s="104" t="str">
        <x:v>REQUIRED</x:v>
      </x:c>
      <x:c r="P120" s="104" t="str">
        <x:v>allRequiredStationsComplete</x:v>
      </x:c>
      <x:c r="Q120" s="104" t="str">
        <x:v>PUZZLE</x:v>
      </x:c>
      <x:c r="R120" s="104" t="str">
        <x:v>quest.puzzle.solved</x:v>
      </x:c>
      <x:c r="S120" s="104" t="str">
        <x:v>Penalty: Belohnungswahl ohne Zusatzbonus</x:v>
      </x:c>
    </x:row>
    <x:row r="121" ht="74" customHeight="1">
      <x:c r="A121" s="101" t="str">
        <x:v>D1-Q10</x:v>
      </x:c>
      <x:c r="B121" s="101" t="str">
        <x:v>D1-Q10-S10</x:v>
      </x:c>
      <x:c r="C121" s="109" t="n">
        <x:v>10</x:v>
      </x:c>
      <x:c r="D121" s="101" t="str">
        <x:v>OBJECTIVE</x:v>
      </x:c>
      <x:c r="E121" s="101" t="str">
        <x:v>TEAM_DECISION</x:v>
      </x:c>
      <x:c r="F121" s="101" t="str">
        <x:v>OBJECTIVE</x:v>
      </x:c>
      <x:c r="G121" s="101" t="str">
        <x:v>COMPLETE_DIALOGUE</x:v>
      </x:c>
      <x:c r="H121" s="101" t="str">
        <x:v>TEAM</x:v>
      </x:c>
      <x:c r="I121" s="101" t="str">
        <x:v>place_day_1_palazzo_del_quirinale</x:v>
      </x:c>
      <x:c r="J121" s="101" t="str">
        <x:v>D1-Q10-COMPLETE</x:v>
      </x:c>
      <x:c r="K121" s="101" t="str">
        <x:v>Team stimmt über LOYALE_GARDE|FREIE_KOMPANIE|DIENST_DER_REPUBLIK ab.</x:v>
      </x:c>
      <x:c r="L121" s="101" t="str">
        <x:v>teamVoteResolved</x:v>
      </x:c>
      <x:c r="M121" s="101" t="str">
        <x:v>rewardVariantLocked=true</x:v>
      </x:c>
      <x:c r="N121" s="101" t="str">
        <x:v>Bei Gleichstand entscheidet der Queststarter nach 30 s.</x:v>
      </x:c>
      <x:c r="O121" s="101" t="str">
        <x:v>REQUIRED</x:v>
      </x:c>
      <x:c r="P121" s="101" t="str">
        <x:v>synthesisComplete</x:v>
      </x:c>
      <x:c r="Q121" s="101" t="str">
        <x:v>DIALOGUE_VOTE</x:v>
      </x:c>
      <x:c r="R121" s="101" t="str">
        <x:v>quest.decision</x:v>
      </x:c>
      <x:c r="S121" s="101" t="str">
        <x:v>Wahl verändert nur kleine Belohnungs-/Dialogvariante.</x:v>
      </x:c>
    </x:row>
    <x:row r="122" ht="74" customHeight="1">
      <x:c r="A122" s="104" t="str">
        <x:v>D1-Q10</x:v>
      </x:c>
      <x:c r="B122" s="104" t="str">
        <x:v>D1-Q10-S11</x:v>
      </x:c>
      <x:c r="C122" s="110" t="n">
        <x:v>11</x:v>
      </x:c>
      <x:c r="D122" s="104" t="str">
        <x:v>BONUS_OBJECTIVE</x:v>
      </x:c>
      <x:c r="E122" s="104" t="str">
        <x:v>DEFEAT_ENEMY</x:v>
      </x:c>
      <x:c r="F122" s="104" t="str">
        <x:v>OBJECTIVE</x:v>
      </x:c>
      <x:c r="G122" s="104" t="str">
        <x:v>COMPLETE_ENCOUNTER</x:v>
      </x:c>
      <x:c r="H122" s="104" t="str">
        <x:v>TEAM</x:v>
      </x:c>
      <x:c r="I122" s="104" t="str">
        <x:v>place_day_1_palazzo_del_quirinale</x:v>
      </x:c>
      <x:c r="J122" s="104" t="str">
        <x:v>CP-QE-CORAZZIERE</x:v>
      </x:c>
      <x:c r="K122" s="104" t="str">
        <x:v>Corazziere del Colle bekämpfen.</x:v>
      </x:c>
      <x:c r="L122" s="104" t="str">
        <x:v>combatState == WON</x:v>
      </x:c>
      <x:c r="M122" s="104" t="str">
        <x:v>encounterComplete=true</x:v>
      </x:c>
      <x:c r="N122" s="104" t="str">
        <x:v>Optionaler Zweig endet ohne Grundbelohnungsverlust.</x:v>
      </x:c>
      <x:c r="O122" s="104" t="str">
        <x:v>OPTIONAL</x:v>
      </x:c>
      <x:c r="P122" s="104" t="str">
        <x:v>branchSelected</x:v>
      </x:c>
      <x:c r="Q122" s="104" t="str">
        <x:v>COMBAT</x:v>
      </x:c>
      <x:c r="R122" s="104" t="str">
        <x:v>quest.combat.completed</x:v>
      </x:c>
      <x:c r="S122" s="104" t="str">
        <x:v>QUEST_ENEMY ist teambezogen; kein normaler Respawn.</x:v>
      </x:c>
    </x:row>
    <x:row r="123" ht="74" customHeight="1">
      <x:c r="A123" s="101" t="str">
        <x:v>D1-Q10</x:v>
      </x:c>
      <x:c r="B123" s="101" t="str">
        <x:v>D1-Q10-S12</x:v>
      </x:c>
      <x:c r="C123" s="109" t="n">
        <x:v>12</x:v>
      </x:c>
      <x:c r="D123" s="101" t="str">
        <x:v>COMPLETE</x:v>
      </x:c>
      <x:c r="E123" s="101" t="str">
        <x:v>TALK_TO_NPC</x:v>
      </x:c>
      <x:c r="F123" s="101" t="str">
        <x:v>OBJECTIVE</x:v>
      </x:c>
      <x:c r="G123" s="101" t="str">
        <x:v>COMPLETE_DIALOGUE</x:v>
      </x:c>
      <x:c r="H123" s="101" t="str">
        <x:v>TEAM</x:v>
      </x:c>
      <x:c r="I123" s="101" t="str">
        <x:v>place_day_1_palazzo_del_quirinale</x:v>
      </x:c>
      <x:c r="J123" s="101" t="str">
        <x:v>D1-Q10-COMPLETE</x:v>
      </x:c>
      <x:c r="K123" s="101" t="str">
        <x:v>Abschlussdialog und Konsequenz anzeigen.</x:v>
      </x:c>
      <x:c r="L123" s="101" t="str">
        <x:v>dialogSequenceComplete('D1-Q10-COMPLETE')</x:v>
      </x:c>
      <x:c r="M123" s="101" t="str">
        <x:v>state=REWARD</x:v>
      </x:c>
      <x:c r="N123" s="101" t="str">
        <x:v>Dialog erneut öffnen.</x:v>
      </x:c>
      <x:c r="O123" s="101" t="str">
        <x:v>REQUIRED</x:v>
      </x:c>
      <x:c r="P123" s="101" t="str">
        <x:v>allRequiredObjectivesComplete</x:v>
      </x:c>
      <x:c r="Q123" s="101" t="str">
        <x:v>DIALOGUE</x:v>
      </x:c>
      <x:c r="R123" s="101" t="str">
        <x:v>quest.completed</x:v>
      </x:c>
      <x:c r="S123" s="101" t="str">
        <x:v>Abschluss erst serverseitig nach allen Pflichtschritten.</x:v>
      </x:c>
    </x:row>
    <x:row r="124" ht="74" customHeight="1">
      <x:c r="A124" s="104" t="str">
        <x:v>D1-Q10</x:v>
      </x:c>
      <x:c r="B124" s="104" t="str">
        <x:v>D1-Q10-S13</x:v>
      </x:c>
      <x:c r="C124" s="110" t="n">
        <x:v>13</x:v>
      </x:c>
      <x:c r="D124" s="104" t="str">
        <x:v>REWARD</x:v>
      </x:c>
      <x:c r="E124" s="104" t="str">
        <x:v>GRANT_REWARD</x:v>
      </x:c>
      <x:c r="F124" s="104" t="str">
        <x:v>SYSTEM_ACTION</x:v>
      </x:c>
      <x:c r="G124" s="104" t="str"/>
      <x:c r="H124" s="104" t="str">
        <x:v>TEAM</x:v>
      </x:c>
      <x:c r="I124" s="104" t="str"/>
      <x:c r="J124" s="104" t="str">
        <x:v>D1-Q10</x:v>
      </x:c>
      <x:c r="K124" s="104" t="str">
        <x:v>Atomare Vergabe von Ruhm, Denaren, Loot und Variantenbonus.</x:v>
      </x:c>
      <x:c r="L124" s="104" t="str">
        <x:v>rewardTransactionCommitted</x:v>
      </x:c>
      <x:c r="M124" s="104" t="str">
        <x:v>state=COMPLETED</x:v>
      </x:c>
      <x:c r="N124" s="104" t="str">
        <x:v>Idempotenter Retry mit gleicher rewardTransactionId.</x:v>
      </x:c>
      <x:c r="O124" s="104" t="str">
        <x:v>REQUIRED</x:v>
      </x:c>
      <x:c r="P124" s="104" t="str">
        <x:v>questComplete</x:v>
      </x:c>
      <x:c r="Q124" s="104" t="str">
        <x:v>REWARD</x:v>
      </x:c>
      <x:c r="R124" s="104" t="str">
        <x:v>quest.reward.granted</x:v>
      </x:c>
      <x:c r="S124" s="104" t="str">
        <x:v>Arbeitswerte aus Quest Master; finales Balancing separat.</x:v>
      </x:c>
    </x:row>
    <x:row r="125" ht="74" customHeight="1">
      <x:c r="A125" s="101" t="str">
        <x:v>D1-Q11</x:v>
      </x:c>
      <x:c r="B125" s="101" t="str">
        <x:v>D1-Q11-S01</x:v>
      </x:c>
      <x:c r="C125" s="109" t="n">
        <x:v>1</x:v>
      </x:c>
      <x:c r="D125" s="101" t="str">
        <x:v>DISCOVER</x:v>
      </x:c>
      <x:c r="E125" s="101" t="str">
        <x:v>DISCOVER_NPC</x:v>
      </x:c>
      <x:c r="F125" s="101" t="str">
        <x:v>FLOW_ACTION</x:v>
      </x:c>
      <x:c r="G125" s="101" t="str"/>
      <x:c r="H125" s="101" t="str">
        <x:v>TEAM</x:v>
      </x:c>
      <x:c r="I125" s="101" t="str">
        <x:v>place_day_1_colonna_dell_immacolata</x:v>
      </x:c>
      <x:c r="J125" s="101" t="str">
        <x:v>npc_lucia_laternenhueterin</x:v>
      </x:c>
      <x:c r="K125" s="101" t="str">
        <x:v>Entdeckt Lucia, Laternenhüterin der Säule ab 55 m; Interaktion wird bei stabilem 15-m-Fix verfügbar.</x:v>
      </x:c>
      <x:c r="L125" s="101" t="str">
        <x:v>npcDiscovered &amp;&amp; interactionGateOpen</x:v>
      </x:c>
      <x:c r="M125" s="101" t="str">
        <x:v>state=DIALOGUE</x:v>
      </x:c>
      <x:c r="N125" s="101" t="str">
        <x:v>UI bleibt auf Karte; GPS-Hinweis anzeigen.</x:v>
      </x:c>
      <x:c r="O125" s="101" t="str">
        <x:v>REQUIRED</x:v>
      </x:c>
      <x:c r="P125" s="101" t="str"/>
      <x:c r="Q125" s="101" t="str">
        <x:v>MAP_OBJECT_SHEET</x:v>
      </x:c>
      <x:c r="R125" s="101" t="str">
        <x:v>quest.discovered</x:v>
      </x:c>
      <x:c r="S125" s="101" t="str">
        <x:v>15-m-Enter/25-m-Exit-Hysterese; serverautoritativ.</x:v>
      </x:c>
    </x:row>
    <x:row r="126" ht="74" customHeight="1">
      <x:c r="A126" s="104" t="str">
        <x:v>D1-Q11</x:v>
      </x:c>
      <x:c r="B126" s="104" t="str">
        <x:v>D1-Q11-S02</x:v>
      </x:c>
      <x:c r="C126" s="110" t="n">
        <x:v>2</x:v>
      </x:c>
      <x:c r="D126" s="104" t="str">
        <x:v>DIALOGUE</x:v>
      </x:c>
      <x:c r="E126" s="104" t="str">
        <x:v>TALK_TO_NPC</x:v>
      </x:c>
      <x:c r="F126" s="104" t="str">
        <x:v>OBJECTIVE</x:v>
      </x:c>
      <x:c r="G126" s="104" t="str">
        <x:v>COMPLETE_DIALOGUE</x:v>
      </x:c>
      <x:c r="H126" s="104" t="str">
        <x:v>TEAM</x:v>
      </x:c>
      <x:c r="I126" s="104" t="str">
        <x:v>place_day_1_colonna_dell_immacolata</x:v>
      </x:c>
      <x:c r="J126" s="104" t="str">
        <x:v>D1-Q11-OFFER</x:v>
      </x:c>
      <x:c r="K126" s="104" t="str">
        <x:v>Questangebot und erste Dialogoption anzeigen.</x:v>
      </x:c>
      <x:c r="L126" s="104" t="str">
        <x:v>dialogSequenceComplete('D1-Q11-OFFER')</x:v>
      </x:c>
      <x:c r="M126" s="104" t="str">
        <x:v>state=ACCEPT</x:v>
      </x:c>
      <x:c r="N126" s="104" t="str">
        <x:v>Dialog kann erneut geöffnet werden.</x:v>
      </x:c>
      <x:c r="O126" s="104" t="str">
        <x:v>REQUIRED</x:v>
      </x:c>
      <x:c r="P126" s="104" t="str"/>
      <x:c r="Q126" s="104" t="str">
        <x:v>DIALOGUE</x:v>
      </x:c>
      <x:c r="R126" s="104" t="str">
        <x:v>quest.dialogue.offer</x:v>
      </x:c>
      <x:c r="S126" s="104" t="str">
        <x:v>Teamentscheidung wird einmal serverseitig gespeichert.</x:v>
      </x:c>
    </x:row>
    <x:row r="127" ht="74" customHeight="1">
      <x:c r="A127" s="101" t="str">
        <x:v>D1-Q11</x:v>
      </x:c>
      <x:c r="B127" s="101" t="str">
        <x:v>D1-Q11-S03</x:v>
      </x:c>
      <x:c r="C127" s="109" t="n">
        <x:v>3</x:v>
      </x:c>
      <x:c r="D127" s="101" t="str">
        <x:v>ACCEPT</x:v>
      </x:c>
      <x:c r="E127" s="101" t="str">
        <x:v>ACCEPT_QUEST</x:v>
      </x:c>
      <x:c r="F127" s="101" t="str">
        <x:v>FLOW_ACTION</x:v>
      </x:c>
      <x:c r="G127" s="101" t="str"/>
      <x:c r="H127" s="101" t="str">
        <x:v>TEAM</x:v>
      </x:c>
      <x:c r="I127" s="101" t="str">
        <x:v>place_day_1_colonna_dell_immacolata</x:v>
      </x:c>
      <x:c r="J127" s="101" t="str">
        <x:v>D1-Q11</x:v>
      </x:c>
      <x:c r="K127" s="101" t="str">
        <x:v>Quest annehmen; Voraussetzungen, Slotwirkung und Fallback vor Bestätigung anzeigen.</x:v>
      </x:c>
      <x:c r="L127" s="101" t="str">
        <x:v>teamVoteResolved &amp;&amp; questSlotReserved</x:v>
      </x:c>
      <x:c r="M127" s="101" t="str">
        <x:v>state=OBJECTIVE</x:v>
      </x:c>
      <x:c r="N127" s="101" t="str">
        <x:v>Annahme abbrechbar; kein Slotverbrauch.</x:v>
      </x:c>
      <x:c r="O127" s="101" t="str">
        <x:v>REQUIRED</x:v>
      </x:c>
      <x:c r="P127" s="101" t="str"/>
      <x:c r="Q127" s="101" t="str">
        <x:v>QUEST_ACCEPT</x:v>
      </x:c>
      <x:c r="R127" s="101" t="str">
        <x:v>quest.accepted</x:v>
      </x:c>
      <x:c r="S127" s="101" t="str">
        <x:v>Maximal drei reguläre aktive Quests pro Team.</x:v>
      </x:c>
    </x:row>
    <x:row r="128" ht="74" customHeight="1">
      <x:c r="A128" s="104" t="str">
        <x:v>D1-Q11</x:v>
      </x:c>
      <x:c r="B128" s="104" t="str">
        <x:v>D1-Q11-S04</x:v>
      </x:c>
      <x:c r="C128" s="110" t="n">
        <x:v>4</x:v>
      </x:c>
      <x:c r="D128" s="104" t="str">
        <x:v>OBJECTIVE</x:v>
      </x:c>
      <x:c r="E128" s="104" t="str">
        <x:v>ANSWER_QUESTION</x:v>
      </x:c>
      <x:c r="F128" s="104" t="str">
        <x:v>OBJECTIVE</x:v>
      </x:c>
      <x:c r="G128" s="104" t="str">
        <x:v>SUBMIT_ANSWER</x:v>
      </x:c>
      <x:c r="H128" s="104" t="str">
        <x:v>TEAM</x:v>
      </x:c>
      <x:c r="I128" s="104" t="str">
        <x:v>place_day_1_colonna_dell_immacolata</x:v>
      </x:c>
      <x:c r="J128" s="104" t="str">
        <x:v>OBS-D1-Q11-1</x:v>
      </x:c>
      <x:c r="K128" s="104" t="str">
        <x:v>Maria auf der Spitze und die vier großen Sockelfiguren erkennen; anschließend den Code MARIA eingeben. Frage: Welche religiöse Figur steht auf der Spitze der Säule?</x:v>
      </x:c>
      <x:c r="L128" s="104" t="str">
        <x:v>normalizedAnswer matches 'Maria'</x:v>
      </x:c>
      <x:c r="M128" s="104" t="str">
        <x:v>stationComplete=true</x:v>
      </x:c>
      <x:c r="N128" s="104" t="str">
        <x:v>Hint 1 → Hint 2 → Fallback; Grundabschluss bleibt möglich.</x:v>
      </x:c>
      <x:c r="O128" s="104" t="str">
        <x:v>REQUIRED</x:v>
      </x:c>
      <x:c r="P128" s="104" t="str">
        <x:v>stationActive</x:v>
      </x:c>
      <x:c r="Q128" s="104" t="str">
        <x:v>OBSERVATION_INPUT</x:v>
      </x:c>
      <x:c r="R128" s="104" t="str">
        <x:v>quest.observation.answered</x:v>
      </x:c>
      <x:c r="S128" s="104" t="str">
        <x:v>Evidence: Große Marienstatue auf der Spitze und vier sitzende Sockelfiguren. | Ampel: GRUEN</x:v>
      </x:c>
    </x:row>
    <x:row r="129" ht="74" customHeight="1">
      <x:c r="A129" s="101" t="str">
        <x:v>D1-Q11</x:v>
      </x:c>
      <x:c r="B129" s="101" t="str">
        <x:v>D1-Q11-S05</x:v>
      </x:c>
      <x:c r="C129" s="109" t="n">
        <x:v>5</x:v>
      </x:c>
      <x:c r="D129" s="101" t="str">
        <x:v>OBJECTIVE</x:v>
      </x:c>
      <x:c r="E129" s="101" t="str">
        <x:v>SOLVE_PUZZLE</x:v>
      </x:c>
      <x:c r="F129" s="101" t="str">
        <x:v>OBJECTIVE</x:v>
      </x:c>
      <x:c r="G129" s="101" t="str">
        <x:v>SUBMIT_ANSWER</x:v>
      </x:c>
      <x:c r="H129" s="101" t="str">
        <x:v>TEAM</x:v>
      </x:c>
      <x:c r="I129" s="101" t="str">
        <x:v>place_day_1_colonna_dell_immacolata</x:v>
      </x:c>
      <x:c r="J129" s="101" t="str">
        <x:v>PZ-D1-Q11</x:v>
      </x:c>
      <x:c r="K129" s="101" t="str">
        <x:v>Gebt den Namen der Figur auf der Spitze ein und wählt, wo die vier weiteren Großfiguren sitzen.</x:v>
      </x:c>
      <x:c r="L129" s="101" t="str">
        <x:v>puzzleResult == CORRECT</x:v>
      </x:c>
      <x:c r="M129" s="101" t="str">
        <x:v>synthesisComplete=true</x:v>
      </x:c>
      <x:c r="N129" s="101" t="str">
        <x:v>Nur Zahl der Sockelfiguren: vier.</x:v>
      </x:c>
      <x:c r="O129" s="101" t="str">
        <x:v>REQUIRED</x:v>
      </x:c>
      <x:c r="P129" s="101" t="str">
        <x:v>allRequiredStationsComplete</x:v>
      </x:c>
      <x:c r="Q129" s="101" t="str">
        <x:v>PUZZLE</x:v>
      </x:c>
      <x:c r="R129" s="101" t="str">
        <x:v>quest.puzzle.solved</x:v>
      </x:c>
      <x:c r="S129" s="101" t="str">
        <x:v>Penalty: Wissensbonus entfällt</x:v>
      </x:c>
    </x:row>
    <x:row r="130" ht="74" customHeight="1">
      <x:c r="A130" s="104" t="str">
        <x:v>D1-Q11</x:v>
      </x:c>
      <x:c r="B130" s="104" t="str">
        <x:v>D1-Q11-S06</x:v>
      </x:c>
      <x:c r="C130" s="110" t="n">
        <x:v>6</x:v>
      </x:c>
      <x:c r="D130" s="104" t="str">
        <x:v>COMPLETE</x:v>
      </x:c>
      <x:c r="E130" s="104" t="str">
        <x:v>TALK_TO_NPC</x:v>
      </x:c>
      <x:c r="F130" s="104" t="str">
        <x:v>OBJECTIVE</x:v>
      </x:c>
      <x:c r="G130" s="104" t="str">
        <x:v>COMPLETE_DIALOGUE</x:v>
      </x:c>
      <x:c r="H130" s="104" t="str">
        <x:v>TEAM</x:v>
      </x:c>
      <x:c r="I130" s="104" t="str">
        <x:v>place_day_1_colonna_dell_immacolata</x:v>
      </x:c>
      <x:c r="J130" s="104" t="str">
        <x:v>D1-Q11-COMPLETE</x:v>
      </x:c>
      <x:c r="K130" s="104" t="str">
        <x:v>Abschlussdialog und Konsequenz anzeigen.</x:v>
      </x:c>
      <x:c r="L130" s="104" t="str">
        <x:v>dialogSequenceComplete('D1-Q11-COMPLETE')</x:v>
      </x:c>
      <x:c r="M130" s="104" t="str">
        <x:v>state=REWARD</x:v>
      </x:c>
      <x:c r="N130" s="104" t="str">
        <x:v>Dialog erneut öffnen.</x:v>
      </x:c>
      <x:c r="O130" s="104" t="str">
        <x:v>REQUIRED</x:v>
      </x:c>
      <x:c r="P130" s="104" t="str">
        <x:v>allRequiredObjectivesComplete</x:v>
      </x:c>
      <x:c r="Q130" s="104" t="str">
        <x:v>DIALOGUE</x:v>
      </x:c>
      <x:c r="R130" s="104" t="str">
        <x:v>quest.completed</x:v>
      </x:c>
      <x:c r="S130" s="104" t="str">
        <x:v>Abschluss erst serverseitig nach allen Pflichtschritten.</x:v>
      </x:c>
    </x:row>
    <x:row r="131" ht="74" customHeight="1">
      <x:c r="A131" s="101" t="str">
        <x:v>D1-Q11</x:v>
      </x:c>
      <x:c r="B131" s="101" t="str">
        <x:v>D1-Q11-S07</x:v>
      </x:c>
      <x:c r="C131" s="109" t="n">
        <x:v>7</x:v>
      </x:c>
      <x:c r="D131" s="101" t="str">
        <x:v>REWARD</x:v>
      </x:c>
      <x:c r="E131" s="101" t="str">
        <x:v>GRANT_REWARD</x:v>
      </x:c>
      <x:c r="F131" s="101" t="str">
        <x:v>SYSTEM_ACTION</x:v>
      </x:c>
      <x:c r="G131" s="101" t="str"/>
      <x:c r="H131" s="101" t="str">
        <x:v>TEAM</x:v>
      </x:c>
      <x:c r="I131" s="101" t="str"/>
      <x:c r="J131" s="101" t="str">
        <x:v>D1-Q11</x:v>
      </x:c>
      <x:c r="K131" s="101" t="str">
        <x:v>Atomare Vergabe von Ruhm, Denaren, Loot und Variantenbonus.</x:v>
      </x:c>
      <x:c r="L131" s="101" t="str">
        <x:v>rewardTransactionCommitted</x:v>
      </x:c>
      <x:c r="M131" s="101" t="str">
        <x:v>state=COMPLETED</x:v>
      </x:c>
      <x:c r="N131" s="101" t="str">
        <x:v>Idempotenter Retry mit gleicher rewardTransactionId.</x:v>
      </x:c>
      <x:c r="O131" s="101" t="str">
        <x:v>REQUIRED</x:v>
      </x:c>
      <x:c r="P131" s="101" t="str">
        <x:v>questComplete</x:v>
      </x:c>
      <x:c r="Q131" s="101" t="str">
        <x:v>REWARD</x:v>
      </x:c>
      <x:c r="R131" s="101" t="str">
        <x:v>quest.reward.granted</x:v>
      </x:c>
      <x:c r="S131" s="101" t="str">
        <x:v>Arbeitswerte aus Quest Master; finales Balancing separat.</x:v>
      </x:c>
    </x:row>
    <x:row r="132" ht="74" customHeight="1">
      <x:c r="A132" s="104" t="str">
        <x:v>D1-Q12</x:v>
      </x:c>
      <x:c r="B132" s="104" t="str">
        <x:v>D1-Q12-S01</x:v>
      </x:c>
      <x:c r="C132" s="110" t="n">
        <x:v>1</x:v>
      </x:c>
      <x:c r="D132" s="104" t="str">
        <x:v>DISCOVER</x:v>
      </x:c>
      <x:c r="E132" s="104" t="str">
        <x:v>DISCOVER_NPC</x:v>
      </x:c>
      <x:c r="F132" s="104" t="str">
        <x:v>FLOW_ACTION</x:v>
      </x:c>
      <x:c r="G132" s="104" t="str"/>
      <x:c r="H132" s="104" t="str">
        <x:v>TEAM</x:v>
      </x:c>
      <x:c r="I132" s="104" t="str">
        <x:v>place_day_1_ponte_sisto</x:v>
      </x:c>
      <x:c r="J132" s="104" t="str">
        <x:v>npc_giordano_bruno_echo</x:v>
      </x:c>
      <x:c r="K132" s="104" t="str">
        <x:v>Entdeckt Giordano Bruno – dunkles Echo ab 55 m; Interaktion wird bei stabilem 15-m-Fix verfügbar.</x:v>
      </x:c>
      <x:c r="L132" s="104" t="str">
        <x:v>npcDiscovered &amp;&amp; interactionGateOpen</x:v>
      </x:c>
      <x:c r="M132" s="104" t="str">
        <x:v>state=DIALOGUE</x:v>
      </x:c>
      <x:c r="N132" s="104" t="str">
        <x:v>UI bleibt auf Karte; GPS-Hinweis anzeigen.</x:v>
      </x:c>
      <x:c r="O132" s="104" t="str">
        <x:v>REQUIRED</x:v>
      </x:c>
      <x:c r="P132" s="104" t="str"/>
      <x:c r="Q132" s="104" t="str">
        <x:v>MAP_OBJECT_SHEET</x:v>
      </x:c>
      <x:c r="R132" s="104" t="str">
        <x:v>quest.discovered</x:v>
      </x:c>
      <x:c r="S132" s="104" t="str">
        <x:v>15-m-Enter/25-m-Exit-Hysterese; serverautoritativ.</x:v>
      </x:c>
    </x:row>
    <x:row r="133" ht="74" customHeight="1">
      <x:c r="A133" s="101" t="str">
        <x:v>D1-Q12</x:v>
      </x:c>
      <x:c r="B133" s="101" t="str">
        <x:v>D1-Q12-S02</x:v>
      </x:c>
      <x:c r="C133" s="109" t="n">
        <x:v>2</x:v>
      </x:c>
      <x:c r="D133" s="101" t="str">
        <x:v>DIALOGUE</x:v>
      </x:c>
      <x:c r="E133" s="101" t="str">
        <x:v>TALK_TO_NPC</x:v>
      </x:c>
      <x:c r="F133" s="101" t="str">
        <x:v>OBJECTIVE</x:v>
      </x:c>
      <x:c r="G133" s="101" t="str">
        <x:v>COMPLETE_DIALOGUE</x:v>
      </x:c>
      <x:c r="H133" s="101" t="str">
        <x:v>TEAM</x:v>
      </x:c>
      <x:c r="I133" s="101" t="str">
        <x:v>place_day_1_ponte_sisto</x:v>
      </x:c>
      <x:c r="J133" s="101" t="str">
        <x:v>D1-Q12-OFFER</x:v>
      </x:c>
      <x:c r="K133" s="101" t="str">
        <x:v>Questangebot und erste Dialogoption anzeigen.</x:v>
      </x:c>
      <x:c r="L133" s="101" t="str">
        <x:v>dialogSequenceComplete('D1-Q12-OFFER')</x:v>
      </x:c>
      <x:c r="M133" s="101" t="str">
        <x:v>state=ACCEPT</x:v>
      </x:c>
      <x:c r="N133" s="101" t="str">
        <x:v>Dialog kann erneut geöffnet werden.</x:v>
      </x:c>
      <x:c r="O133" s="101" t="str">
        <x:v>REQUIRED</x:v>
      </x:c>
      <x:c r="P133" s="101" t="str"/>
      <x:c r="Q133" s="101" t="str">
        <x:v>DIALOGUE</x:v>
      </x:c>
      <x:c r="R133" s="101" t="str">
        <x:v>quest.dialogue.offer</x:v>
      </x:c>
      <x:c r="S133" s="101" t="str">
        <x:v>Teamentscheidung wird einmal serverseitig gespeichert.</x:v>
      </x:c>
    </x:row>
    <x:row r="134" ht="74" customHeight="1">
      <x:c r="A134" s="104" t="str">
        <x:v>D1-Q12</x:v>
      </x:c>
      <x:c r="B134" s="104" t="str">
        <x:v>D1-Q12-S03</x:v>
      </x:c>
      <x:c r="C134" s="110" t="n">
        <x:v>3</x:v>
      </x:c>
      <x:c r="D134" s="104" t="str">
        <x:v>ACCEPT</x:v>
      </x:c>
      <x:c r="E134" s="104" t="str">
        <x:v>ACCEPT_QUEST</x:v>
      </x:c>
      <x:c r="F134" s="104" t="str">
        <x:v>FLOW_ACTION</x:v>
      </x:c>
      <x:c r="G134" s="104" t="str"/>
      <x:c r="H134" s="104" t="str">
        <x:v>TEAM</x:v>
      </x:c>
      <x:c r="I134" s="104" t="str">
        <x:v>place_day_1_ponte_sisto</x:v>
      </x:c>
      <x:c r="J134" s="104" t="str">
        <x:v>D1-Q12</x:v>
      </x:c>
      <x:c r="K134" s="104" t="str">
        <x:v>Quest annehmen; Etappen-Timer 120 s, Startbedingung und Ablaufwirkung vor Bestätigung anzeigen.</x:v>
      </x:c>
      <x:c r="L134" s="104" t="str">
        <x:v>teamVoteResolved &amp;&amp; questSlotReserved</x:v>
      </x:c>
      <x:c r="M134" s="104" t="str">
        <x:v>state=OBJECTIVE</x:v>
      </x:c>
      <x:c r="N134" s="104" t="str">
        <x:v>Annahme abbrechbar; kein Slotverbrauch.</x:v>
      </x:c>
      <x:c r="O134" s="104" t="str">
        <x:v>REQUIRED</x:v>
      </x:c>
      <x:c r="P134" s="104" t="str"/>
      <x:c r="Q134" s="104" t="str">
        <x:v>QUEST_ACCEPT</x:v>
      </x:c>
      <x:c r="R134" s="104" t="str">
        <x:v>quest.accepted</x:v>
      </x:c>
      <x:c r="S134" s="104" t="str">
        <x:v>timerRef=TMR-D1-Q12-S11; Timer startet nicht bei Annahme, sondern gemäß Timer.StartsWhen.</x:v>
      </x:c>
    </x:row>
    <x:row r="135" ht="74" customHeight="1">
      <x:c r="A135" s="101" t="str">
        <x:v>D1-Q12</x:v>
      </x:c>
      <x:c r="B135" s="101" t="str">
        <x:v>D1-Q12-S04</x:v>
      </x:c>
      <x:c r="C135" s="109" t="n">
        <x:v>4</x:v>
      </x:c>
      <x:c r="D135" s="101" t="str">
        <x:v>OBJECTIVE</x:v>
      </x:c>
      <x:c r="E135" s="101" t="str">
        <x:v>ANSWER_QUESTION</x:v>
      </x:c>
      <x:c r="F135" s="101" t="str">
        <x:v>OBJECTIVE</x:v>
      </x:c>
      <x:c r="G135" s="101" t="str">
        <x:v>SUBMIT_ANSWER</x:v>
      </x:c>
      <x:c r="H135" s="101" t="str">
        <x:v>TEAM</x:v>
      </x:c>
      <x:c r="I135" s="101" t="str">
        <x:v>place_day_1_ponte_sisto</x:v>
      </x:c>
      <x:c r="J135" s="101" t="str">
        <x:v>OBS-D1-Q12-1</x:v>
      </x:c>
      <x:c r="K135" s="101" t="str">
        <x:v>Die Kreisöffnung der Ponte Sisto als Stimme der Verbindung erfassen. Frage: Welche geometrische Form hat die Öffnung zwischen den beiden mittleren Brückenbögen?</x:v>
      </x:c>
      <x:c r="L135" s="101" t="str">
        <x:v>normalizedAnswer matches 'Einen Kreis'</x:v>
      </x:c>
      <x:c r="M135" s="101" t="str">
        <x:v>stationComplete=true</x:v>
      </x:c>
      <x:c r="N135" s="101" t="str">
        <x:v>Hint 1 → Hint 2 → Fallback; Grundabschluss bleibt möglich.</x:v>
      </x:c>
      <x:c r="O135" s="101" t="str">
        <x:v>REQUIRED</x:v>
      </x:c>
      <x:c r="P135" s="101" t="str">
        <x:v>stationActive</x:v>
      </x:c>
      <x:c r="Q135" s="101" t="str">
        <x:v>OBSERVATION_INPUT</x:v>
      </x:c>
      <x:c r="R135" s="101" t="str">
        <x:v>quest.observation.answered</x:v>
      </x:c>
      <x:c r="S135" s="101" t="str">
        <x:v>Evidence: Große kreisrunde Öffnung zwischen den beiden mittleren Brückenbögen. | Ampel: GRUEN</x:v>
      </x:c>
    </x:row>
    <x:row r="136" ht="74" customHeight="1">
      <x:c r="A136" s="104" t="str">
        <x:v>D1-Q12</x:v>
      </x:c>
      <x:c r="B136" s="104" t="str">
        <x:v>D1-Q12-S05</x:v>
      </x:c>
      <x:c r="C136" s="110" t="n">
        <x:v>5</x:v>
      </x:c>
      <x:c r="D136" s="104" t="str">
        <x:v>OBJECTIVE</x:v>
      </x:c>
      <x:c r="E136" s="104" t="str">
        <x:v>REACH_LOCATION</x:v>
      </x:c>
      <x:c r="F136" s="104" t="str">
        <x:v>OBJECTIVE</x:v>
      </x:c>
      <x:c r="G136" s="104" t="str">
        <x:v>REACH_LOCATION</x:v>
      </x:c>
      <x:c r="H136" s="104" t="str">
        <x:v>TEAM</x:v>
      </x:c>
      <x:c r="I136" s="104" t="str">
        <x:v>place_day_1_palazzo_farnese</x:v>
      </x:c>
      <x:c r="J136" s="104" t="str">
        <x:v>place_day_1_palazzo_farnese</x:v>
      </x:c>
      <x:c r="K136" s="104" t="str">
        <x:v>Erreicht Palazzo Farnese.</x:v>
      </x:c>
      <x:c r="L136" s="104" t="str">
        <x:v>teamMembersInRadius &gt;= 2 &amp;&amp; stableFixes &gt;= 2</x:v>
      </x:c>
      <x:c r="M136" s="104" t="str">
        <x:v>stationActive=true</x:v>
      </x:c>
      <x:c r="N136" s="104" t="str">
        <x:v>Hinweisleiter; Ziel bleibt offen.</x:v>
      </x:c>
      <x:c r="O136" s="104" t="str">
        <x:v>REQUIRED</x:v>
      </x:c>
      <x:c r="P136" s="104" t="str">
        <x:v>previousStepComplete</x:v>
      </x:c>
      <x:c r="Q136" s="104" t="str">
        <x:v>MAP_AND_QUEST</x:v>
      </x:c>
      <x:c r="R136" s="104" t="str">
        <x:v>quest.location.reached</x:v>
      </x:c>
      <x:c r="S136" s="104" t="str">
        <x:v>Standard 15-m-Zielradius; keine Innen-/Eintrittspflicht.</x:v>
      </x:c>
    </x:row>
    <x:row r="137" ht="74" customHeight="1">
      <x:c r="A137" s="101" t="str">
        <x:v>D1-Q12</x:v>
      </x:c>
      <x:c r="B137" s="101" t="str">
        <x:v>D1-Q12-S06</x:v>
      </x:c>
      <x:c r="C137" s="109" t="n">
        <x:v>6</x:v>
      </x:c>
      <x:c r="D137" s="101" t="str">
        <x:v>OBJECTIVE</x:v>
      </x:c>
      <x:c r="E137" s="101" t="str">
        <x:v>ANSWER_QUESTION</x:v>
      </x:c>
      <x:c r="F137" s="101" t="str">
        <x:v>OBJECTIVE</x:v>
      </x:c>
      <x:c r="G137" s="101" t="str">
        <x:v>SUBMIT_ANSWER</x:v>
      </x:c>
      <x:c r="H137" s="101" t="str">
        <x:v>TEAM</x:v>
      </x:c>
      <x:c r="I137" s="101" t="str">
        <x:v>place_day_1_palazzo_farnese</x:v>
      </x:c>
      <x:c r="J137" s="101" t="str">
        <x:v>OBS-D1-Q12-2</x:v>
      </x:c>
      <x:c r="K137" s="101" t="str">
        <x:v>Die Farnese-Lilie als Stimme institutioneller Macht erkennen. Frage: Welches heraldische Symbol wiederholt sich im Farnese-Wappen?</x:v>
      </x:c>
      <x:c r="L137" s="101" t="str">
        <x:v>normalizedAnswer matches 'Die Lilie'</x:v>
      </x:c>
      <x:c r="M137" s="101" t="str">
        <x:v>stationComplete=true</x:v>
      </x:c>
      <x:c r="N137" s="101" t="str">
        <x:v>Hint 1 → Hint 2 → Fallback; Grundabschluss bleibt möglich.</x:v>
      </x:c>
      <x:c r="O137" s="101" t="str">
        <x:v>REQUIRED</x:v>
      </x:c>
      <x:c r="P137" s="101" t="str">
        <x:v>stationActive</x:v>
      </x:c>
      <x:c r="Q137" s="101" t="str">
        <x:v>OBSERVATION_INPUT</x:v>
      </x:c>
      <x:c r="R137" s="101" t="str">
        <x:v>quest.observation.answered</x:v>
      </x:c>
      <x:c r="S137" s="101" t="str">
        <x:v>Evidence: Großes päpstliches Wappen über dem Mittelportal und wiederkehrende Lilienmotive. | Ampel: GELB</x:v>
      </x:c>
    </x:row>
    <x:row r="138" ht="74" customHeight="1">
      <x:c r="A138" s="104" t="str">
        <x:v>D1-Q12</x:v>
      </x:c>
      <x:c r="B138" s="104" t="str">
        <x:v>D1-Q12-S07</x:v>
      </x:c>
      <x:c r="C138" s="110" t="n">
        <x:v>7</x:v>
      </x:c>
      <x:c r="D138" s="104" t="str">
        <x:v>OBJECTIVE</x:v>
      </x:c>
      <x:c r="E138" s="104" t="str">
        <x:v>REACH_LOCATION</x:v>
      </x:c>
      <x:c r="F138" s="104" t="str">
        <x:v>OBJECTIVE</x:v>
      </x:c>
      <x:c r="G138" s="104" t="str">
        <x:v>REACH_LOCATION</x:v>
      </x:c>
      <x:c r="H138" s="104" t="str">
        <x:v>TEAM</x:v>
      </x:c>
      <x:c r="I138" s="104" t="str">
        <x:v>place_day_1_campo_de_fiori</x:v>
      </x:c>
      <x:c r="J138" s="104" t="str">
        <x:v>place_day_1_campo_de_fiori</x:v>
      </x:c>
      <x:c r="K138" s="104" t="str">
        <x:v>Erreicht Campo de' Fiori.</x:v>
      </x:c>
      <x:c r="L138" s="104" t="str">
        <x:v>teamMembersInRadius &gt;= 2 &amp;&amp; stableFixes &gt;= 2</x:v>
      </x:c>
      <x:c r="M138" s="104" t="str">
        <x:v>stationActive=true</x:v>
      </x:c>
      <x:c r="N138" s="104" t="str">
        <x:v>Hinweisleiter; Ziel bleibt offen.</x:v>
      </x:c>
      <x:c r="O138" s="104" t="str">
        <x:v>REQUIRED</x:v>
      </x:c>
      <x:c r="P138" s="104" t="str">
        <x:v>previousStepComplete</x:v>
      </x:c>
      <x:c r="Q138" s="104" t="str">
        <x:v>MAP_AND_QUEST</x:v>
      </x:c>
      <x:c r="R138" s="104" t="str">
        <x:v>quest.location.reached</x:v>
      </x:c>
      <x:c r="S138" s="104" t="str">
        <x:v>Standard 15-m-Zielradius; keine Innen-/Eintrittspflicht.</x:v>
      </x:c>
    </x:row>
    <x:row r="139" ht="74" customHeight="1">
      <x:c r="A139" s="101" t="str">
        <x:v>D1-Q12</x:v>
      </x:c>
      <x:c r="B139" s="101" t="str">
        <x:v>D1-Q12-S08</x:v>
      </x:c>
      <x:c r="C139" s="109" t="n">
        <x:v>8</x:v>
      </x:c>
      <x:c r="D139" s="101" t="str">
        <x:v>OBJECTIVE</x:v>
      </x:c>
      <x:c r="E139" s="101" t="str">
        <x:v>ANSWER_QUESTION</x:v>
      </x:c>
      <x:c r="F139" s="101" t="str">
        <x:v>OBJECTIVE</x:v>
      </x:c>
      <x:c r="G139" s="101" t="str">
        <x:v>SUBMIT_ANSWER</x:v>
      </x:c>
      <x:c r="H139" s="101" t="str">
        <x:v>TEAM</x:v>
      </x:c>
      <x:c r="I139" s="101" t="str">
        <x:v>place_day_1_campo_de_fiori</x:v>
      </x:c>
      <x:c r="J139" s="101" t="str">
        <x:v>OBS-D1-Q12-3</x:v>
      </x:c>
      <x:c r="K139" s="101" t="str">
        <x:v>Brunos geschlossenes Buch als Stimme des Widerspruchs identifizieren. Frage: Welchen Gegenstand hält Giordano Bruno unter seinen gekreuzten Händen?</x:v>
      </x:c>
      <x:c r="L139" s="101" t="str">
        <x:v>normalizedAnswer matches 'Ein geschlossenes Buch'</x:v>
      </x:c>
      <x:c r="M139" s="101" t="str">
        <x:v>stationComplete=true</x:v>
      </x:c>
      <x:c r="N139" s="101" t="str">
        <x:v>Hint 1 → Hint 2 → Fallback; Grundabschluss bleibt möglich.</x:v>
      </x:c>
      <x:c r="O139" s="101" t="str">
        <x:v>REQUIRED</x:v>
      </x:c>
      <x:c r="P139" s="101" t="str">
        <x:v>stationActive</x:v>
      </x:c>
      <x:c r="Q139" s="101" t="str">
        <x:v>OBSERVATION_INPUT</x:v>
      </x:c>
      <x:c r="R139" s="101" t="str">
        <x:v>quest.observation.answered</x:v>
      </x:c>
      <x:c r="S139" s="101" t="str">
        <x:v>Evidence: Monumentale dunkle Bronzefigur; geschlossenes Buch direkt unter den gekreuzten Händen. | Ampel: GRUEN</x:v>
      </x:c>
    </x:row>
    <x:row r="140" ht="74" customHeight="1">
      <x:c r="A140" s="104" t="str">
        <x:v>D1-Q12</x:v>
      </x:c>
      <x:c r="B140" s="104" t="str">
        <x:v>D1-Q12-S09</x:v>
      </x:c>
      <x:c r="C140" s="110" t="n">
        <x:v>9</x:v>
      </x:c>
      <x:c r="D140" s="104" t="str">
        <x:v>OBJECTIVE</x:v>
      </x:c>
      <x:c r="E140" s="104" t="str">
        <x:v>REACH_LOCATION</x:v>
      </x:c>
      <x:c r="F140" s="104" t="str">
        <x:v>OBJECTIVE</x:v>
      </x:c>
      <x:c r="G140" s="104" t="str">
        <x:v>REACH_LOCATION</x:v>
      </x:c>
      <x:c r="H140" s="104" t="str">
        <x:v>TEAM</x:v>
      </x:c>
      <x:c r="I140" s="104" t="str">
        <x:v>place_day_1_largo_di_torre_argentina</x:v>
      </x:c>
      <x:c r="J140" s="104" t="str">
        <x:v>place_day_1_largo_di_torre_argentina</x:v>
      </x:c>
      <x:c r="K140" s="104" t="str">
        <x:v>Erreicht Largo di Torre Argentina.</x:v>
      </x:c>
      <x:c r="L140" s="104" t="str">
        <x:v>teamMembersInRadius &gt;= 2 &amp;&amp; stableFixes &gt;= 2</x:v>
      </x:c>
      <x:c r="M140" s="104" t="str">
        <x:v>stationActive=true</x:v>
      </x:c>
      <x:c r="N140" s="104" t="str">
        <x:v>Hinweisleiter; Ziel bleibt offen.</x:v>
      </x:c>
      <x:c r="O140" s="104" t="str">
        <x:v>REQUIRED</x:v>
      </x:c>
      <x:c r="P140" s="104" t="str">
        <x:v>previousStepComplete</x:v>
      </x:c>
      <x:c r="Q140" s="104" t="str">
        <x:v>MAP_AND_QUEST</x:v>
      </x:c>
      <x:c r="R140" s="104" t="str">
        <x:v>quest.location.reached</x:v>
      </x:c>
      <x:c r="S140" s="104" t="str">
        <x:v>Standard 15-m-Zielradius; keine Innen-/Eintrittspflicht.</x:v>
      </x:c>
    </x:row>
    <x:row r="141" ht="74" customHeight="1">
      <x:c r="A141" s="101" t="str">
        <x:v>D1-Q12</x:v>
      </x:c>
      <x:c r="B141" s="101" t="str">
        <x:v>D1-Q12-S10</x:v>
      </x:c>
      <x:c r="C141" s="109" t="n">
        <x:v>10</x:v>
      </x:c>
      <x:c r="D141" s="101" t="str">
        <x:v>OBJECTIVE</x:v>
      </x:c>
      <x:c r="E141" s="101" t="str">
        <x:v>ANSWER_QUESTION</x:v>
      </x:c>
      <x:c r="F141" s="101" t="str">
        <x:v>OBJECTIVE</x:v>
      </x:c>
      <x:c r="G141" s="101" t="str">
        <x:v>SUBMIT_ANSWER</x:v>
      </x:c>
      <x:c r="H141" s="101" t="str">
        <x:v>TEAM</x:v>
      </x:c>
      <x:c r="I141" s="101" t="str">
        <x:v>place_day_1_largo_di_torre_argentina</x:v>
      </x:c>
      <x:c r="J141" s="101" t="str">
        <x:v>OBS-D1-Q12-4</x:v>
      </x:c>
      <x:c r="K141" s="101" t="str">
        <x:v>Vier Tempel am Largo als Stimme der republikanischen Erinnerung erfassen und die Stimmen ordnen. Frage: Wie viele republikanische Tempel sind im Areal zusammengefasst?</x:v>
      </x:c>
      <x:c r="L141" s="101" t="str">
        <x:v>normalizedAnswer matches 'Vier'</x:v>
      </x:c>
      <x:c r="M141" s="101" t="str">
        <x:v>stationComplete=true</x:v>
      </x:c>
      <x:c r="N141" s="101" t="str">
        <x:v>Hint 1 → Hint 2 → Fallback; Grundabschluss bleibt möglich.</x:v>
      </x:c>
      <x:c r="O141" s="101" t="str">
        <x:v>REQUIRED</x:v>
      </x:c>
      <x:c r="P141" s="101" t="str">
        <x:v>stationActive</x:v>
      </x:c>
      <x:c r="Q141" s="101" t="str">
        <x:v>OBSERVATION_INPUT</x:v>
      </x:c>
      <x:c r="R141" s="101" t="str">
        <x:v>quest.observation.answered</x:v>
      </x:c>
      <x:c r="S141" s="101" t="str">
        <x:v>Evidence: Vier klar getrennte Tempelkomplexe im tiefer liegenden Areal. | Ampel: GELB</x:v>
      </x:c>
    </x:row>
    <x:row r="142" ht="74" customHeight="1">
      <x:c r="A142" s="104" t="str">
        <x:v>D1-Q12</x:v>
      </x:c>
      <x:c r="B142" s="104" t="str">
        <x:v>D1-Q12-S11</x:v>
      </x:c>
      <x:c r="C142" s="110" t="n">
        <x:v>11</x:v>
      </x:c>
      <x:c r="D142" s="104" t="str">
        <x:v>OBJECTIVE</x:v>
      </x:c>
      <x:c r="E142" s="104" t="str">
        <x:v>SOLVE_PUZZLE</x:v>
      </x:c>
      <x:c r="F142" s="104" t="str">
        <x:v>OBJECTIVE</x:v>
      </x:c>
      <x:c r="G142" s="104" t="str">
        <x:v>SUBMIT_ANSWER</x:v>
      </x:c>
      <x:c r="H142" s="104" t="str">
        <x:v>TEAM</x:v>
      </x:c>
      <x:c r="I142" s="104" t="str">
        <x:v>place_day_1_largo_di_torre_argentina</x:v>
      </x:c>
      <x:c r="J142" s="104" t="str">
        <x:v>PZ-D1-Q12</x:v>
      </x:c>
      <x:c r="K142" s="104" t="str">
        <x:v>Startet am Largo die 120-Sekunden-Debatte und ordnet die vier Orte ihren Stimmen zu: Verbindung, institutionelle Macht, Widerspruch, republikanische Erinnerung.</x:v>
      </x:c>
      <x:c r="L142" s="104" t="str">
        <x:v>puzzleResult == CORRECT</x:v>
      </x:c>
      <x:c r="M142" s="104" t="str">
        <x:v>synthesisComplete=true; timerBonus=timerState('TMR-D1-Q12-S11') == COMPLETED</x:v>
      </x:c>
      <x:c r="N142" s="104" t="str">
        <x:v>Bei Ablauf entfällt der Entscheidungsbonus; Zuordnung und Abschluss bleiben ohne Zeitdruck offen.</x:v>
      </x:c>
      <x:c r="O142" s="104" t="str">
        <x:v>REQUIRED</x:v>
      </x:c>
      <x:c r="P142" s="104" t="str">
        <x:v>allRequiredStationsComplete</x:v>
      </x:c>
      <x:c r="Q142" s="104" t="str">
        <x:v>PUZZLE</x:v>
      </x:c>
      <x:c r="R142" s="104" t="str">
        <x:v>quest.puzzle.solved</x:v>
      </x:c>
      <x:c r="S142" s="104" t="str">
        <x:v>timerRef=TMR-D1-Q12-S11; START_TIMER erst nach vier Ortsbeobachtungen; keine Bewegung im Zeitfenster.</x:v>
      </x:c>
    </x:row>
    <x:row r="143" ht="74" customHeight="1">
      <x:c r="A143" s="101" t="str">
        <x:v>D1-Q12</x:v>
      </x:c>
      <x:c r="B143" s="101" t="str">
        <x:v>D1-Q12-S12</x:v>
      </x:c>
      <x:c r="C143" s="109" t="n">
        <x:v>12</x:v>
      </x:c>
      <x:c r="D143" s="101" t="str">
        <x:v>OBJECTIVE</x:v>
      </x:c>
      <x:c r="E143" s="101" t="str">
        <x:v>TEAM_DECISION</x:v>
      </x:c>
      <x:c r="F143" s="101" t="str">
        <x:v>OBJECTIVE</x:v>
      </x:c>
      <x:c r="G143" s="101" t="str">
        <x:v>COMPLETE_DIALOGUE</x:v>
      </x:c>
      <x:c r="H143" s="101" t="str">
        <x:v>TEAM</x:v>
      </x:c>
      <x:c r="I143" s="101" t="str">
        <x:v>place_day_1_largo_di_torre_argentina</x:v>
      </x:c>
      <x:c r="J143" s="101" t="str">
        <x:v>D1-Q12-COMPLETE</x:v>
      </x:c>
      <x:c r="K143" s="101" t="str">
        <x:v>Team stimmt über STIMME_DER_BRUECKE|STIMME_DES_MARKTES|STIMME_DER_RUINEN ab.</x:v>
      </x:c>
      <x:c r="L143" s="101" t="str">
        <x:v>teamVoteResolved</x:v>
      </x:c>
      <x:c r="M143" s="101" t="str">
        <x:v>rewardVariantLocked=true</x:v>
      </x:c>
      <x:c r="N143" s="101" t="str">
        <x:v>Bei Gleichstand entscheidet der Queststarter nach 30 s.</x:v>
      </x:c>
      <x:c r="O143" s="101" t="str">
        <x:v>REQUIRED</x:v>
      </x:c>
      <x:c r="P143" s="101" t="str">
        <x:v>synthesisComplete</x:v>
      </x:c>
      <x:c r="Q143" s="101" t="str">
        <x:v>DIALOGUE_VOTE</x:v>
      </x:c>
      <x:c r="R143" s="101" t="str">
        <x:v>quest.decision</x:v>
      </x:c>
      <x:c r="S143" s="101" t="str">
        <x:v>Wahl verändert nur kleine Belohnungs-/Dialogvariante.</x:v>
      </x:c>
    </x:row>
    <x:row r="144" ht="74" customHeight="1">
      <x:c r="A144" s="104" t="str">
        <x:v>D1-Q12</x:v>
      </x:c>
      <x:c r="B144" s="104" t="str">
        <x:v>D1-Q12-S13</x:v>
      </x:c>
      <x:c r="C144" s="110" t="n">
        <x:v>13</x:v>
      </x:c>
      <x:c r="D144" s="104" t="str">
        <x:v>COMPLETE</x:v>
      </x:c>
      <x:c r="E144" s="104" t="str">
        <x:v>TALK_TO_NPC</x:v>
      </x:c>
      <x:c r="F144" s="104" t="str">
        <x:v>OBJECTIVE</x:v>
      </x:c>
      <x:c r="G144" s="104" t="str">
        <x:v>COMPLETE_DIALOGUE</x:v>
      </x:c>
      <x:c r="H144" s="104" t="str">
        <x:v>TEAM</x:v>
      </x:c>
      <x:c r="I144" s="104" t="str">
        <x:v>place_day_1_largo_di_torre_argentina</x:v>
      </x:c>
      <x:c r="J144" s="104" t="str">
        <x:v>D1-Q12-COMPLETE</x:v>
      </x:c>
      <x:c r="K144" s="104" t="str">
        <x:v>Abschlussdialog und Konsequenz anzeigen.</x:v>
      </x:c>
      <x:c r="L144" s="104" t="str">
        <x:v>dialogSequenceComplete('D1-Q12-COMPLETE')</x:v>
      </x:c>
      <x:c r="M144" s="104" t="str">
        <x:v>state=REWARD</x:v>
      </x:c>
      <x:c r="N144" s="104" t="str">
        <x:v>Dialog erneut öffnen.</x:v>
      </x:c>
      <x:c r="O144" s="104" t="str">
        <x:v>REQUIRED</x:v>
      </x:c>
      <x:c r="P144" s="104" t="str">
        <x:v>allRequiredObjectivesComplete</x:v>
      </x:c>
      <x:c r="Q144" s="104" t="str">
        <x:v>DIALOGUE</x:v>
      </x:c>
      <x:c r="R144" s="104" t="str">
        <x:v>quest.completed</x:v>
      </x:c>
      <x:c r="S144" s="104" t="str">
        <x:v>Abschluss erst serverseitig nach allen Pflichtschritten.</x:v>
      </x:c>
    </x:row>
    <x:row r="145" ht="74" customHeight="1">
      <x:c r="A145" s="101" t="str">
        <x:v>D1-Q12</x:v>
      </x:c>
      <x:c r="B145" s="101" t="str">
        <x:v>D1-Q12-S14</x:v>
      </x:c>
      <x:c r="C145" s="109" t="n">
        <x:v>14</x:v>
      </x:c>
      <x:c r="D145" s="101" t="str">
        <x:v>REWARD</x:v>
      </x:c>
      <x:c r="E145" s="101" t="str">
        <x:v>GRANT_REWARD</x:v>
      </x:c>
      <x:c r="F145" s="101" t="str">
        <x:v>SYSTEM_ACTION</x:v>
      </x:c>
      <x:c r="G145" s="101" t="str"/>
      <x:c r="H145" s="101" t="str">
        <x:v>TEAM</x:v>
      </x:c>
      <x:c r="I145" s="101" t="str"/>
      <x:c r="J145" s="101" t="str">
        <x:v>D1-Q12</x:v>
      </x:c>
      <x:c r="K145" s="101" t="str">
        <x:v>Atomare Vergabe von Ruhm, Denaren, Loot und Variantenbonus.</x:v>
      </x:c>
      <x:c r="L145" s="101" t="str">
        <x:v>rewardTransactionCommitted</x:v>
      </x:c>
      <x:c r="M145" s="101" t="str">
        <x:v>state=COMPLETED</x:v>
      </x:c>
      <x:c r="N145" s="101" t="str">
        <x:v>Idempotenter Retry mit gleicher rewardTransactionId.</x:v>
      </x:c>
      <x:c r="O145" s="101" t="str">
        <x:v>REQUIRED</x:v>
      </x:c>
      <x:c r="P145" s="101" t="str">
        <x:v>questComplete</x:v>
      </x:c>
      <x:c r="Q145" s="101" t="str">
        <x:v>REWARD</x:v>
      </x:c>
      <x:c r="R145" s="101" t="str">
        <x:v>quest.reward.granted</x:v>
      </x:c>
      <x:c r="S145" s="101" t="str">
        <x:v>Arbeitswerte aus Quest Master; finales Balancing separat.</x:v>
      </x:c>
    </x:row>
    <x:row r="146" ht="74" customHeight="1">
      <x:c r="A146" s="104" t="str">
        <x:v>D1-Q13</x:v>
      </x:c>
      <x:c r="B146" s="104" t="str">
        <x:v>D1-Q13-S01</x:v>
      </x:c>
      <x:c r="C146" s="110" t="n">
        <x:v>1</x:v>
      </x:c>
      <x:c r="D146" s="104" t="str">
        <x:v>DISCOVER</x:v>
      </x:c>
      <x:c r="E146" s="104" t="str">
        <x:v>DISCOVER_NPC</x:v>
      </x:c>
      <x:c r="F146" s="104" t="str">
        <x:v>FLOW_ACTION</x:v>
      </x:c>
      <x:c r="G146" s="104" t="str"/>
      <x:c r="H146" s="104" t="str">
        <x:v>TEAM</x:v>
      </x:c>
      <x:c r="I146" s="104" t="str">
        <x:v>place_day_1_basilica_di_sant_andrea_della_valle</x:v>
      </x:c>
      <x:c r="J146" s="104" t="str">
        <x:v>npc_marcella_scaena</x:v>
      </x:c>
      <x:c r="K146" s="104" t="str">
        <x:v>Entdeckt Marcella Scaena ab 55 m; Interaktion wird bei stabilem 15-m-Fix verfügbar.</x:v>
      </x:c>
      <x:c r="L146" s="104" t="str">
        <x:v>npcDiscovered &amp;&amp; interactionGateOpen</x:v>
      </x:c>
      <x:c r="M146" s="104" t="str">
        <x:v>state=DIALOGUE</x:v>
      </x:c>
      <x:c r="N146" s="104" t="str">
        <x:v>UI bleibt auf Karte; GPS-Hinweis anzeigen.</x:v>
      </x:c>
      <x:c r="O146" s="104" t="str">
        <x:v>REQUIRED</x:v>
      </x:c>
      <x:c r="P146" s="104" t="str"/>
      <x:c r="Q146" s="104" t="str">
        <x:v>MAP_OBJECT_SHEET</x:v>
      </x:c>
      <x:c r="R146" s="104" t="str">
        <x:v>quest.discovered</x:v>
      </x:c>
      <x:c r="S146" s="104" t="str">
        <x:v>15-m-Enter/25-m-Exit-Hysterese; serverautoritativ.</x:v>
      </x:c>
    </x:row>
    <x:row r="147" ht="74" customHeight="1">
      <x:c r="A147" s="101" t="str">
        <x:v>D1-Q13</x:v>
      </x:c>
      <x:c r="B147" s="101" t="str">
        <x:v>D1-Q13-S02</x:v>
      </x:c>
      <x:c r="C147" s="109" t="n">
        <x:v>2</x:v>
      </x:c>
      <x:c r="D147" s="101" t="str">
        <x:v>DIALOGUE</x:v>
      </x:c>
      <x:c r="E147" s="101" t="str">
        <x:v>TALK_TO_NPC</x:v>
      </x:c>
      <x:c r="F147" s="101" t="str">
        <x:v>OBJECTIVE</x:v>
      </x:c>
      <x:c r="G147" s="101" t="str">
        <x:v>COMPLETE_DIALOGUE</x:v>
      </x:c>
      <x:c r="H147" s="101" t="str">
        <x:v>TEAM</x:v>
      </x:c>
      <x:c r="I147" s="101" t="str">
        <x:v>place_day_1_basilica_di_sant_andrea_della_valle</x:v>
      </x:c>
      <x:c r="J147" s="101" t="str">
        <x:v>D1-Q13-OFFER</x:v>
      </x:c>
      <x:c r="K147" s="101" t="str">
        <x:v>Questangebot und erste Dialogoption anzeigen.</x:v>
      </x:c>
      <x:c r="L147" s="101" t="str">
        <x:v>dialogSequenceComplete('D1-Q13-OFFER')</x:v>
      </x:c>
      <x:c r="M147" s="101" t="str">
        <x:v>state=ACCEPT</x:v>
      </x:c>
      <x:c r="N147" s="101" t="str">
        <x:v>Dialog kann erneut geöffnet werden.</x:v>
      </x:c>
      <x:c r="O147" s="101" t="str">
        <x:v>REQUIRED</x:v>
      </x:c>
      <x:c r="P147" s="101" t="str"/>
      <x:c r="Q147" s="101" t="str">
        <x:v>DIALOGUE</x:v>
      </x:c>
      <x:c r="R147" s="101" t="str">
        <x:v>quest.dialogue.offer</x:v>
      </x:c>
      <x:c r="S147" s="101" t="str">
        <x:v>Teamentscheidung wird einmal serverseitig gespeichert.</x:v>
      </x:c>
    </x:row>
    <x:row r="148" ht="74" customHeight="1">
      <x:c r="A148" s="104" t="str">
        <x:v>D1-Q13</x:v>
      </x:c>
      <x:c r="B148" s="104" t="str">
        <x:v>D1-Q13-S03</x:v>
      </x:c>
      <x:c r="C148" s="110" t="n">
        <x:v>3</x:v>
      </x:c>
      <x:c r="D148" s="104" t="str">
        <x:v>ACCEPT</x:v>
      </x:c>
      <x:c r="E148" s="104" t="str">
        <x:v>ACCEPT_QUEST</x:v>
      </x:c>
      <x:c r="F148" s="104" t="str">
        <x:v>FLOW_ACTION</x:v>
      </x:c>
      <x:c r="G148" s="104" t="str"/>
      <x:c r="H148" s="104" t="str">
        <x:v>TEAM</x:v>
      </x:c>
      <x:c r="I148" s="104" t="str">
        <x:v>place_day_1_basilica_di_sant_andrea_della_valle</x:v>
      </x:c>
      <x:c r="J148" s="104" t="str">
        <x:v>D1-Q13</x:v>
      </x:c>
      <x:c r="K148" s="104" t="str">
        <x:v>Quest annehmen; Voraussetzungen, Slotwirkung und Fallback vor Bestätigung anzeigen.</x:v>
      </x:c>
      <x:c r="L148" s="104" t="str">
        <x:v>teamVoteResolved &amp;&amp; questSlotReserved</x:v>
      </x:c>
      <x:c r="M148" s="104" t="str">
        <x:v>state=OBJECTIVE</x:v>
      </x:c>
      <x:c r="N148" s="104" t="str">
        <x:v>Annahme abbrechbar; kein Slotverbrauch.</x:v>
      </x:c>
      <x:c r="O148" s="104" t="str">
        <x:v>REQUIRED</x:v>
      </x:c>
      <x:c r="P148" s="104" t="str"/>
      <x:c r="Q148" s="104" t="str">
        <x:v>QUEST_ACCEPT</x:v>
      </x:c>
      <x:c r="R148" s="104" t="str">
        <x:v>quest.accepted</x:v>
      </x:c>
      <x:c r="S148" s="104" t="str">
        <x:v>Maximal drei reguläre aktive Quests pro Team.</x:v>
      </x:c>
    </x:row>
    <x:row r="149" ht="74" customHeight="1">
      <x:c r="A149" s="101" t="str">
        <x:v>D1-Q13</x:v>
      </x:c>
      <x:c r="B149" s="101" t="str">
        <x:v>D1-Q13-S04</x:v>
      </x:c>
      <x:c r="C149" s="109" t="n">
        <x:v>4</x:v>
      </x:c>
      <x:c r="D149" s="101" t="str">
        <x:v>OBJECTIVE</x:v>
      </x:c>
      <x:c r="E149" s="101" t="str">
        <x:v>ANSWER_QUESTION</x:v>
      </x:c>
      <x:c r="F149" s="101" t="str">
        <x:v>OBJECTIVE</x:v>
      </x:c>
      <x:c r="G149" s="101" t="str">
        <x:v>SUBMIT_ANSWER</x:v>
      </x:c>
      <x:c r="H149" s="101" t="str">
        <x:v>TEAM</x:v>
      </x:c>
      <x:c r="I149" s="101" t="str">
        <x:v>place_day_1_basilica_di_sant_andrea_della_valle</x:v>
      </x:c>
      <x:c r="J149" s="101" t="str">
        <x:v>OBS-D1-Q13-1</x:v>
      </x:c>
      <x:c r="K149" s="101" t="str">
        <x:v>Die einzelne Engelsfigur an Sant’Andrea links erkennen. Frage: Auf welcher Seite der Fassade sitzt die einzelne große Engelsfigur?</x:v>
      </x:c>
      <x:c r="L149" s="101" t="str">
        <x:v>normalizedAnswer matches 'Links'</x:v>
      </x:c>
      <x:c r="M149" s="101" t="str">
        <x:v>stationComplete=true</x:v>
      </x:c>
      <x:c r="N149" s="101" t="str">
        <x:v>Hint 1 → Hint 2 → Fallback; Grundabschluss bleibt möglich.</x:v>
      </x:c>
      <x:c r="O149" s="101" t="str">
        <x:v>REQUIRED</x:v>
      </x:c>
      <x:c r="P149" s="101" t="str">
        <x:v>stationActive</x:v>
      </x:c>
      <x:c r="Q149" s="101" t="str">
        <x:v>OBSERVATION_INPUT</x:v>
      </x:c>
      <x:c r="R149" s="101" t="str">
        <x:v>quest.observation.answered</x:v>
      </x:c>
      <x:c r="S149" s="101" t="str">
        <x:v>Evidence: Einzelne große Engelsfigur auf der linken Fassadenseite, wenn man vor der Kirche steht. | Ampel: GELB</x:v>
      </x:c>
    </x:row>
    <x:row r="150" ht="74" customHeight="1">
      <x:c r="A150" s="104" t="str">
        <x:v>D1-Q13</x:v>
      </x:c>
      <x:c r="B150" s="104" t="str">
        <x:v>D1-Q13-S05</x:v>
      </x:c>
      <x:c r="C150" s="110" t="n">
        <x:v>5</x:v>
      </x:c>
      <x:c r="D150" s="104" t="str">
        <x:v>OBJECTIVE</x:v>
      </x:c>
      <x:c r="E150" s="104" t="str">
        <x:v>REACH_LOCATION</x:v>
      </x:c>
      <x:c r="F150" s="104" t="str">
        <x:v>OBJECTIVE</x:v>
      </x:c>
      <x:c r="G150" s="104" t="str">
        <x:v>REACH_LOCATION</x:v>
      </x:c>
      <x:c r="H150" s="104" t="str">
        <x:v>TEAM</x:v>
      </x:c>
      <x:c r="I150" s="104" t="str">
        <x:v>place_day_1_fontana_delle_tartarughe</x:v>
      </x:c>
      <x:c r="J150" s="104" t="str">
        <x:v>place_day_1_fontana_delle_tartarughe</x:v>
      </x:c>
      <x:c r="K150" s="104" t="str">
        <x:v>Erreicht Fontana delle Tartarughe.</x:v>
      </x:c>
      <x:c r="L150" s="104" t="str">
        <x:v>teamMembersInRadius &gt;= 2 &amp;&amp; stableFixes &gt;= 2</x:v>
      </x:c>
      <x:c r="M150" s="104" t="str">
        <x:v>stationActive=true</x:v>
      </x:c>
      <x:c r="N150" s="104" t="str">
        <x:v>Hinweisleiter; Ziel bleibt offen.</x:v>
      </x:c>
      <x:c r="O150" s="104" t="str">
        <x:v>REQUIRED</x:v>
      </x:c>
      <x:c r="P150" s="104" t="str">
        <x:v>previousStepComplete</x:v>
      </x:c>
      <x:c r="Q150" s="104" t="str">
        <x:v>MAP_AND_QUEST</x:v>
      </x:c>
      <x:c r="R150" s="104" t="str">
        <x:v>quest.location.reached</x:v>
      </x:c>
      <x:c r="S150" s="104" t="str">
        <x:v>Standard 15-m-Zielradius; keine Innen-/Eintrittspflicht.</x:v>
      </x:c>
    </x:row>
    <x:row r="151" ht="74" customHeight="1">
      <x:c r="A151" s="101" t="str">
        <x:v>D1-Q13</x:v>
      </x:c>
      <x:c r="B151" s="101" t="str">
        <x:v>D1-Q13-S06</x:v>
      </x:c>
      <x:c r="C151" s="109" t="n">
        <x:v>6</x:v>
      </x:c>
      <x:c r="D151" s="101" t="str">
        <x:v>OBJECTIVE</x:v>
      </x:c>
      <x:c r="E151" s="101" t="str">
        <x:v>ANSWER_QUESTION</x:v>
      </x:c>
      <x:c r="F151" s="101" t="str">
        <x:v>OBJECTIVE</x:v>
      </x:c>
      <x:c r="G151" s="101" t="str">
        <x:v>SUBMIT_ANSWER</x:v>
      </x:c>
      <x:c r="H151" s="101" t="str">
        <x:v>TEAM</x:v>
      </x:c>
      <x:c r="I151" s="101" t="str">
        <x:v>place_day_1_fontana_delle_tartarughe</x:v>
      </x:c>
      <x:c r="J151" s="101" t="str">
        <x:v>OBS-D1-Q13-2</x:v>
      </x:c>
      <x:c r="K151" s="101" t="str">
        <x:v>Vier Schildkröten zählen und den optionalen Wächtertrigger markieren. Frage: Wie viele Schildkröten klettern zum oberen Becken?</x:v>
      </x:c>
      <x:c r="L151" s="101" t="str">
        <x:v>normalizedAnswer matches 'Vier'</x:v>
      </x:c>
      <x:c r="M151" s="101" t="str">
        <x:v>stationComplete=true</x:v>
      </x:c>
      <x:c r="N151" s="101" t="str">
        <x:v>Hint 1 → Hint 2 → Fallback; Grundabschluss bleibt möglich.</x:v>
      </x:c>
      <x:c r="O151" s="101" t="str">
        <x:v>REQUIRED</x:v>
      </x:c>
      <x:c r="P151" s="101" t="str">
        <x:v>stationActive</x:v>
      </x:c>
      <x:c r="Q151" s="101" t="str">
        <x:v>OBSERVATION_INPUT</x:v>
      </x:c>
      <x:c r="R151" s="101" t="str">
        <x:v>quest.observation.answered</x:v>
      </x:c>
      <x:c r="S151" s="101" t="str">
        <x:v>Evidence: Vier deutlich sichtbare Schildkröten am Rand des oberen Beckens. | Ampel: GRUEN</x:v>
      </x:c>
    </x:row>
    <x:row r="152" ht="74" customHeight="1">
      <x:c r="A152" s="104" t="str">
        <x:v>D1-Q13</x:v>
      </x:c>
      <x:c r="B152" s="104" t="str">
        <x:v>D1-Q13-S07</x:v>
      </x:c>
      <x:c r="C152" s="110" t="n">
        <x:v>7</x:v>
      </x:c>
      <x:c r="D152" s="104" t="str">
        <x:v>OBJECTIVE</x:v>
      </x:c>
      <x:c r="E152" s="104" t="str">
        <x:v>REACH_LOCATION</x:v>
      </x:c>
      <x:c r="F152" s="104" t="str">
        <x:v>OBJECTIVE</x:v>
      </x:c>
      <x:c r="G152" s="104" t="str">
        <x:v>REACH_LOCATION</x:v>
      </x:c>
      <x:c r="H152" s="104" t="str">
        <x:v>TEAM</x:v>
      </x:c>
      <x:c r="I152" s="104" t="str">
        <x:v>place_day_1_teatro_di_marcello</x:v>
      </x:c>
      <x:c r="J152" s="104" t="str">
        <x:v>place_day_1_teatro_di_marcello</x:v>
      </x:c>
      <x:c r="K152" s="104" t="str">
        <x:v>Erreicht Marcellustheater.</x:v>
      </x:c>
      <x:c r="L152" s="104" t="str">
        <x:v>teamMembersInRadius &gt;= 2 &amp;&amp; stableFixes &gt;= 2</x:v>
      </x:c>
      <x:c r="M152" s="104" t="str">
        <x:v>stationActive=true</x:v>
      </x:c>
      <x:c r="N152" s="104" t="str">
        <x:v>Hinweisleiter; Ziel bleibt offen.</x:v>
      </x:c>
      <x:c r="O152" s="104" t="str">
        <x:v>REQUIRED</x:v>
      </x:c>
      <x:c r="P152" s="104" t="str">
        <x:v>previousStepComplete</x:v>
      </x:c>
      <x:c r="Q152" s="104" t="str">
        <x:v>MAP_AND_QUEST</x:v>
      </x:c>
      <x:c r="R152" s="104" t="str">
        <x:v>quest.location.reached</x:v>
      </x:c>
      <x:c r="S152" s="104" t="str">
        <x:v>Standard 15-m-Zielradius; keine Innen-/Eintrittspflicht.</x:v>
      </x:c>
    </x:row>
    <x:row r="153" ht="74" customHeight="1">
      <x:c r="A153" s="101" t="str">
        <x:v>D1-Q13</x:v>
      </x:c>
      <x:c r="B153" s="101" t="str">
        <x:v>D1-Q13-S08</x:v>
      </x:c>
      <x:c r="C153" s="109" t="n">
        <x:v>8</x:v>
      </x:c>
      <x:c r="D153" s="101" t="str">
        <x:v>OBJECTIVE</x:v>
      </x:c>
      <x:c r="E153" s="101" t="str">
        <x:v>ANSWER_QUESTION</x:v>
      </x:c>
      <x:c r="F153" s="101" t="str">
        <x:v>OBJECTIVE</x:v>
      </x:c>
      <x:c r="G153" s="101" t="str">
        <x:v>SUBMIT_ANSWER</x:v>
      </x:c>
      <x:c r="H153" s="101" t="str">
        <x:v>TEAM</x:v>
      </x:c>
      <x:c r="I153" s="101" t="str">
        <x:v>place_day_1_teatro_di_marcello</x:v>
      </x:c>
      <x:c r="J153" s="101" t="str">
        <x:v>OBS-D1-Q13-3</x:v>
      </x:c>
      <x:c r="K153" s="101" t="str">
        <x:v>Zwei antike Arkadengeschosse am Marcellustheater erkennen und die drei Orte zeitlich ordnen. Frage: Wie viele übereinanderliegende antike Arkadengeschosse sind von außen klar sichtbar?</x:v>
      </x:c>
      <x:c r="L153" s="101" t="str">
        <x:v>normalizedAnswer matches 'Zwei'</x:v>
      </x:c>
      <x:c r="M153" s="101" t="str">
        <x:v>stationComplete=true</x:v>
      </x:c>
      <x:c r="N153" s="101" t="str">
        <x:v>Hint 1 → Hint 2 → Fallback; Grundabschluss bleibt möglich.</x:v>
      </x:c>
      <x:c r="O153" s="101" t="str">
        <x:v>REQUIRED</x:v>
      </x:c>
      <x:c r="P153" s="101" t="str">
        <x:v>stationActive</x:v>
      </x:c>
      <x:c r="Q153" s="101" t="str">
        <x:v>OBSERVATION_INPUT</x:v>
      </x:c>
      <x:c r="R153" s="101" t="str">
        <x:v>quest.observation.answered</x:v>
      </x:c>
      <x:c r="S153" s="101" t="str">
        <x:v>Evidence: Zwei übereinanderliegende antike Arkadenebenen unter einem späteren Wohnpalast. | Ampel: GRUEN</x:v>
      </x:c>
    </x:row>
    <x:row r="154" ht="74" customHeight="1">
      <x:c r="A154" s="104" t="str">
        <x:v>D1-Q13</x:v>
      </x:c>
      <x:c r="B154" s="104" t="str">
        <x:v>D1-Q13-S09</x:v>
      </x:c>
      <x:c r="C154" s="110" t="n">
        <x:v>9</x:v>
      </x:c>
      <x:c r="D154" s="104" t="str">
        <x:v>OBJECTIVE</x:v>
      </x:c>
      <x:c r="E154" s="104" t="str">
        <x:v>SOLVE_PUZZLE</x:v>
      </x:c>
      <x:c r="F154" s="104" t="str">
        <x:v>OBJECTIVE</x:v>
      </x:c>
      <x:c r="G154" s="104" t="str">
        <x:v>SUBMIT_ANSWER</x:v>
      </x:c>
      <x:c r="H154" s="104" t="str">
        <x:v>TEAM</x:v>
      </x:c>
      <x:c r="I154" s="104" t="str">
        <x:v>place_day_1_teatro_di_marcello</x:v>
      </x:c>
      <x:c r="J154" s="104" t="str">
        <x:v>PZ-D1-Q13</x:v>
      </x:c>
      <x:c r="K154" s="104" t="str">
        <x:v>Ordnet die drei städtischen Bühnen von der ältesten zur jüngsten Schicht.</x:v>
      </x:c>
      <x:c r="L154" s="104" t="str">
        <x:v>puzzleResult == CORRECT</x:v>
      </x:c>
      <x:c r="M154" s="104" t="str">
        <x:v>synthesisComplete=true</x:v>
      </x:c>
      <x:c r="N154" s="104" t="str">
        <x:v>Nur Marcellustheater als älteste Schicht bestätigen.</x:v>
      </x:c>
      <x:c r="O154" s="104" t="str">
        <x:v>REQUIRED</x:v>
      </x:c>
      <x:c r="P154" s="104" t="str">
        <x:v>allRequiredStationsComplete</x:v>
      </x:c>
      <x:c r="Q154" s="104" t="str">
        <x:v>PUZZLE</x:v>
      </x:c>
      <x:c r="R154" s="104" t="str">
        <x:v>quest.puzzle.solved</x:v>
      </x:c>
      <x:c r="S154" s="104" t="str">
        <x:v>Penalty: Chronik-Dramaturgiebonus entfällt</x:v>
      </x:c>
    </x:row>
    <x:row r="155" ht="74" customHeight="1">
      <x:c r="A155" s="101" t="str">
        <x:v>D1-Q13</x:v>
      </x:c>
      <x:c r="B155" s="101" t="str">
        <x:v>D1-Q13-S10</x:v>
      </x:c>
      <x:c r="C155" s="109" t="n">
        <x:v>10</x:v>
      </x:c>
      <x:c r="D155" s="101" t="str">
        <x:v>BONUS_OBJECTIVE</x:v>
      </x:c>
      <x:c r="E155" s="101" t="str">
        <x:v>DEFEAT_ENEMY</x:v>
      </x:c>
      <x:c r="F155" s="101" t="str">
        <x:v>OBJECTIVE</x:v>
      </x:c>
      <x:c r="G155" s="101" t="str">
        <x:v>COMPLETE_ENCOUNTER</x:v>
      </x:c>
      <x:c r="H155" s="101" t="str">
        <x:v>TEAM</x:v>
      </x:c>
      <x:c r="I155" s="101" t="str">
        <x:v>place_day_1_teatro_di_marcello</x:v>
      </x:c>
      <x:c r="J155" s="101" t="str">
        <x:v>CP-QE-TARTARUGHE</x:v>
      </x:c>
      <x:c r="K155" s="101" t="str">
        <x:v>Custode delle Tartarughe bekämpfen.</x:v>
      </x:c>
      <x:c r="L155" s="101" t="str">
        <x:v>combatState == WON</x:v>
      </x:c>
      <x:c r="M155" s="101" t="str">
        <x:v>encounterComplete=true</x:v>
      </x:c>
      <x:c r="N155" s="101" t="str">
        <x:v>Optionaler Zweig endet ohne Grundbelohnungsverlust.</x:v>
      </x:c>
      <x:c r="O155" s="101" t="str">
        <x:v>OPTIONAL</x:v>
      </x:c>
      <x:c r="P155" s="101" t="str">
        <x:v>branchSelected</x:v>
      </x:c>
      <x:c r="Q155" s="101" t="str">
        <x:v>COMBAT</x:v>
      </x:c>
      <x:c r="R155" s="101" t="str">
        <x:v>quest.combat.completed</x:v>
      </x:c>
      <x:c r="S155" s="101" t="str">
        <x:v>QUEST_ENEMY ist teambezogen; kein normaler Respawn.</x:v>
      </x:c>
    </x:row>
    <x:row r="156" ht="74" customHeight="1">
      <x:c r="A156" s="104" t="str">
        <x:v>D1-Q13</x:v>
      </x:c>
      <x:c r="B156" s="104" t="str">
        <x:v>D1-Q13-S11</x:v>
      </x:c>
      <x:c r="C156" s="110" t="n">
        <x:v>11</x:v>
      </x:c>
      <x:c r="D156" s="104" t="str">
        <x:v>COMPLETE</x:v>
      </x:c>
      <x:c r="E156" s="104" t="str">
        <x:v>TALK_TO_NPC</x:v>
      </x:c>
      <x:c r="F156" s="104" t="str">
        <x:v>OBJECTIVE</x:v>
      </x:c>
      <x:c r="G156" s="104" t="str">
        <x:v>COMPLETE_DIALOGUE</x:v>
      </x:c>
      <x:c r="H156" s="104" t="str">
        <x:v>TEAM</x:v>
      </x:c>
      <x:c r="I156" s="104" t="str">
        <x:v>place_day_1_teatro_di_marcello</x:v>
      </x:c>
      <x:c r="J156" s="104" t="str">
        <x:v>D1-Q13-COMPLETE</x:v>
      </x:c>
      <x:c r="K156" s="104" t="str">
        <x:v>Abschlussdialog und Konsequenz anzeigen.</x:v>
      </x:c>
      <x:c r="L156" s="104" t="str">
        <x:v>dialogSequenceComplete('D1-Q13-COMPLETE')</x:v>
      </x:c>
      <x:c r="M156" s="104" t="str">
        <x:v>state=REWARD</x:v>
      </x:c>
      <x:c r="N156" s="104" t="str">
        <x:v>Dialog erneut öffnen.</x:v>
      </x:c>
      <x:c r="O156" s="104" t="str">
        <x:v>REQUIRED</x:v>
      </x:c>
      <x:c r="P156" s="104" t="str">
        <x:v>allRequiredObjectivesComplete</x:v>
      </x:c>
      <x:c r="Q156" s="104" t="str">
        <x:v>DIALOGUE</x:v>
      </x:c>
      <x:c r="R156" s="104" t="str">
        <x:v>quest.completed</x:v>
      </x:c>
      <x:c r="S156" s="104" t="str">
        <x:v>Abschluss erst serverseitig nach allen Pflichtschritten.</x:v>
      </x:c>
    </x:row>
    <x:row r="157" ht="74" customHeight="1">
      <x:c r="A157" s="101" t="str">
        <x:v>D1-Q13</x:v>
      </x:c>
      <x:c r="B157" s="101" t="str">
        <x:v>D1-Q13-S12</x:v>
      </x:c>
      <x:c r="C157" s="109" t="n">
        <x:v>12</x:v>
      </x:c>
      <x:c r="D157" s="101" t="str">
        <x:v>REWARD</x:v>
      </x:c>
      <x:c r="E157" s="101" t="str">
        <x:v>GRANT_REWARD</x:v>
      </x:c>
      <x:c r="F157" s="101" t="str">
        <x:v>SYSTEM_ACTION</x:v>
      </x:c>
      <x:c r="G157" s="101" t="str"/>
      <x:c r="H157" s="101" t="str">
        <x:v>TEAM</x:v>
      </x:c>
      <x:c r="I157" s="101" t="str"/>
      <x:c r="J157" s="101" t="str">
        <x:v>D1-Q13</x:v>
      </x:c>
      <x:c r="K157" s="101" t="str">
        <x:v>Atomare Vergabe von Ruhm, Denaren, Loot und Variantenbonus.</x:v>
      </x:c>
      <x:c r="L157" s="101" t="str">
        <x:v>rewardTransactionCommitted</x:v>
      </x:c>
      <x:c r="M157" s="101" t="str">
        <x:v>state=COMPLETED</x:v>
      </x:c>
      <x:c r="N157" s="101" t="str">
        <x:v>Idempotenter Retry mit gleicher rewardTransactionId.</x:v>
      </x:c>
      <x:c r="O157" s="101" t="str">
        <x:v>REQUIRED</x:v>
      </x:c>
      <x:c r="P157" s="101" t="str">
        <x:v>questComplete</x:v>
      </x:c>
      <x:c r="Q157" s="101" t="str">
        <x:v>REWARD</x:v>
      </x:c>
      <x:c r="R157" s="101" t="str">
        <x:v>quest.reward.granted</x:v>
      </x:c>
      <x:c r="S157" s="101" t="str">
        <x:v>Arbeitswerte aus Quest Master; finales Balancing separat.</x:v>
      </x:c>
    </x:row>
    <x:row r="158" ht="74" customHeight="1">
      <x:c r="A158" s="104" t="str">
        <x:v>D1-Q14</x:v>
      </x:c>
      <x:c r="B158" s="104" t="str">
        <x:v>D1-Q14-S01</x:v>
      </x:c>
      <x:c r="C158" s="110" t="n">
        <x:v>1</x:v>
      </x:c>
      <x:c r="D158" s="104" t="str">
        <x:v>DISCOVER</x:v>
      </x:c>
      <x:c r="E158" s="104" t="str">
        <x:v>DISCOVER_NPC</x:v>
      </x:c>
      <x:c r="F158" s="104" t="str">
        <x:v>FLOW_ACTION</x:v>
      </x:c>
      <x:c r="G158" s="104" t="str"/>
      <x:c r="H158" s="104" t="str">
        <x:v>TEAM</x:v>
      </x:c>
      <x:c r="I158" s="104" t="str">
        <x:v>place_day_1_isola_tiberina</x:v>
      </x:c>
      <x:c r="J158" s="104" t="str">
        <x:v>npc_tiberinus_medicus</x:v>
      </x:c>
      <x:c r="K158" s="104" t="str">
        <x:v>Entdeckt Tiberinus Medicus ab 55 m; Interaktion wird bei stabilem 15-m-Fix verfügbar.</x:v>
      </x:c>
      <x:c r="L158" s="104" t="str">
        <x:v>npcDiscovered &amp;&amp; interactionGateOpen</x:v>
      </x:c>
      <x:c r="M158" s="104" t="str">
        <x:v>state=DIALOGUE</x:v>
      </x:c>
      <x:c r="N158" s="104" t="str">
        <x:v>UI bleibt auf Karte; GPS-Hinweis anzeigen.</x:v>
      </x:c>
      <x:c r="O158" s="104" t="str">
        <x:v>REQUIRED</x:v>
      </x:c>
      <x:c r="P158" s="104" t="str"/>
      <x:c r="Q158" s="104" t="str">
        <x:v>MAP_OBJECT_SHEET</x:v>
      </x:c>
      <x:c r="R158" s="104" t="str">
        <x:v>quest.discovered</x:v>
      </x:c>
      <x:c r="S158" s="104" t="str">
        <x:v>15-m-Enter/25-m-Exit-Hysterese; serverautoritativ.</x:v>
      </x:c>
    </x:row>
    <x:row r="159" ht="74" customHeight="1">
      <x:c r="A159" s="101" t="str">
        <x:v>D1-Q14</x:v>
      </x:c>
      <x:c r="B159" s="101" t="str">
        <x:v>D1-Q14-S02</x:v>
      </x:c>
      <x:c r="C159" s="109" t="n">
        <x:v>2</x:v>
      </x:c>
      <x:c r="D159" s="101" t="str">
        <x:v>DIALOGUE</x:v>
      </x:c>
      <x:c r="E159" s="101" t="str">
        <x:v>TALK_TO_NPC</x:v>
      </x:c>
      <x:c r="F159" s="101" t="str">
        <x:v>OBJECTIVE</x:v>
      </x:c>
      <x:c r="G159" s="101" t="str">
        <x:v>COMPLETE_DIALOGUE</x:v>
      </x:c>
      <x:c r="H159" s="101" t="str">
        <x:v>TEAM</x:v>
      </x:c>
      <x:c r="I159" s="101" t="str">
        <x:v>place_day_1_isola_tiberina</x:v>
      </x:c>
      <x:c r="J159" s="101" t="str">
        <x:v>D1-Q14-OFFER</x:v>
      </x:c>
      <x:c r="K159" s="101" t="str">
        <x:v>Questangebot und erste Dialogoption anzeigen.</x:v>
      </x:c>
      <x:c r="L159" s="101" t="str">
        <x:v>dialogSequenceComplete('D1-Q14-OFFER')</x:v>
      </x:c>
      <x:c r="M159" s="101" t="str">
        <x:v>state=ACCEPT</x:v>
      </x:c>
      <x:c r="N159" s="101" t="str">
        <x:v>Dialog kann erneut geöffnet werden.</x:v>
      </x:c>
      <x:c r="O159" s="101" t="str">
        <x:v>REQUIRED</x:v>
      </x:c>
      <x:c r="P159" s="101" t="str"/>
      <x:c r="Q159" s="101" t="str">
        <x:v>DIALOGUE</x:v>
      </x:c>
      <x:c r="R159" s="101" t="str">
        <x:v>quest.dialogue.offer</x:v>
      </x:c>
      <x:c r="S159" s="101" t="str">
        <x:v>Teamentscheidung wird einmal serverseitig gespeichert.</x:v>
      </x:c>
    </x:row>
    <x:row r="160" ht="74" customHeight="1">
      <x:c r="A160" s="104" t="str">
        <x:v>D1-Q14</x:v>
      </x:c>
      <x:c r="B160" s="104" t="str">
        <x:v>D1-Q14-S03</x:v>
      </x:c>
      <x:c r="C160" s="110" t="n">
        <x:v>3</x:v>
      </x:c>
      <x:c r="D160" s="104" t="str">
        <x:v>ACCEPT</x:v>
      </x:c>
      <x:c r="E160" s="104" t="str">
        <x:v>ACCEPT_QUEST</x:v>
      </x:c>
      <x:c r="F160" s="104" t="str">
        <x:v>FLOW_ACTION</x:v>
      </x:c>
      <x:c r="G160" s="104" t="str"/>
      <x:c r="H160" s="104" t="str">
        <x:v>TEAM</x:v>
      </x:c>
      <x:c r="I160" s="104" t="str">
        <x:v>place_day_1_isola_tiberina</x:v>
      </x:c>
      <x:c r="J160" s="104" t="str">
        <x:v>D1-Q14</x:v>
      </x:c>
      <x:c r="K160" s="104" t="str">
        <x:v>Quest annehmen; Voraussetzungen, Slotwirkung und Fallback vor Bestätigung anzeigen.</x:v>
      </x:c>
      <x:c r="L160" s="104" t="str">
        <x:v>teamVoteResolved &amp;&amp; questSlotReserved</x:v>
      </x:c>
      <x:c r="M160" s="104" t="str">
        <x:v>state=OBJECTIVE</x:v>
      </x:c>
      <x:c r="N160" s="104" t="str">
        <x:v>Annahme abbrechbar; kein Slotverbrauch.</x:v>
      </x:c>
      <x:c r="O160" s="104" t="str">
        <x:v>REQUIRED</x:v>
      </x:c>
      <x:c r="P160" s="104" t="str"/>
      <x:c r="Q160" s="104" t="str">
        <x:v>QUEST_ACCEPT</x:v>
      </x:c>
      <x:c r="R160" s="104" t="str">
        <x:v>quest.accepted</x:v>
      </x:c>
      <x:c r="S160" s="104" t="str">
        <x:v>Maximal drei reguläre aktive Quests pro Team.</x:v>
      </x:c>
    </x:row>
    <x:row r="161" ht="74" customHeight="1">
      <x:c r="A161" s="101" t="str">
        <x:v>D1-Q14</x:v>
      </x:c>
      <x:c r="B161" s="101" t="str">
        <x:v>D1-Q14-S04</x:v>
      </x:c>
      <x:c r="C161" s="109" t="n">
        <x:v>4</x:v>
      </x:c>
      <x:c r="D161" s="101" t="str">
        <x:v>OBJECTIVE</x:v>
      </x:c>
      <x:c r="E161" s="101" t="str">
        <x:v>ANSWER_QUESTION</x:v>
      </x:c>
      <x:c r="F161" s="101" t="str">
        <x:v>OBJECTIVE</x:v>
      </x:c>
      <x:c r="G161" s="101" t="str">
        <x:v>SUBMIT_ANSWER</x:v>
      </x:c>
      <x:c r="H161" s="101" t="str">
        <x:v>TEAM</x:v>
      </x:c>
      <x:c r="I161" s="101" t="str">
        <x:v>place_day_1_isola_tiberina</x:v>
      </x:c>
      <x:c r="J161" s="101" t="str">
        <x:v>OBS-D1-Q14-1</x:v>
      </x:c>
      <x:c r="K161" s="101" t="str">
        <x:v>Vom bestätigten öffentlichen Blickpunkt die Schiffsbugform erkennen; den Code NAVIS eingeben und das Heilzeichen einsetzen. Frage: Welche Form ahmt die antike Travertinverkleidung an der Inselspitze nach?</x:v>
      </x:c>
      <x:c r="L161" s="101" t="str">
        <x:v>normalizedAnswer matches 'Den Bug eines Schiffes'</x:v>
      </x:c>
      <x:c r="M161" s="101" t="str">
        <x:v>stationComplete=true</x:v>
      </x:c>
      <x:c r="N161" s="101" t="str">
        <x:v>Hint 1 → Hint 2 → Fallback; Grundabschluss bleibt möglich.</x:v>
      </x:c>
      <x:c r="O161" s="101" t="str">
        <x:v>REQUIRED</x:v>
      </x:c>
      <x:c r="P161" s="101" t="str">
        <x:v>stationActive</x:v>
      </x:c>
      <x:c r="Q161" s="101" t="str">
        <x:v>OBSERVATION_INPUT</x:v>
      </x:c>
      <x:c r="R161" s="101" t="str">
        <x:v>quest.observation.answered</x:v>
      </x:c>
      <x:c r="S161" s="101" t="str">
        <x:v>Evidence: Travertinreste einer Schiffsspitze und Asklepios-Relief am östlichen Inselende. | Ampel: GELB</x:v>
      </x:c>
    </x:row>
    <x:row r="162" ht="74" customHeight="1">
      <x:c r="A162" s="104" t="str">
        <x:v>D1-Q14</x:v>
      </x:c>
      <x:c r="B162" s="104" t="str">
        <x:v>D1-Q14-S05</x:v>
      </x:c>
      <x:c r="C162" s="110" t="n">
        <x:v>5</x:v>
      </x:c>
      <x:c r="D162" s="104" t="str">
        <x:v>OBJECTIVE</x:v>
      </x:c>
      <x:c r="E162" s="104" t="str">
        <x:v>SOLVE_PUZZLE</x:v>
      </x:c>
      <x:c r="F162" s="104" t="str">
        <x:v>OBJECTIVE</x:v>
      </x:c>
      <x:c r="G162" s="104" t="str">
        <x:v>SUBMIT_ANSWER</x:v>
      </x:c>
      <x:c r="H162" s="104" t="str">
        <x:v>TEAM</x:v>
      </x:c>
      <x:c r="I162" s="104" t="str">
        <x:v>place_day_1_isola_tiberina</x:v>
      </x:c>
      <x:c r="J162" s="104" t="str">
        <x:v>PZ-D1-Q14</x:v>
      </x:c>
      <x:c r="K162" s="104" t="str">
        <x:v>Welches lateinische Wort für Schiff öffnet die Heilkammer?</x:v>
      </x:c>
      <x:c r="L162" s="104" t="str">
        <x:v>puzzleResult == CORRECT</x:v>
      </x:c>
      <x:c r="M162" s="104" t="str">
        <x:v>synthesisComplete=true</x:v>
      </x:c>
      <x:c r="N162" s="104" t="str">
        <x:v>Auswahl NAVIS | TERRA | PORTA</x:v>
      </x:c>
      <x:c r="O162" s="104" t="str">
        <x:v>REQUIRED</x:v>
      </x:c>
      <x:c r="P162" s="104" t="str">
        <x:v>allRequiredStationsComplete</x:v>
      </x:c>
      <x:c r="Q162" s="104" t="str">
        <x:v>PUZZLE</x:v>
      </x:c>
      <x:c r="R162" s="104" t="str">
        <x:v>quest.puzzle.solved</x:v>
      </x:c>
      <x:c r="S162" s="104" t="str">
        <x:v>Penalty: Heilbonus halbiert</x:v>
      </x:c>
    </x:row>
    <x:row r="163" ht="74" customHeight="1">
      <x:c r="A163" s="101" t="str">
        <x:v>D1-Q14</x:v>
      </x:c>
      <x:c r="B163" s="101" t="str">
        <x:v>D1-Q14-S06</x:v>
      </x:c>
      <x:c r="C163" s="109" t="n">
        <x:v>6</x:v>
      </x:c>
      <x:c r="D163" s="101" t="str">
        <x:v>OBJECTIVE</x:v>
      </x:c>
      <x:c r="E163" s="101" t="str">
        <x:v>USE_ITEM</x:v>
      </x:c>
      <x:c r="F163" s="101" t="str">
        <x:v>OBJECTIVE</x:v>
      </x:c>
      <x:c r="G163" s="101" t="str">
        <x:v>DELIVER_ITEM</x:v>
      </x:c>
      <x:c r="H163" s="101" t="str">
        <x:v>TEAM</x:v>
      </x:c>
      <x:c r="I163" s="101" t="str">
        <x:v>place_day_1_isola_tiberina</x:v>
      </x:c>
      <x:c r="J163" s="101" t="str">
        <x:v>qi_virga_aesculapii</x:v>
      </x:c>
      <x:c r="K163" s="101" t="str">
        <x:v>Stab des Heilwegs einsetzen: Nach richtiger Lösung einsetzen; heilt das Team außerhalb des Kampfes und gewährt einen kurzen Resistenzbonus.</x:v>
      </x:c>
      <x:c r="L163" s="101" t="str">
        <x:v>teamInventory consumed('qi_virga_aesculapii')</x:v>
      </x:c>
      <x:c r="M163" s="101" t="str">
        <x:v>itemEffectApplied=true</x:v>
      </x:c>
      <x:c r="N163" s="101" t="str">
        <x:v>Item wird bei technischem Fehler atomar zurückgebucht.</x:v>
      </x:c>
      <x:c r="O163" s="101" t="str">
        <x:v>REQUIRED</x:v>
      </x:c>
      <x:c r="P163" s="101" t="str">
        <x:v>synthesisComplete</x:v>
      </x:c>
      <x:c r="Q163" s="101" t="str">
        <x:v>INVENTORY_ACTION</x:v>
      </x:c>
      <x:c r="R163" s="101" t="str">
        <x:v>quest.item.used</x:v>
      </x:c>
      <x:c r="S163" s="101" t="str">
        <x:v>Questitem nicht handelbar und nicht verlierbar.</x:v>
      </x:c>
    </x:row>
    <x:row r="164" ht="74" customHeight="1">
      <x:c r="A164" s="104" t="str">
        <x:v>D1-Q14</x:v>
      </x:c>
      <x:c r="B164" s="104" t="str">
        <x:v>D1-Q14-S07</x:v>
      </x:c>
      <x:c r="C164" s="110" t="n">
        <x:v>7</x:v>
      </x:c>
      <x:c r="D164" s="104" t="str">
        <x:v>COMPLETE</x:v>
      </x:c>
      <x:c r="E164" s="104" t="str">
        <x:v>TALK_TO_NPC</x:v>
      </x:c>
      <x:c r="F164" s="104" t="str">
        <x:v>OBJECTIVE</x:v>
      </x:c>
      <x:c r="G164" s="104" t="str">
        <x:v>COMPLETE_DIALOGUE</x:v>
      </x:c>
      <x:c r="H164" s="104" t="str">
        <x:v>TEAM</x:v>
      </x:c>
      <x:c r="I164" s="104" t="str">
        <x:v>place_day_1_isola_tiberina</x:v>
      </x:c>
      <x:c r="J164" s="104" t="str">
        <x:v>D1-Q14-COMPLETE</x:v>
      </x:c>
      <x:c r="K164" s="104" t="str">
        <x:v>Abschlussdialog und Konsequenz anzeigen.</x:v>
      </x:c>
      <x:c r="L164" s="104" t="str">
        <x:v>dialogSequenceComplete('D1-Q14-COMPLETE')</x:v>
      </x:c>
      <x:c r="M164" s="104" t="str">
        <x:v>state=REWARD</x:v>
      </x:c>
      <x:c r="N164" s="104" t="str">
        <x:v>Dialog erneut öffnen.</x:v>
      </x:c>
      <x:c r="O164" s="104" t="str">
        <x:v>REQUIRED</x:v>
      </x:c>
      <x:c r="P164" s="104" t="str">
        <x:v>allRequiredObjectivesComplete</x:v>
      </x:c>
      <x:c r="Q164" s="104" t="str">
        <x:v>DIALOGUE</x:v>
      </x:c>
      <x:c r="R164" s="104" t="str">
        <x:v>quest.completed</x:v>
      </x:c>
      <x:c r="S164" s="104" t="str">
        <x:v>Abschluss erst serverseitig nach allen Pflichtschritten.</x:v>
      </x:c>
    </x:row>
    <x:row r="165" ht="74" customHeight="1">
      <x:c r="A165" s="101" t="str">
        <x:v>D1-Q14</x:v>
      </x:c>
      <x:c r="B165" s="101" t="str">
        <x:v>D1-Q14-S08</x:v>
      </x:c>
      <x:c r="C165" s="109" t="n">
        <x:v>8</x:v>
      </x:c>
      <x:c r="D165" s="101" t="str">
        <x:v>REWARD</x:v>
      </x:c>
      <x:c r="E165" s="101" t="str">
        <x:v>GRANT_REWARD</x:v>
      </x:c>
      <x:c r="F165" s="101" t="str">
        <x:v>SYSTEM_ACTION</x:v>
      </x:c>
      <x:c r="G165" s="101" t="str"/>
      <x:c r="H165" s="101" t="str">
        <x:v>TEAM</x:v>
      </x:c>
      <x:c r="I165" s="101" t="str"/>
      <x:c r="J165" s="101" t="str">
        <x:v>D1-Q14</x:v>
      </x:c>
      <x:c r="K165" s="101" t="str">
        <x:v>Atomare Vergabe von Ruhm, Denaren, Loot und Variantenbonus.</x:v>
      </x:c>
      <x:c r="L165" s="101" t="str">
        <x:v>rewardTransactionCommitted</x:v>
      </x:c>
      <x:c r="M165" s="101" t="str">
        <x:v>state=COMPLETED</x:v>
      </x:c>
      <x:c r="N165" s="101" t="str">
        <x:v>Idempotenter Retry mit gleicher rewardTransactionId.</x:v>
      </x:c>
      <x:c r="O165" s="101" t="str">
        <x:v>REQUIRED</x:v>
      </x:c>
      <x:c r="P165" s="101" t="str">
        <x:v>questComplete</x:v>
      </x:c>
      <x:c r="Q165" s="101" t="str">
        <x:v>REWARD</x:v>
      </x:c>
      <x:c r="R165" s="101" t="str">
        <x:v>quest.reward.granted</x:v>
      </x:c>
      <x:c r="S165" s="101" t="str">
        <x:v>Arbeitswerte aus Quest Master; finales Balancing separat.</x:v>
      </x:c>
    </x:row>
    <x:row r="166" ht="74" customHeight="1">
      <x:c r="A166" s="104" t="str">
        <x:v>D1-Q15</x:v>
      </x:c>
      <x:c r="B166" s="104" t="str">
        <x:v>D1-Q15-S01</x:v>
      </x:c>
      <x:c r="C166" s="110" t="n">
        <x:v>1</x:v>
      </x:c>
      <x:c r="D166" s="104" t="str">
        <x:v>DISCOVER</x:v>
      </x:c>
      <x:c r="E166" s="104" t="str">
        <x:v>DISCOVER_NPC</x:v>
      </x:c>
      <x:c r="F166" s="104" t="str">
        <x:v>FLOW_ACTION</x:v>
      </x:c>
      <x:c r="G166" s="104" t="str"/>
      <x:c r="H166" s="104" t="str">
        <x:v>TEAM</x:v>
      </x:c>
      <x:c r="I166" s="104" t="str">
        <x:v>place_day_1_basilica_di_santa_cecilia_in_trastevere</x:v>
      </x:c>
      <x:c r="J166" s="104" t="str">
        <x:v>npc_cecilia_vox</x:v>
      </x:c>
      <x:c r="K166" s="104" t="str">
        <x:v>Entdeckt Cecilia – Stimme im Mosaik ab 55 m; Interaktion wird bei stabilem 15-m-Fix verfügbar.</x:v>
      </x:c>
      <x:c r="L166" s="104" t="str">
        <x:v>npcDiscovered &amp;&amp; interactionGateOpen</x:v>
      </x:c>
      <x:c r="M166" s="104" t="str">
        <x:v>state=DIALOGUE</x:v>
      </x:c>
      <x:c r="N166" s="104" t="str">
        <x:v>UI bleibt auf Karte; GPS-Hinweis anzeigen.</x:v>
      </x:c>
      <x:c r="O166" s="104" t="str">
        <x:v>REQUIRED</x:v>
      </x:c>
      <x:c r="P166" s="104" t="str"/>
      <x:c r="Q166" s="104" t="str">
        <x:v>MAP_OBJECT_SHEET</x:v>
      </x:c>
      <x:c r="R166" s="104" t="str">
        <x:v>quest.discovered</x:v>
      </x:c>
      <x:c r="S166" s="104" t="str">
        <x:v>15-m-Enter/25-m-Exit-Hysterese; serverautoritativ.</x:v>
      </x:c>
    </x:row>
    <x:row r="167" ht="74" customHeight="1">
      <x:c r="A167" s="101" t="str">
        <x:v>D1-Q15</x:v>
      </x:c>
      <x:c r="B167" s="101" t="str">
        <x:v>D1-Q15-S02</x:v>
      </x:c>
      <x:c r="C167" s="109" t="n">
        <x:v>2</x:v>
      </x:c>
      <x:c r="D167" s="101" t="str">
        <x:v>DIALOGUE</x:v>
      </x:c>
      <x:c r="E167" s="101" t="str">
        <x:v>TALK_TO_NPC</x:v>
      </x:c>
      <x:c r="F167" s="101" t="str">
        <x:v>OBJECTIVE</x:v>
      </x:c>
      <x:c r="G167" s="101" t="str">
        <x:v>COMPLETE_DIALOGUE</x:v>
      </x:c>
      <x:c r="H167" s="101" t="str">
        <x:v>TEAM</x:v>
      </x:c>
      <x:c r="I167" s="101" t="str">
        <x:v>place_day_1_basilica_di_santa_cecilia_in_trastevere</x:v>
      </x:c>
      <x:c r="J167" s="101" t="str">
        <x:v>D1-Q15-OFFER</x:v>
      </x:c>
      <x:c r="K167" s="101" t="str">
        <x:v>Questangebot und erste Dialogoption anzeigen.</x:v>
      </x:c>
      <x:c r="L167" s="101" t="str">
        <x:v>dialogSequenceComplete('D1-Q15-OFFER')</x:v>
      </x:c>
      <x:c r="M167" s="101" t="str">
        <x:v>state=ACCEPT</x:v>
      </x:c>
      <x:c r="N167" s="101" t="str">
        <x:v>Dialog kann erneut geöffnet werden.</x:v>
      </x:c>
      <x:c r="O167" s="101" t="str">
        <x:v>REQUIRED</x:v>
      </x:c>
      <x:c r="P167" s="101" t="str"/>
      <x:c r="Q167" s="101" t="str">
        <x:v>DIALOGUE</x:v>
      </x:c>
      <x:c r="R167" s="101" t="str">
        <x:v>quest.dialogue.offer</x:v>
      </x:c>
      <x:c r="S167" s="101" t="str">
        <x:v>Teamentscheidung wird einmal serverseitig gespeichert.</x:v>
      </x:c>
    </x:row>
    <x:row r="168" ht="74" customHeight="1">
      <x:c r="A168" s="104" t="str">
        <x:v>D1-Q15</x:v>
      </x:c>
      <x:c r="B168" s="104" t="str">
        <x:v>D1-Q15-S03</x:v>
      </x:c>
      <x:c r="C168" s="110" t="n">
        <x:v>3</x:v>
      </x:c>
      <x:c r="D168" s="104" t="str">
        <x:v>ACCEPT</x:v>
      </x:c>
      <x:c r="E168" s="104" t="str">
        <x:v>ACCEPT_QUEST</x:v>
      </x:c>
      <x:c r="F168" s="104" t="str">
        <x:v>FLOW_ACTION</x:v>
      </x:c>
      <x:c r="G168" s="104" t="str"/>
      <x:c r="H168" s="104" t="str">
        <x:v>TEAM</x:v>
      </x:c>
      <x:c r="I168" s="104" t="str">
        <x:v>place_day_1_basilica_di_santa_cecilia_in_trastevere</x:v>
      </x:c>
      <x:c r="J168" s="104" t="str">
        <x:v>D1-Q15</x:v>
      </x:c>
      <x:c r="K168" s="104" t="str">
        <x:v>Quest annehmen; Voraussetzungen, Slotwirkung und Fallback vor Bestätigung anzeigen.</x:v>
      </x:c>
      <x:c r="L168" s="104" t="str">
        <x:v>teamVoteResolved &amp;&amp; questSlotReserved</x:v>
      </x:c>
      <x:c r="M168" s="104" t="str">
        <x:v>state=OBJECTIVE</x:v>
      </x:c>
      <x:c r="N168" s="104" t="str">
        <x:v>Annahme abbrechbar; kein Slotverbrauch.</x:v>
      </x:c>
      <x:c r="O168" s="104" t="str">
        <x:v>REQUIRED</x:v>
      </x:c>
      <x:c r="P168" s="104" t="str"/>
      <x:c r="Q168" s="104" t="str">
        <x:v>QUEST_ACCEPT</x:v>
      </x:c>
      <x:c r="R168" s="104" t="str">
        <x:v>quest.accepted</x:v>
      </x:c>
      <x:c r="S168" s="104" t="str">
        <x:v>Maximal drei reguläre aktive Quests pro Team.</x:v>
      </x:c>
    </x:row>
    <x:row r="169" ht="74" customHeight="1">
      <x:c r="A169" s="101" t="str">
        <x:v>D1-Q15</x:v>
      </x:c>
      <x:c r="B169" s="101" t="str">
        <x:v>D1-Q15-S04</x:v>
      </x:c>
      <x:c r="C169" s="109" t="n">
        <x:v>4</x:v>
      </x:c>
      <x:c r="D169" s="101" t="str">
        <x:v>OBJECTIVE</x:v>
      </x:c>
      <x:c r="E169" s="101" t="str">
        <x:v>ANSWER_QUESTION</x:v>
      </x:c>
      <x:c r="F169" s="101" t="str">
        <x:v>OBJECTIVE</x:v>
      </x:c>
      <x:c r="G169" s="101" t="str">
        <x:v>SUBMIT_ANSWER</x:v>
      </x:c>
      <x:c r="H169" s="101" t="str">
        <x:v>TEAM</x:v>
      </x:c>
      <x:c r="I169" s="101" t="str">
        <x:v>place_day_1_basilica_di_santa_cecilia_in_trastevere</x:v>
      </x:c>
      <x:c r="J169" s="101" t="str">
        <x:v>OBS-D1-Q15-1</x:v>
      </x:c>
      <x:c r="K169" s="101" t="str">
        <x:v>Am öffentlichen Außenpunkt die Widmung an Cecilia und ihren Musikbezug erfassen. Frage: Welche Kunst wird traditionell von der hier verehrten heiligen Cecilia beschützt?</x:v>
      </x:c>
      <x:c r="L169" s="101" t="str">
        <x:v>normalizedAnswer matches 'Die Musik'</x:v>
      </x:c>
      <x:c r="M169" s="101" t="str">
        <x:v>stationComplete=true</x:v>
      </x:c>
      <x:c r="N169" s="101" t="str">
        <x:v>Hint 1 → Hint 2 → Fallback; Grundabschluss bleibt möglich.</x:v>
      </x:c>
      <x:c r="O169" s="101" t="str">
        <x:v>REQUIRED</x:v>
      </x:c>
      <x:c r="P169" s="101" t="str">
        <x:v>stationActive</x:v>
      </x:c>
      <x:c r="Q169" s="101" t="str">
        <x:v>OBSERVATION_INPUT</x:v>
      </x:c>
      <x:c r="R169" s="101" t="str">
        <x:v>quest.observation.answered</x:v>
      </x:c>
      <x:c r="S169" s="101" t="str">
        <x:v>Evidence: Kirchenname und Widmung am äußeren Zugang; Innenhofbrunnen nur optional, weil der Hof zeitabhängig sein kann. | Ampel: GELB</x:v>
      </x:c>
    </x:row>
    <x:row r="170" ht="74" customHeight="1">
      <x:c r="A170" s="104" t="str">
        <x:v>D1-Q15</x:v>
      </x:c>
      <x:c r="B170" s="104" t="str">
        <x:v>D1-Q15-S05</x:v>
      </x:c>
      <x:c r="C170" s="110" t="n">
        <x:v>5</x:v>
      </x:c>
      <x:c r="D170" s="104" t="str">
        <x:v>OBJECTIVE</x:v>
      </x:c>
      <x:c r="E170" s="104" t="str">
        <x:v>REACH_LOCATION</x:v>
      </x:c>
      <x:c r="F170" s="104" t="str">
        <x:v>OBJECTIVE</x:v>
      </x:c>
      <x:c r="G170" s="104" t="str">
        <x:v>REACH_LOCATION</x:v>
      </x:c>
      <x:c r="H170" s="104" t="str">
        <x:v>TEAM</x:v>
      </x:c>
      <x:c r="I170" s="104" t="str">
        <x:v>place_day_1_basilica_di_santa_maria_in_trastevere</x:v>
      </x:c>
      <x:c r="J170" s="104" t="str">
        <x:v>place_day_1_basilica_di_santa_maria_in_trastevere</x:v>
      </x:c>
      <x:c r="K170" s="104" t="str">
        <x:v>Erreicht Santa Maria in Trastevere.</x:v>
      </x:c>
      <x:c r="L170" s="104" t="str">
        <x:v>teamMembersInRadius &gt;= 2 &amp;&amp; stableFixes &gt;= 2</x:v>
      </x:c>
      <x:c r="M170" s="104" t="str">
        <x:v>stationActive=true</x:v>
      </x:c>
      <x:c r="N170" s="104" t="str">
        <x:v>Hinweisleiter; Ziel bleibt offen.</x:v>
      </x:c>
      <x:c r="O170" s="104" t="str">
        <x:v>REQUIRED</x:v>
      </x:c>
      <x:c r="P170" s="104" t="str">
        <x:v>previousStepComplete</x:v>
      </x:c>
      <x:c r="Q170" s="104" t="str">
        <x:v>MAP_AND_QUEST</x:v>
      </x:c>
      <x:c r="R170" s="104" t="str">
        <x:v>quest.location.reached</x:v>
      </x:c>
      <x:c r="S170" s="104" t="str">
        <x:v>Standard 15-m-Zielradius; keine Innen-/Eintrittspflicht.</x:v>
      </x:c>
    </x:row>
    <x:row r="171" ht="74" customHeight="1">
      <x:c r="A171" s="101" t="str">
        <x:v>D1-Q15</x:v>
      </x:c>
      <x:c r="B171" s="101" t="str">
        <x:v>D1-Q15-S06</x:v>
      </x:c>
      <x:c r="C171" s="109" t="n">
        <x:v>6</x:v>
      </x:c>
      <x:c r="D171" s="101" t="str">
        <x:v>OBJECTIVE</x:v>
      </x:c>
      <x:c r="E171" s="101" t="str">
        <x:v>ANSWER_QUESTION</x:v>
      </x:c>
      <x:c r="F171" s="101" t="str">
        <x:v>OBJECTIVE</x:v>
      </x:c>
      <x:c r="G171" s="101" t="str">
        <x:v>SUBMIT_ANSWER</x:v>
      </x:c>
      <x:c r="H171" s="101" t="str">
        <x:v>TEAM</x:v>
      </x:c>
      <x:c r="I171" s="101" t="str">
        <x:v>place_day_1_basilica_di_santa_maria_in_trastevere</x:v>
      </x:c>
      <x:c r="J171" s="101" t="str">
        <x:v>OBS-D1-Q15-2</x:v>
      </x:c>
      <x:c r="K171" s="101" t="str">
        <x:v>Das Fassadenmosaik von Santa Maria in Trastevere erkennen und Fakt, Tradition und Fiktion trennen. Frage: Welche zwei Hauptfiguren sitzen im Zentrum des großen Fassadenmosaiks?</x:v>
      </x:c>
      <x:c r="L171" s="101" t="str">
        <x:v>normalizedAnswer matches 'Maria und Christus'</x:v>
      </x:c>
      <x:c r="M171" s="101" t="str">
        <x:v>stationComplete=true</x:v>
      </x:c>
      <x:c r="N171" s="101" t="str">
        <x:v>Hint 1 → Hint 2 → Fallback; Grundabschluss bleibt möglich.</x:v>
      </x:c>
      <x:c r="O171" s="101" t="str">
        <x:v>REQUIRED</x:v>
      </x:c>
      <x:c r="P171" s="101" t="str">
        <x:v>stationActive</x:v>
      </x:c>
      <x:c r="Q171" s="101" t="str">
        <x:v>OBSERVATION_INPUT</x:v>
      </x:c>
      <x:c r="R171" s="101" t="str">
        <x:v>quest.observation.answered</x:v>
      </x:c>
      <x:c r="S171" s="101" t="str">
        <x:v>Evidence: Großes goldenes Mosaik hoch an der Fassade; vom Platz sichtbar. | Ampel: GRUEN</x:v>
      </x:c>
    </x:row>
    <x:row r="172" ht="74" customHeight="1">
      <x:c r="A172" s="104" t="str">
        <x:v>D1-Q15</x:v>
      </x:c>
      <x:c r="B172" s="104" t="str">
        <x:v>D1-Q15-S07</x:v>
      </x:c>
      <x:c r="C172" s="110" t="n">
        <x:v>7</x:v>
      </x:c>
      <x:c r="D172" s="104" t="str">
        <x:v>OBJECTIVE</x:v>
      </x:c>
      <x:c r="E172" s="104" t="str">
        <x:v>SOLVE_PUZZLE</x:v>
      </x:c>
      <x:c r="F172" s="104" t="str">
        <x:v>OBJECTIVE</x:v>
      </x:c>
      <x:c r="G172" s="104" t="str">
        <x:v>SUBMIT_ANSWER</x:v>
      </x:c>
      <x:c r="H172" s="104" t="str">
        <x:v>TEAM</x:v>
      </x:c>
      <x:c r="I172" s="104" t="str">
        <x:v>place_day_1_basilica_di_santa_maria_in_trastevere</x:v>
      </x:c>
      <x:c r="J172" s="104" t="str">
        <x:v>PZ-D1-Q15</x:v>
      </x:c>
      <x:c r="K172" s="104" t="str">
        <x:v>Ordnet die Aussagen den Kategorien SICHTBAR, VERIFIZIERTER FAKT oder FIKTIONALE RAHMUNG zu.</x:v>
      </x:c>
      <x:c r="L172" s="104" t="str">
        <x:v>puzzleResult == CORRECT</x:v>
      </x:c>
      <x:c r="M172" s="104" t="str">
        <x:v>synthesisComplete=true</x:v>
      </x:c>
      <x:c r="N172" s="104" t="str">
        <x:v>Nur zwei Aussagen klassifizieren.</x:v>
      </x:c>
      <x:c r="O172" s="104" t="str">
        <x:v>REQUIRED</x:v>
      </x:c>
      <x:c r="P172" s="104" t="str">
        <x:v>allRequiredStationsComplete</x:v>
      </x:c>
      <x:c r="Q172" s="104" t="str">
        <x:v>PUZZLE</x:v>
      </x:c>
      <x:c r="R172" s="104" t="str">
        <x:v>quest.puzzle.solved</x:v>
      </x:c>
      <x:c r="S172" s="104" t="str">
        <x:v>Penalty: Quellenbonus entfällt</x:v>
      </x:c>
    </x:row>
    <x:row r="173" ht="74" customHeight="1">
      <x:c r="A173" s="101" t="str">
        <x:v>D1-Q15</x:v>
      </x:c>
      <x:c r="B173" s="101" t="str">
        <x:v>D1-Q15-S08</x:v>
      </x:c>
      <x:c r="C173" s="109" t="n">
        <x:v>8</x:v>
      </x:c>
      <x:c r="D173" s="101" t="str">
        <x:v>BONUS_OBJECTIVE</x:v>
      </x:c>
      <x:c r="E173" s="101" t="str">
        <x:v>CLASS_ACTION</x:v>
      </x:c>
      <x:c r="F173" s="101" t="str">
        <x:v>OBJECTIVE</x:v>
      </x:c>
      <x:c r="G173" s="101" t="str">
        <x:v>SUBMIT_ANSWER</x:v>
      </x:c>
      <x:c r="H173" s="101" t="str">
        <x:v>ELIGIBLE_MEMBER</x:v>
      </x:c>
      <x:c r="I173" s="101" t="str">
        <x:v>place_day_1_basilica_di_santa_maria_in_trastevere</x:v>
      </x:c>
      <x:c r="J173" s="101" t="str">
        <x:v>CLERIC</x:v>
      </x:c>
      <x:c r="K173" s="101" t="str">
        <x:v>Optionale Klassenaktion für CLERIC; ohne Klasse steht eine Standardalternative bereit.</x:v>
      </x:c>
      <x:c r="L173" s="101" t="str">
        <x:v>classActionComplete || fallbackActionComplete</x:v>
      </x:c>
      <x:c r="M173" s="101" t="str">
        <x:v>classBonus=true</x:v>
      </x:c>
      <x:c r="N173" s="101" t="str">
        <x:v>Quest bleibt lösbar; Bonus entfällt.</x:v>
      </x:c>
      <x:c r="O173" s="101" t="str">
        <x:v>OPTIONAL</x:v>
      </x:c>
      <x:c r="P173" s="101" t="str">
        <x:v>synthesisComplete</x:v>
      </x:c>
      <x:c r="Q173" s="101" t="str">
        <x:v>CLASS_ACTION</x:v>
      </x:c>
      <x:c r="R173" s="101" t="str">
        <x:v>quest.class_action</x:v>
      </x:c>
      <x:c r="S173" s="101" t="str">
        <x:v>Keine Klasse darf die Hauptquest blockieren.</x:v>
      </x:c>
    </x:row>
    <x:row r="174" ht="74" customHeight="1">
      <x:c r="A174" s="104" t="str">
        <x:v>D1-Q15</x:v>
      </x:c>
      <x:c r="B174" s="104" t="str">
        <x:v>D1-Q15-S09</x:v>
      </x:c>
      <x:c r="C174" s="110" t="n">
        <x:v>9</x:v>
      </x:c>
      <x:c r="D174" s="104" t="str">
        <x:v>OBJECTIVE</x:v>
      </x:c>
      <x:c r="E174" s="104" t="str">
        <x:v>TEAM_DECISION</x:v>
      </x:c>
      <x:c r="F174" s="104" t="str">
        <x:v>OBJECTIVE</x:v>
      </x:c>
      <x:c r="G174" s="104" t="str">
        <x:v>COMPLETE_DIALOGUE</x:v>
      </x:c>
      <x:c r="H174" s="104" t="str">
        <x:v>TEAM</x:v>
      </x:c>
      <x:c r="I174" s="104" t="str">
        <x:v>place_day_1_basilica_di_santa_maria_in_trastevere</x:v>
      </x:c>
      <x:c r="J174" s="104" t="str">
        <x:v>D1-Q15-COMPLETE</x:v>
      </x:c>
      <x:c r="K174" s="104" t="str">
        <x:v>Team stimmt über LEGENDE_VORAN|FAKTEN_VORAN|BEIDES_GETRENNT ab.</x:v>
      </x:c>
      <x:c r="L174" s="104" t="str">
        <x:v>teamVoteResolved</x:v>
      </x:c>
      <x:c r="M174" s="104" t="str">
        <x:v>rewardVariantLocked=true</x:v>
      </x:c>
      <x:c r="N174" s="104" t="str">
        <x:v>Bei Gleichstand entscheidet der Queststarter nach 30 s.</x:v>
      </x:c>
      <x:c r="O174" s="104" t="str">
        <x:v>REQUIRED</x:v>
      </x:c>
      <x:c r="P174" s="104" t="str">
        <x:v>synthesisComplete</x:v>
      </x:c>
      <x:c r="Q174" s="104" t="str">
        <x:v>DIALOGUE_VOTE</x:v>
      </x:c>
      <x:c r="R174" s="104" t="str">
        <x:v>quest.decision</x:v>
      </x:c>
      <x:c r="S174" s="104" t="str">
        <x:v>Wahl verändert nur kleine Belohnungs-/Dialogvariante.</x:v>
      </x:c>
    </x:row>
    <x:row r="175" ht="74" customHeight="1">
      <x:c r="A175" s="101" t="str">
        <x:v>D1-Q15</x:v>
      </x:c>
      <x:c r="B175" s="101" t="str">
        <x:v>D1-Q15-S10</x:v>
      </x:c>
      <x:c r="C175" s="109" t="n">
        <x:v>10</x:v>
      </x:c>
      <x:c r="D175" s="101" t="str">
        <x:v>COMPLETE</x:v>
      </x:c>
      <x:c r="E175" s="101" t="str">
        <x:v>TALK_TO_NPC</x:v>
      </x:c>
      <x:c r="F175" s="101" t="str">
        <x:v>OBJECTIVE</x:v>
      </x:c>
      <x:c r="G175" s="101" t="str">
        <x:v>COMPLETE_DIALOGUE</x:v>
      </x:c>
      <x:c r="H175" s="101" t="str">
        <x:v>TEAM</x:v>
      </x:c>
      <x:c r="I175" s="101" t="str">
        <x:v>place_day_1_basilica_di_santa_maria_in_trastevere</x:v>
      </x:c>
      <x:c r="J175" s="101" t="str">
        <x:v>D1-Q15-COMPLETE</x:v>
      </x:c>
      <x:c r="K175" s="101" t="str">
        <x:v>Abschlussdialog und Konsequenz anzeigen.</x:v>
      </x:c>
      <x:c r="L175" s="101" t="str">
        <x:v>dialogSequenceComplete('D1-Q15-COMPLETE')</x:v>
      </x:c>
      <x:c r="M175" s="101" t="str">
        <x:v>state=REWARD</x:v>
      </x:c>
      <x:c r="N175" s="101" t="str">
        <x:v>Dialog erneut öffnen.</x:v>
      </x:c>
      <x:c r="O175" s="101" t="str">
        <x:v>REQUIRED</x:v>
      </x:c>
      <x:c r="P175" s="101" t="str">
        <x:v>allRequiredObjectivesComplete</x:v>
      </x:c>
      <x:c r="Q175" s="101" t="str">
        <x:v>DIALOGUE</x:v>
      </x:c>
      <x:c r="R175" s="101" t="str">
        <x:v>quest.completed</x:v>
      </x:c>
      <x:c r="S175" s="101" t="str">
        <x:v>Abschluss erst serverseitig nach allen Pflichtschritten.</x:v>
      </x:c>
    </x:row>
    <x:row r="176" ht="74" customHeight="1">
      <x:c r="A176" s="104" t="str">
        <x:v>D1-Q15</x:v>
      </x:c>
      <x:c r="B176" s="104" t="str">
        <x:v>D1-Q15-S11</x:v>
      </x:c>
      <x:c r="C176" s="110" t="n">
        <x:v>11</x:v>
      </x:c>
      <x:c r="D176" s="104" t="str">
        <x:v>REWARD</x:v>
      </x:c>
      <x:c r="E176" s="104" t="str">
        <x:v>GRANT_REWARD</x:v>
      </x:c>
      <x:c r="F176" s="104" t="str">
        <x:v>SYSTEM_ACTION</x:v>
      </x:c>
      <x:c r="G176" s="104" t="str"/>
      <x:c r="H176" s="104" t="str">
        <x:v>TEAM</x:v>
      </x:c>
      <x:c r="I176" s="104" t="str"/>
      <x:c r="J176" s="104" t="str">
        <x:v>D1-Q15</x:v>
      </x:c>
      <x:c r="K176" s="104" t="str">
        <x:v>Atomare Vergabe von Ruhm, Denaren, Loot und Variantenbonus.</x:v>
      </x:c>
      <x:c r="L176" s="104" t="str">
        <x:v>rewardTransactionCommitted</x:v>
      </x:c>
      <x:c r="M176" s="104" t="str">
        <x:v>state=COMPLETED</x:v>
      </x:c>
      <x:c r="N176" s="104" t="str">
        <x:v>Idempotenter Retry mit gleicher rewardTransactionId.</x:v>
      </x:c>
      <x:c r="O176" s="104" t="str">
        <x:v>REQUIRED</x:v>
      </x:c>
      <x:c r="P176" s="104" t="str">
        <x:v>questComplete</x:v>
      </x:c>
      <x:c r="Q176" s="104" t="str">
        <x:v>REWARD</x:v>
      </x:c>
      <x:c r="R176" s="104" t="str">
        <x:v>quest.reward.granted</x:v>
      </x:c>
      <x:c r="S176" s="104" t="str">
        <x:v>Arbeitswerte aus Quest Master; finales Balancing separat.</x:v>
      </x:c>
    </x:row>
    <x:row r="177" ht="74" customHeight="1">
      <x:c r="A177" s="101" t="str">
        <x:v>D1-Q16</x:v>
      </x:c>
      <x:c r="B177" s="101" t="str">
        <x:v>D1-Q16-S01</x:v>
      </x:c>
      <x:c r="C177" s="109" t="n">
        <x:v>1</x:v>
      </x:c>
      <x:c r="D177" s="101" t="str">
        <x:v>DISCOVER</x:v>
      </x:c>
      <x:c r="E177" s="101" t="str">
        <x:v>DISCOVER_NPC</x:v>
      </x:c>
      <x:c r="F177" s="101" t="str">
        <x:v>FLOW_ACTION</x:v>
      </x:c>
      <x:c r="G177" s="101" t="str"/>
      <x:c r="H177" s="101" t="str">
        <x:v>TEAM</x:v>
      </x:c>
      <x:c r="I177" s="101" t="str">
        <x:v>place_day_1_mura_gianicolensi_2</x:v>
      </x:c>
      <x:c r="J177" s="101" t="str">
        <x:v>npc_anita_garibaldi</x:v>
      </x:c>
      <x:c r="K177" s="101" t="str">
        <x:v>Entdeckt Anita Garibaldi – Reiterecho ab 55 m; Interaktion wird bei stabilem 15-m-Fix verfügbar.</x:v>
      </x:c>
      <x:c r="L177" s="101" t="str">
        <x:v>npcDiscovered &amp;&amp; interactionGateOpen</x:v>
      </x:c>
      <x:c r="M177" s="101" t="str">
        <x:v>state=DIALOGUE</x:v>
      </x:c>
      <x:c r="N177" s="101" t="str">
        <x:v>UI bleibt auf Karte; GPS-Hinweis anzeigen.</x:v>
      </x:c>
      <x:c r="O177" s="101" t="str">
        <x:v>REQUIRED</x:v>
      </x:c>
      <x:c r="P177" s="101" t="str"/>
      <x:c r="Q177" s="101" t="str">
        <x:v>MAP_OBJECT_SHEET</x:v>
      </x:c>
      <x:c r="R177" s="101" t="str">
        <x:v>quest.discovered</x:v>
      </x:c>
      <x:c r="S177" s="101" t="str">
        <x:v>15-m-Enter/25-m-Exit-Hysterese; serverautoritativ.</x:v>
      </x:c>
    </x:row>
    <x:row r="178" ht="74" customHeight="1">
      <x:c r="A178" s="104" t="str">
        <x:v>D1-Q16</x:v>
      </x:c>
      <x:c r="B178" s="104" t="str">
        <x:v>D1-Q16-S02</x:v>
      </x:c>
      <x:c r="C178" s="110" t="n">
        <x:v>2</x:v>
      </x:c>
      <x:c r="D178" s="104" t="str">
        <x:v>DIALOGUE</x:v>
      </x:c>
      <x:c r="E178" s="104" t="str">
        <x:v>TALK_TO_NPC</x:v>
      </x:c>
      <x:c r="F178" s="104" t="str">
        <x:v>OBJECTIVE</x:v>
      </x:c>
      <x:c r="G178" s="104" t="str">
        <x:v>COMPLETE_DIALOGUE</x:v>
      </x:c>
      <x:c r="H178" s="104" t="str">
        <x:v>TEAM</x:v>
      </x:c>
      <x:c r="I178" s="104" t="str">
        <x:v>place_day_1_mura_gianicolensi_2</x:v>
      </x:c>
      <x:c r="J178" s="104" t="str">
        <x:v>D1-Q16-OFFER</x:v>
      </x:c>
      <x:c r="K178" s="104" t="str">
        <x:v>Questangebot und erste Dialogoption anzeigen.</x:v>
      </x:c>
      <x:c r="L178" s="104" t="str">
        <x:v>dialogSequenceComplete('D1-Q16-OFFER')</x:v>
      </x:c>
      <x:c r="M178" s="104" t="str">
        <x:v>state=ACCEPT</x:v>
      </x:c>
      <x:c r="N178" s="104" t="str">
        <x:v>Dialog kann erneut geöffnet werden.</x:v>
      </x:c>
      <x:c r="O178" s="104" t="str">
        <x:v>REQUIRED</x:v>
      </x:c>
      <x:c r="P178" s="104" t="str"/>
      <x:c r="Q178" s="104" t="str">
        <x:v>DIALOGUE</x:v>
      </x:c>
      <x:c r="R178" s="104" t="str">
        <x:v>quest.dialogue.offer</x:v>
      </x:c>
      <x:c r="S178" s="104" t="str">
        <x:v>Teamentscheidung wird einmal serverseitig gespeichert.</x:v>
      </x:c>
    </x:row>
    <x:row r="179" ht="74" customHeight="1">
      <x:c r="A179" s="101" t="str">
        <x:v>D1-Q16</x:v>
      </x:c>
      <x:c r="B179" s="101" t="str">
        <x:v>D1-Q16-S03</x:v>
      </x:c>
      <x:c r="C179" s="109" t="n">
        <x:v>3</x:v>
      </x:c>
      <x:c r="D179" s="101" t="str">
        <x:v>ACCEPT</x:v>
      </x:c>
      <x:c r="E179" s="101" t="str">
        <x:v>ACCEPT_QUEST</x:v>
      </x:c>
      <x:c r="F179" s="101" t="str">
        <x:v>FLOW_ACTION</x:v>
      </x:c>
      <x:c r="G179" s="101" t="str"/>
      <x:c r="H179" s="101" t="str">
        <x:v>TEAM</x:v>
      </x:c>
      <x:c r="I179" s="101" t="str">
        <x:v>place_day_1_mura_gianicolensi_2</x:v>
      </x:c>
      <x:c r="J179" s="101" t="str">
        <x:v>D1-Q16</x:v>
      </x:c>
      <x:c r="K179" s="101" t="str">
        <x:v>Quest annehmen; Voraussetzungen, Slotwirkung und Fallback vor Bestätigung anzeigen.</x:v>
      </x:c>
      <x:c r="L179" s="101" t="str">
        <x:v>teamVoteResolved &amp;&amp; questSlotReserved</x:v>
      </x:c>
      <x:c r="M179" s="101" t="str">
        <x:v>state=OBJECTIVE</x:v>
      </x:c>
      <x:c r="N179" s="101" t="str">
        <x:v>Annahme abbrechbar; kein Slotverbrauch.</x:v>
      </x:c>
      <x:c r="O179" s="101" t="str">
        <x:v>REQUIRED</x:v>
      </x:c>
      <x:c r="P179" s="101" t="str"/>
      <x:c r="Q179" s="101" t="str">
        <x:v>QUEST_ACCEPT</x:v>
      </x:c>
      <x:c r="R179" s="101" t="str">
        <x:v>quest.accepted</x:v>
      </x:c>
      <x:c r="S179" s="101" t="str">
        <x:v>Maximal drei reguläre aktive Quests pro Team.</x:v>
      </x:c>
    </x:row>
    <x:row r="180" ht="74" customHeight="1">
      <x:c r="A180" s="104" t="str">
        <x:v>D1-Q16</x:v>
      </x:c>
      <x:c r="B180" s="104" t="str">
        <x:v>D1-Q16-S04</x:v>
      </x:c>
      <x:c r="C180" s="110" t="n">
        <x:v>4</x:v>
      </x:c>
      <x:c r="D180" s="104" t="str">
        <x:v>OBJECTIVE</x:v>
      </x:c>
      <x:c r="E180" s="104" t="str">
        <x:v>ANSWER_QUESTION</x:v>
      </x:c>
      <x:c r="F180" s="104" t="str">
        <x:v>OBJECTIVE</x:v>
      </x:c>
      <x:c r="G180" s="104" t="str">
        <x:v>SUBMIT_ANSWER</x:v>
      </x:c>
      <x:c r="H180" s="104" t="str">
        <x:v>TEAM</x:v>
      </x:c>
      <x:c r="I180" s="104" t="str">
        <x:v>place_day_1_mura_gianicolensi_2</x:v>
      </x:c>
      <x:c r="J180" s="104" t="str">
        <x:v>OBS-D1-Q16-1</x:v>
      </x:c>
      <x:c r="K180" s="104" t="str">
        <x:v>An den Gianicolense-Mauern den sicheren Startpunkt bestätigen. Frage: Aus welchem Material besteht der sichtbare Hauptkörper der Mauer überwiegend?</x:v>
      </x:c>
      <x:c r="L180" s="104" t="str">
        <x:v>normalizedAnswer matches 'Aus Ziegelmauerwerk'</x:v>
      </x:c>
      <x:c r="M180" s="104" t="str">
        <x:v>stationComplete=true</x:v>
      </x:c>
      <x:c r="N180" s="104" t="str">
        <x:v>Hint 1 → Hint 2 → Fallback; Grundabschluss bleibt möglich.</x:v>
      </x:c>
      <x:c r="O180" s="104" t="str">
        <x:v>REQUIRED</x:v>
      </x:c>
      <x:c r="P180" s="104" t="str">
        <x:v>stationActive</x:v>
      </x:c>
      <x:c r="Q180" s="104" t="str">
        <x:v>OBSERVATION_INPUT</x:v>
      </x:c>
      <x:c r="R180" s="104" t="str">
        <x:v>quest.observation.answered</x:v>
      </x:c>
      <x:c r="S180" s="104" t="str">
        <x:v>Evidence: Langer massiver Mauerabschnitt mit Schieß- und Verteidigungsformen. | Ampel: GRUEN</x:v>
      </x:c>
    </x:row>
    <x:row r="181" ht="74" customHeight="1">
      <x:c r="A181" s="101" t="str">
        <x:v>D1-Q16</x:v>
      </x:c>
      <x:c r="B181" s="101" t="str">
        <x:v>D1-Q16-S05</x:v>
      </x:c>
      <x:c r="C181" s="109" t="n">
        <x:v>5</x:v>
      </x:c>
      <x:c r="D181" s="101" t="str">
        <x:v>OBJECTIVE</x:v>
      </x:c>
      <x:c r="E181" s="101" t="str">
        <x:v>REACH_LOCATION</x:v>
      </x:c>
      <x:c r="F181" s="101" t="str">
        <x:v>OBJECTIVE</x:v>
      </x:c>
      <x:c r="G181" s="101" t="str">
        <x:v>REACH_LOCATION</x:v>
      </x:c>
      <x:c r="H181" s="101" t="str">
        <x:v>TEAM</x:v>
      </x:c>
      <x:c r="I181" s="101" t="str">
        <x:v>place_day_1_mausoleo_ossario_garibaldino</x:v>
      </x:c>
      <x:c r="J181" s="101" t="str">
        <x:v>place_day_1_mausoleo_ossario_garibaldino</x:v>
      </x:c>
      <x:c r="K181" s="101" t="str">
        <x:v>Erreicht Mausoleo Ossario Garibaldino.</x:v>
      </x:c>
      <x:c r="L181" s="101" t="str">
        <x:v>teamMembersInRadius &gt;= 2 &amp;&amp; stableFixes &gt;= 2</x:v>
      </x:c>
      <x:c r="M181" s="101" t="str">
        <x:v>stationActive=true</x:v>
      </x:c>
      <x:c r="N181" s="101" t="str">
        <x:v>Hinweisleiter; Ziel bleibt offen.</x:v>
      </x:c>
      <x:c r="O181" s="101" t="str">
        <x:v>REQUIRED</x:v>
      </x:c>
      <x:c r="P181" s="101" t="str">
        <x:v>previousStepComplete</x:v>
      </x:c>
      <x:c r="Q181" s="101" t="str">
        <x:v>MAP_AND_QUEST</x:v>
      </x:c>
      <x:c r="R181" s="101" t="str">
        <x:v>quest.location.reached</x:v>
      </x:c>
      <x:c r="S181" s="101" t="str">
        <x:v>Standard 15-m-Zielradius; keine Innen-/Eintrittspflicht.</x:v>
      </x:c>
    </x:row>
    <x:row r="182" ht="74" customHeight="1">
      <x:c r="A182" s="104" t="str">
        <x:v>D1-Q16</x:v>
      </x:c>
      <x:c r="B182" s="104" t="str">
        <x:v>D1-Q16-S06</x:v>
      </x:c>
      <x:c r="C182" s="110" t="n">
        <x:v>6</x:v>
      </x:c>
      <x:c r="D182" s="104" t="str">
        <x:v>OBJECTIVE</x:v>
      </x:c>
      <x:c r="E182" s="104" t="str">
        <x:v>ANSWER_QUESTION</x:v>
      </x:c>
      <x:c r="F182" s="104" t="str">
        <x:v>OBJECTIVE</x:v>
      </x:c>
      <x:c r="G182" s="104" t="str">
        <x:v>SUBMIT_ANSWER</x:v>
      </x:c>
      <x:c r="H182" s="104" t="str">
        <x:v>TEAM</x:v>
      </x:c>
      <x:c r="I182" s="104" t="str">
        <x:v>place_day_1_mausoleo_ossario_garibaldino</x:v>
      </x:c>
      <x:c r="J182" s="104" t="str">
        <x:v>OBS-D1-Q16-2</x:v>
      </x:c>
      <x:c r="K182" s="104" t="str">
        <x:v>Das Ossarium als Erinnerungspunkt erfassen. Frage: Wie viele offene Bogenfronten umgeben den zentralen Teil des Ossariums?</x:v>
      </x:c>
      <x:c r="L182" s="104" t="str">
        <x:v>normalizedAnswer matches 'Vier'</x:v>
      </x:c>
      <x:c r="M182" s="104" t="str">
        <x:v>stationComplete=true</x:v>
      </x:c>
      <x:c r="N182" s="104" t="str">
        <x:v>Hint 1 → Hint 2 → Fallback; Grundabschluss bleibt möglich.</x:v>
      </x:c>
      <x:c r="O182" s="104" t="str">
        <x:v>REQUIRED</x:v>
      </x:c>
      <x:c r="P182" s="104" t="str">
        <x:v>stationActive</x:v>
      </x:c>
      <x:c r="Q182" s="104" t="str">
        <x:v>OBSERVATION_INPUT</x:v>
      </x:c>
      <x:c r="R182" s="104" t="str">
        <x:v>quest.observation.answered</x:v>
      </x:c>
      <x:c r="S182" s="104" t="str">
        <x:v>Evidence: Symmetrischer Zentralbau mit vier großen offenen Bögen. | Ampel: GRUEN</x:v>
      </x:c>
    </x:row>
    <x:row r="183" ht="74" customHeight="1">
      <x:c r="A183" s="101" t="str">
        <x:v>D1-Q16</x:v>
      </x:c>
      <x:c r="B183" s="101" t="str">
        <x:v>D1-Q16-S07</x:v>
      </x:c>
      <x:c r="C183" s="109" t="n">
        <x:v>7</x:v>
      </x:c>
      <x:c r="D183" s="101" t="str">
        <x:v>OBJECTIVE</x:v>
      </x:c>
      <x:c r="E183" s="101" t="str">
        <x:v>REACH_LOCATION</x:v>
      </x:c>
      <x:c r="F183" s="101" t="str">
        <x:v>OBJECTIVE</x:v>
      </x:c>
      <x:c r="G183" s="101" t="str">
        <x:v>REACH_LOCATION</x:v>
      </x:c>
      <x:c r="H183" s="101" t="str">
        <x:v>TEAM</x:v>
      </x:c>
      <x:c r="I183" s="101" t="str">
        <x:v>place_day_1_fontana_dell_acqua_paola</x:v>
      </x:c>
      <x:c r="J183" s="101" t="str">
        <x:v>place_day_1_fontana_dell_acqua_paola</x:v>
      </x:c>
      <x:c r="K183" s="101" t="str">
        <x:v>Erreicht Fontana Dell'Acqua Paola.</x:v>
      </x:c>
      <x:c r="L183" s="101" t="str">
        <x:v>teamMembersInRadius &gt;= 2 &amp;&amp; stableFixes &gt;= 2</x:v>
      </x:c>
      <x:c r="M183" s="101" t="str">
        <x:v>stationActive=true</x:v>
      </x:c>
      <x:c r="N183" s="101" t="str">
        <x:v>Hinweisleiter; Ziel bleibt offen.</x:v>
      </x:c>
      <x:c r="O183" s="101" t="str">
        <x:v>REQUIRED</x:v>
      </x:c>
      <x:c r="P183" s="101" t="str">
        <x:v>previousStepComplete</x:v>
      </x:c>
      <x:c r="Q183" s="101" t="str">
        <x:v>MAP_AND_QUEST</x:v>
      </x:c>
      <x:c r="R183" s="101" t="str">
        <x:v>quest.location.reached</x:v>
      </x:c>
      <x:c r="S183" s="101" t="str">
        <x:v>Standard 15-m-Zielradius; keine Innen-/Eintrittspflicht.</x:v>
      </x:c>
    </x:row>
    <x:row r="184" ht="74" customHeight="1">
      <x:c r="A184" s="104" t="str">
        <x:v>D1-Q16</x:v>
      </x:c>
      <x:c r="B184" s="104" t="str">
        <x:v>D1-Q16-S08</x:v>
      </x:c>
      <x:c r="C184" s="110" t="n">
        <x:v>8</x:v>
      </x:c>
      <x:c r="D184" s="104" t="str">
        <x:v>OBJECTIVE</x:v>
      </x:c>
      <x:c r="E184" s="104" t="str">
        <x:v>ANSWER_QUESTION</x:v>
      </x:c>
      <x:c r="F184" s="104" t="str">
        <x:v>OBJECTIVE</x:v>
      </x:c>
      <x:c r="G184" s="104" t="str">
        <x:v>SUBMIT_ANSWER</x:v>
      </x:c>
      <x:c r="H184" s="104" t="str">
        <x:v>TEAM</x:v>
      </x:c>
      <x:c r="I184" s="104" t="str">
        <x:v>place_day_1_fontana_dell_acqua_paola</x:v>
      </x:c>
      <x:c r="J184" s="104" t="str">
        <x:v>OBS-D1-Q16-3</x:v>
      </x:c>
      <x:c r="K184" s="104" t="str">
        <x:v>Die Wasserfassade der Acqua Paola erreichen und den verdeckten Navigationsabschnitt starten. Frage: Wie viele große Bogenöffnungen gliedern die Hauptfassade?</x:v>
      </x:c>
      <x:c r="L184" s="104" t="str">
        <x:v>normalizedAnswer matches 'Fünf'</x:v>
      </x:c>
      <x:c r="M184" s="104" t="str">
        <x:v>stationComplete=true</x:v>
      </x:c>
      <x:c r="N184" s="104" t="str">
        <x:v>Hint 1 → Hint 2 → Fallback; Grundabschluss bleibt möglich.</x:v>
      </x:c>
      <x:c r="O184" s="104" t="str">
        <x:v>REQUIRED</x:v>
      </x:c>
      <x:c r="P184" s="104" t="str">
        <x:v>stationActive</x:v>
      </x:c>
      <x:c r="Q184" s="104" t="str">
        <x:v>OBSERVATION_INPUT</x:v>
      </x:c>
      <x:c r="R184" s="104" t="str">
        <x:v>quest.observation.answered</x:v>
      </x:c>
      <x:c r="S184" s="104" t="str">
        <x:v>Evidence: Fünf weithin sichtbare Bogenfelder in der Hauptfassade. | Ampel: GRUEN</x:v>
      </x:c>
    </x:row>
    <x:row r="185" ht="74" customHeight="1">
      <x:c r="A185" s="101" t="str">
        <x:v>D1-Q16</x:v>
      </x:c>
      <x:c r="B185" s="101" t="str">
        <x:v>D1-Q16-S09</x:v>
      </x:c>
      <x:c r="C185" s="109" t="n">
        <x:v>9</x:v>
      </x:c>
      <x:c r="D185" s="101" t="str">
        <x:v>OBJECTIVE</x:v>
      </x:c>
      <x:c r="E185" s="101" t="str">
        <x:v>NAVIGATION_CHALLENGE</x:v>
      </x:c>
      <x:c r="F185" s="101" t="str">
        <x:v>OBJECTIVE</x:v>
      </x:c>
      <x:c r="G185" s="101" t="str">
        <x:v>REACH_LOCATION</x:v>
      </x:c>
      <x:c r="H185" s="101" t="str">
        <x:v>TEAM_SPLIT</x:v>
      </x:c>
      <x:c r="I185" s="101" t="str">
        <x:v>place_day_1_fontana_dell_acqua_paola</x:v>
      </x:c>
      <x:c r="J185" s="101" t="str">
        <x:v>NAV-D1-Q16</x:v>
      </x:c>
      <x:c r="K185" s="101" t="str">
        <x:v>Vom Wasserbogen auf dem freigegebenen Gehweg bergauf; nicht der Straße folgen, die abwärts vom Panorama wegführt; beim ersten freien Blick auf die große Reiterfigur zusammenfinden.</x:v>
      </x:c>
      <x:c r="L185" s="101" t="str">
        <x:v>alle Rollenhinweise bestätigt; mindestens 2 im 15-m-Zielradius; übrige Teammitglieder innerhalb 35 m</x:v>
      </x:c>
      <x:c r="M185" s="101" t="str">
        <x:v>navigationToken=true</x:v>
      </x:c>
      <x:c r="N185" s="101" t="str">
        <x:v>Zielmarker und Standardroute werden eingeblendet</x:v>
      </x:c>
      <x:c r="O185" s="101" t="str">
        <x:v>REQUIRED</x:v>
      </x:c>
      <x:c r="P185" s="101" t="str">
        <x:v>assignedRolesReady</x:v>
      </x:c>
      <x:c r="Q185" s="101" t="str">
        <x:v>NAVIGATION</x:v>
      </x:c>
      <x:c r="R185" s="101" t="str">
        <x:v>quest.navigation.completed</x:v>
      </x:c>
      <x:c r="S185" s="101" t="str">
        <x:v>Fahnenträger sieht Kompasskorridor; Gefährten sehen nur Textteile; Zielmarker bis 30 m verborgen | Steigung; langsamstes Mitglied bestimmt Tempo; Boundary Damage pausiert im Segment</x:v>
      </x:c>
    </x:row>
    <x:row r="186" ht="74" customHeight="1">
      <x:c r="A186" s="104" t="str">
        <x:v>D1-Q16</x:v>
      </x:c>
      <x:c r="B186" s="104" t="str">
        <x:v>D1-Q16-S10</x:v>
      </x:c>
      <x:c r="C186" s="110" t="n">
        <x:v>10</x:v>
      </x:c>
      <x:c r="D186" s="104" t="str">
        <x:v>OBJECTIVE</x:v>
      </x:c>
      <x:c r="E186" s="104" t="str">
        <x:v>REACH_LOCATION</x:v>
      </x:c>
      <x:c r="F186" s="104" t="str">
        <x:v>OBJECTIVE</x:v>
      </x:c>
      <x:c r="G186" s="104" t="str">
        <x:v>REACH_LOCATION</x:v>
      </x:c>
      <x:c r="H186" s="104" t="str">
        <x:v>TEAM</x:v>
      </x:c>
      <x:c r="I186" s="104" t="str">
        <x:v>place_day_1_monumento_a_garibaldi</x:v>
      </x:c>
      <x:c r="J186" s="104" t="str">
        <x:v>place_day_1_monumento_a_garibaldi</x:v>
      </x:c>
      <x:c r="K186" s="104" t="str">
        <x:v>Erreicht Monumento a Garibaldi.</x:v>
      </x:c>
      <x:c r="L186" s="104" t="str">
        <x:v>teamMembersInRadius &gt;= 2 &amp;&amp; stableFixes &gt;= 2</x:v>
      </x:c>
      <x:c r="M186" s="104" t="str">
        <x:v>stationActive=true</x:v>
      </x:c>
      <x:c r="N186" s="104" t="str">
        <x:v>Hinweisleiter; Ziel bleibt offen.</x:v>
      </x:c>
      <x:c r="O186" s="104" t="str">
        <x:v>REQUIRED</x:v>
      </x:c>
      <x:c r="P186" s="104" t="str">
        <x:v>previousStepComplete</x:v>
      </x:c>
      <x:c r="Q186" s="104" t="str">
        <x:v>MAP_AND_QUEST</x:v>
      </x:c>
      <x:c r="R186" s="104" t="str">
        <x:v>quest.location.reached</x:v>
      </x:c>
      <x:c r="S186" s="104" t="str">
        <x:v>Standard 15-m-Zielradius; keine Innen-/Eintrittspflicht.</x:v>
      </x:c>
    </x:row>
    <x:row r="187" ht="74" customHeight="1">
      <x:c r="A187" s="101" t="str">
        <x:v>D1-Q16</x:v>
      </x:c>
      <x:c r="B187" s="101" t="str">
        <x:v>D1-Q16-S11</x:v>
      </x:c>
      <x:c r="C187" s="109" t="n">
        <x:v>11</x:v>
      </x:c>
      <x:c r="D187" s="101" t="str">
        <x:v>OBJECTIVE</x:v>
      </x:c>
      <x:c r="E187" s="101" t="str">
        <x:v>ANSWER_QUESTION</x:v>
      </x:c>
      <x:c r="F187" s="101" t="str">
        <x:v>OBJECTIVE</x:v>
      </x:c>
      <x:c r="G187" s="101" t="str">
        <x:v>SUBMIT_ANSWER</x:v>
      </x:c>
      <x:c r="H187" s="101" t="str">
        <x:v>TEAM</x:v>
      </x:c>
      <x:c r="I187" s="101" t="str">
        <x:v>place_day_1_monumento_a_garibaldi</x:v>
      </x:c>
      <x:c r="J187" s="101" t="str">
        <x:v>OBS-D1-Q16-4</x:v>
      </x:c>
      <x:c r="K187" s="101" t="str">
        <x:v>Am Garibaldi-Denkmal im unsichtbaren Sammelradius zusammenfinden. Frage: Auf welchem Tier sitzt Giuseppe Garibaldi?</x:v>
      </x:c>
      <x:c r="L187" s="101" t="str">
        <x:v>normalizedAnswer matches 'Auf einem Pferd'</x:v>
      </x:c>
      <x:c r="M187" s="101" t="str">
        <x:v>stationComplete=true</x:v>
      </x:c>
      <x:c r="N187" s="101" t="str">
        <x:v>Hint 1 → Hint 2 → Fallback; Grundabschluss bleibt möglich.</x:v>
      </x:c>
      <x:c r="O187" s="101" t="str">
        <x:v>REQUIRED</x:v>
      </x:c>
      <x:c r="P187" s="101" t="str">
        <x:v>stationActive</x:v>
      </x:c>
      <x:c r="Q187" s="101" t="str">
        <x:v>OBSERVATION_INPUT</x:v>
      </x:c>
      <x:c r="R187" s="101" t="str">
        <x:v>quest.observation.answered</x:v>
      </x:c>
      <x:c r="S187" s="101" t="str">
        <x:v>Evidence: Große Reiterfigur auf hohem Sockel. | Ampel: GRUEN</x:v>
      </x:c>
    </x:row>
    <x:row r="188" ht="74" customHeight="1">
      <x:c r="A188" s="104" t="str">
        <x:v>D1-Q16</x:v>
      </x:c>
      <x:c r="B188" s="104" t="str">
        <x:v>D1-Q16-S12</x:v>
      </x:c>
      <x:c r="C188" s="110" t="n">
        <x:v>12</x:v>
      </x:c>
      <x:c r="D188" s="104" t="str">
        <x:v>OBJECTIVE</x:v>
      </x:c>
      <x:c r="E188" s="104" t="str">
        <x:v>REACH_LOCATION</x:v>
      </x:c>
      <x:c r="F188" s="104" t="str">
        <x:v>OBJECTIVE</x:v>
      </x:c>
      <x:c r="G188" s="104" t="str">
        <x:v>REACH_LOCATION</x:v>
      </x:c>
      <x:c r="H188" s="104" t="str">
        <x:v>TEAM</x:v>
      </x:c>
      <x:c r="I188" s="104" t="str">
        <x:v>place_day_1_monumento_ad_anita_garibaldi</x:v>
      </x:c>
      <x:c r="J188" s="104" t="str">
        <x:v>place_day_1_monumento_ad_anita_garibaldi</x:v>
      </x:c>
      <x:c r="K188" s="104" t="str">
        <x:v>Erreicht Monumento ad Anita Garibaldi.</x:v>
      </x:c>
      <x:c r="L188" s="104" t="str">
        <x:v>teamMembersInRadius &gt;= 2 &amp;&amp; stableFixes &gt;= 2</x:v>
      </x:c>
      <x:c r="M188" s="104" t="str">
        <x:v>stationActive=true</x:v>
      </x:c>
      <x:c r="N188" s="104" t="str">
        <x:v>Hinweisleiter; Ziel bleibt offen.</x:v>
      </x:c>
      <x:c r="O188" s="104" t="str">
        <x:v>REQUIRED</x:v>
      </x:c>
      <x:c r="P188" s="104" t="str">
        <x:v>previousStepComplete</x:v>
      </x:c>
      <x:c r="Q188" s="104" t="str">
        <x:v>MAP_AND_QUEST</x:v>
      </x:c>
      <x:c r="R188" s="104" t="str">
        <x:v>quest.location.reached</x:v>
      </x:c>
      <x:c r="S188" s="104" t="str">
        <x:v>Standard 15-m-Zielradius; keine Innen-/Eintrittspflicht.</x:v>
      </x:c>
    </x:row>
    <x:row r="189" ht="74" customHeight="1">
      <x:c r="A189" s="101" t="str">
        <x:v>D1-Q16</x:v>
      </x:c>
      <x:c r="B189" s="101" t="str">
        <x:v>D1-Q16-S13</x:v>
      </x:c>
      <x:c r="C189" s="109" t="n">
        <x:v>13</x:v>
      </x:c>
      <x:c r="D189" s="101" t="str">
        <x:v>OBJECTIVE</x:v>
      </x:c>
      <x:c r="E189" s="101" t="str">
        <x:v>ANSWER_QUESTION</x:v>
      </x:c>
      <x:c r="F189" s="101" t="str">
        <x:v>OBJECTIVE</x:v>
      </x:c>
      <x:c r="G189" s="101" t="str">
        <x:v>SUBMIT_ANSWER</x:v>
      </x:c>
      <x:c r="H189" s="101" t="str">
        <x:v>TEAM</x:v>
      </x:c>
      <x:c r="I189" s="101" t="str">
        <x:v>place_day_1_monumento_ad_anita_garibaldi</x:v>
      </x:c>
      <x:c r="J189" s="101" t="str">
        <x:v>OBS-D1-Q16-5</x:v>
      </x:c>
      <x:c r="K189" s="101" t="str">
        <x:v>Anitas Reiterfigur erkennen, die Reihenfolge bestätigen und den Garibaldino stellen. Frage: Welche Waffe hält Anita Garibaldi in der erhobenen Hand?</x:v>
      </x:c>
      <x:c r="L189" s="101" t="str">
        <x:v>normalizedAnswer matches 'Eine Pistole'</x:v>
      </x:c>
      <x:c r="M189" s="101" t="str">
        <x:v>stationComplete=true</x:v>
      </x:c>
      <x:c r="N189" s="101" t="str">
        <x:v>Hint 1 → Hint 2 → Fallback; Grundabschluss bleibt möglich.</x:v>
      </x:c>
      <x:c r="O189" s="101" t="str">
        <x:v>REQUIRED</x:v>
      </x:c>
      <x:c r="P189" s="101" t="str">
        <x:v>stationActive</x:v>
      </x:c>
      <x:c r="Q189" s="101" t="str">
        <x:v>OBSERVATION_INPUT</x:v>
      </x:c>
      <x:c r="R189" s="101" t="str">
        <x:v>quest.observation.answered</x:v>
      </x:c>
      <x:c r="S189" s="101" t="str">
        <x:v>Evidence: Große Reiterfigur mit deutlich erhobener Handwaffe. | Ampel: GRUEN</x:v>
      </x:c>
    </x:row>
    <x:row r="190" ht="74" customHeight="1">
      <x:c r="A190" s="104" t="str">
        <x:v>D1-Q16</x:v>
      </x:c>
      <x:c r="B190" s="104" t="str">
        <x:v>D1-Q16-S14</x:v>
      </x:c>
      <x:c r="C190" s="110" t="n">
        <x:v>14</x:v>
      </x:c>
      <x:c r="D190" s="104" t="str">
        <x:v>OBJECTIVE</x:v>
      </x:c>
      <x:c r="E190" s="104" t="str">
        <x:v>SOLVE_PUZZLE</x:v>
      </x:c>
      <x:c r="F190" s="104" t="str">
        <x:v>OBJECTIVE</x:v>
      </x:c>
      <x:c r="G190" s="104" t="str">
        <x:v>SUBMIT_ANSWER</x:v>
      </x:c>
      <x:c r="H190" s="104" t="str">
        <x:v>TEAM</x:v>
      </x:c>
      <x:c r="I190" s="104" t="str">
        <x:v>place_day_1_monumento_ad_anita_garibaldi</x:v>
      </x:c>
      <x:c r="J190" s="104" t="str">
        <x:v>PZ-D1-Q16</x:v>
      </x:c>
      <x:c r="K190" s="104" t="str">
        <x:v>Ordnet die fünf Stationen in der tatsächlich begangenen Route.</x:v>
      </x:c>
      <x:c r="L190" s="104" t="str">
        <x:v>puzzleResult == CORRECT</x:v>
      </x:c>
      <x:c r="M190" s="104" t="str">
        <x:v>synthesisComplete=true</x:v>
      </x:c>
      <x:c r="N190" s="104" t="str">
        <x:v>Auf vier Stationen kürzen; Acqua Paola bleibt enthalten.</x:v>
      </x:c>
      <x:c r="O190" s="104" t="str">
        <x:v>REQUIRED</x:v>
      </x:c>
      <x:c r="P190" s="104" t="str">
        <x:v>allRequiredStationsComplete</x:v>
      </x:c>
      <x:c r="Q190" s="104" t="str">
        <x:v>PUZZLE</x:v>
      </x:c>
      <x:c r="R190" s="104" t="str">
        <x:v>quest.puzzle.solved</x:v>
      </x:c>
      <x:c r="S190" s="104" t="str">
        <x:v>Penalty: Ein gemeinsamer Startbuff entfällt</x:v>
      </x:c>
    </x:row>
    <x:row r="191" ht="74" customHeight="1">
      <x:c r="A191" s="101" t="str">
        <x:v>D1-Q16</x:v>
      </x:c>
      <x:c r="B191" s="101" t="str">
        <x:v>D1-Q16-S15</x:v>
      </x:c>
      <x:c r="C191" s="109" t="n">
        <x:v>15</x:v>
      </x:c>
      <x:c r="D191" s="101" t="str">
        <x:v>OBJECTIVE</x:v>
      </x:c>
      <x:c r="E191" s="101" t="str">
        <x:v>DEFEAT_ENEMY</x:v>
      </x:c>
      <x:c r="F191" s="101" t="str">
        <x:v>OBJECTIVE</x:v>
      </x:c>
      <x:c r="G191" s="101" t="str">
        <x:v>COMPLETE_ENCOUNTER</x:v>
      </x:c>
      <x:c r="H191" s="101" t="str">
        <x:v>TEAM</x:v>
      </x:c>
      <x:c r="I191" s="101" t="str">
        <x:v>place_day_1_monumento_ad_anita_garibaldi</x:v>
      </x:c>
      <x:c r="J191" s="101" t="str">
        <x:v>CP-QE-GARIBALDINO</x:v>
      </x:c>
      <x:c r="K191" s="101" t="str">
        <x:v>Garibaldino delle Mura bekämpfen.</x:v>
      </x:c>
      <x:c r="L191" s="101" t="str">
        <x:v>combatState == WON</x:v>
      </x:c>
      <x:c r="M191" s="101" t="str">
        <x:v>encounterComplete=true</x:v>
      </x:c>
      <x:c r="N191" s="101" t="str">
        <x:v>Quest bleibt aktiv; nach Team-Wipe Wiederbelebungsregeln.</x:v>
      </x:c>
      <x:c r="O191" s="101" t="str">
        <x:v>REQUIRED</x:v>
      </x:c>
      <x:c r="P191" s="101" t="str">
        <x:v>synthesisComplete</x:v>
      </x:c>
      <x:c r="Q191" s="101" t="str">
        <x:v>COMBAT</x:v>
      </x:c>
      <x:c r="R191" s="101" t="str">
        <x:v>quest.combat.completed</x:v>
      </x:c>
      <x:c r="S191" s="101" t="str">
        <x:v>QUEST_ENEMY ist teambezogen; kein normaler Respawn.</x:v>
      </x:c>
    </x:row>
    <x:row r="192" ht="74" customHeight="1">
      <x:c r="A192" s="104" t="str">
        <x:v>D1-Q16</x:v>
      </x:c>
      <x:c r="B192" s="104" t="str">
        <x:v>D1-Q16-S16</x:v>
      </x:c>
      <x:c r="C192" s="110" t="n">
        <x:v>16</x:v>
      </x:c>
      <x:c r="D192" s="104" t="str">
        <x:v>COMPLETE</x:v>
      </x:c>
      <x:c r="E192" s="104" t="str">
        <x:v>TALK_TO_NPC</x:v>
      </x:c>
      <x:c r="F192" s="104" t="str">
        <x:v>OBJECTIVE</x:v>
      </x:c>
      <x:c r="G192" s="104" t="str">
        <x:v>COMPLETE_DIALOGUE</x:v>
      </x:c>
      <x:c r="H192" s="104" t="str">
        <x:v>TEAM</x:v>
      </x:c>
      <x:c r="I192" s="104" t="str">
        <x:v>place_day_1_monumento_ad_anita_garibaldi</x:v>
      </x:c>
      <x:c r="J192" s="104" t="str">
        <x:v>D1-Q16-COMPLETE</x:v>
      </x:c>
      <x:c r="K192" s="104" t="str">
        <x:v>Abschlussdialog und Konsequenz anzeigen.</x:v>
      </x:c>
      <x:c r="L192" s="104" t="str">
        <x:v>dialogSequenceComplete('D1-Q16-COMPLETE')</x:v>
      </x:c>
      <x:c r="M192" s="104" t="str">
        <x:v>state=REWARD</x:v>
      </x:c>
      <x:c r="N192" s="104" t="str">
        <x:v>Dialog erneut öffnen.</x:v>
      </x:c>
      <x:c r="O192" s="104" t="str">
        <x:v>REQUIRED</x:v>
      </x:c>
      <x:c r="P192" s="104" t="str">
        <x:v>allRequiredObjectivesComplete</x:v>
      </x:c>
      <x:c r="Q192" s="104" t="str">
        <x:v>DIALOGUE</x:v>
      </x:c>
      <x:c r="R192" s="104" t="str">
        <x:v>quest.completed</x:v>
      </x:c>
      <x:c r="S192" s="104" t="str">
        <x:v>Abschluss erst serverseitig nach allen Pflichtschritten.</x:v>
      </x:c>
    </x:row>
    <x:row r="193" ht="74" customHeight="1">
      <x:c r="A193" s="101" t="str">
        <x:v>D1-Q16</x:v>
      </x:c>
      <x:c r="B193" s="101" t="str">
        <x:v>D1-Q16-S17</x:v>
      </x:c>
      <x:c r="C193" s="109" t="n">
        <x:v>17</x:v>
      </x:c>
      <x:c r="D193" s="101" t="str">
        <x:v>REWARD</x:v>
      </x:c>
      <x:c r="E193" s="101" t="str">
        <x:v>GRANT_REWARD</x:v>
      </x:c>
      <x:c r="F193" s="101" t="str">
        <x:v>SYSTEM_ACTION</x:v>
      </x:c>
      <x:c r="G193" s="101" t="str"/>
      <x:c r="H193" s="101" t="str">
        <x:v>TEAM</x:v>
      </x:c>
      <x:c r="I193" s="101" t="str"/>
      <x:c r="J193" s="101" t="str">
        <x:v>D1-Q16</x:v>
      </x:c>
      <x:c r="K193" s="101" t="str">
        <x:v>Atomare Vergabe von Ruhm, Denaren, Loot und Variantenbonus.</x:v>
      </x:c>
      <x:c r="L193" s="101" t="str">
        <x:v>rewardTransactionCommitted</x:v>
      </x:c>
      <x:c r="M193" s="101" t="str">
        <x:v>state=COMPLETED</x:v>
      </x:c>
      <x:c r="N193" s="101" t="str">
        <x:v>Idempotenter Retry mit gleicher rewardTransactionId.</x:v>
      </x:c>
      <x:c r="O193" s="101" t="str">
        <x:v>REQUIRED</x:v>
      </x:c>
      <x:c r="P193" s="101" t="str">
        <x:v>questComplete</x:v>
      </x:c>
      <x:c r="Q193" s="101" t="str">
        <x:v>REWARD</x:v>
      </x:c>
      <x:c r="R193" s="101" t="str">
        <x:v>quest.reward.granted</x:v>
      </x:c>
      <x:c r="S193" s="101" t="str">
        <x:v>Arbeitswerte aus Quest Master; finales Balancing separat.</x:v>
      </x:c>
    </x:row>
    <x:row r="194" ht="74" customHeight="1">
      <x:c r="A194" s="104" t="str">
        <x:v>D2-Q01</x:v>
      </x:c>
      <x:c r="B194" s="104" t="str">
        <x:v>D2-Q01-S01</x:v>
      </x:c>
      <x:c r="C194" s="110" t="n">
        <x:v>1</x:v>
      </x:c>
      <x:c r="D194" s="104" t="str">
        <x:v>DISCOVER</x:v>
      </x:c>
      <x:c r="E194" s="104" t="str">
        <x:v>DISCOVER_NPC</x:v>
      </x:c>
      <x:c r="F194" s="104" t="str">
        <x:v>FLOW_ACTION</x:v>
      </x:c>
      <x:c r="G194" s="104" t="str"/>
      <x:c r="H194" s="104" t="str">
        <x:v>TEAM</x:v>
      </x:c>
      <x:c r="I194" s="104" t="str">
        <x:v>place_day_2_piazza_del_campidoglio</x:v>
      </x:c>
      <x:c r="J194" s="104" t="str">
        <x:v>npc_michelangelo_campidoglio</x:v>
      </x:c>
      <x:c r="K194" s="104" t="str">
        <x:v>Entdeckt Michelangelo – missmutiger Platzgeist ab 55 m; Interaktion wird bei stabilem 15-m-Fix verfügbar.</x:v>
      </x:c>
      <x:c r="L194" s="104" t="str">
        <x:v>npcDiscovered &amp;&amp; interactionGateOpen</x:v>
      </x:c>
      <x:c r="M194" s="104" t="str">
        <x:v>state=DIALOGUE</x:v>
      </x:c>
      <x:c r="N194" s="104" t="str">
        <x:v>UI bleibt auf Karte; GPS-Hinweis anzeigen.</x:v>
      </x:c>
      <x:c r="O194" s="104" t="str">
        <x:v>REQUIRED</x:v>
      </x:c>
      <x:c r="P194" s="104" t="str"/>
      <x:c r="Q194" s="104" t="str">
        <x:v>MAP_OBJECT_SHEET</x:v>
      </x:c>
      <x:c r="R194" s="104" t="str">
        <x:v>quest.discovered</x:v>
      </x:c>
      <x:c r="S194" s="104" t="str">
        <x:v>15-m-Enter/25-m-Exit-Hysterese; serverautoritativ.</x:v>
      </x:c>
    </x:row>
    <x:row r="195" ht="74" customHeight="1">
      <x:c r="A195" s="101" t="str">
        <x:v>D2-Q01</x:v>
      </x:c>
      <x:c r="B195" s="101" t="str">
        <x:v>D2-Q01-S02</x:v>
      </x:c>
      <x:c r="C195" s="109" t="n">
        <x:v>2</x:v>
      </x:c>
      <x:c r="D195" s="101" t="str">
        <x:v>DIALOGUE</x:v>
      </x:c>
      <x:c r="E195" s="101" t="str">
        <x:v>TALK_TO_NPC</x:v>
      </x:c>
      <x:c r="F195" s="101" t="str">
        <x:v>OBJECTIVE</x:v>
      </x:c>
      <x:c r="G195" s="101" t="str">
        <x:v>COMPLETE_DIALOGUE</x:v>
      </x:c>
      <x:c r="H195" s="101" t="str">
        <x:v>TEAM</x:v>
      </x:c>
      <x:c r="I195" s="101" t="str">
        <x:v>place_day_2_piazza_del_campidoglio</x:v>
      </x:c>
      <x:c r="J195" s="101" t="str">
        <x:v>D2-Q01-OFFER</x:v>
      </x:c>
      <x:c r="K195" s="101" t="str">
        <x:v>Questangebot und erste Dialogoption anzeigen.</x:v>
      </x:c>
      <x:c r="L195" s="101" t="str">
        <x:v>dialogSequenceComplete('D2-Q01-OFFER')</x:v>
      </x:c>
      <x:c r="M195" s="101" t="str">
        <x:v>state=ACCEPT</x:v>
      </x:c>
      <x:c r="N195" s="101" t="str">
        <x:v>Dialog kann erneut geöffnet werden.</x:v>
      </x:c>
      <x:c r="O195" s="101" t="str">
        <x:v>REQUIRED</x:v>
      </x:c>
      <x:c r="P195" s="101" t="str"/>
      <x:c r="Q195" s="101" t="str">
        <x:v>DIALOGUE</x:v>
      </x:c>
      <x:c r="R195" s="101" t="str">
        <x:v>quest.dialogue.offer</x:v>
      </x:c>
      <x:c r="S195" s="101" t="str">
        <x:v>Teamentscheidung wird einmal serverseitig gespeichert.</x:v>
      </x:c>
    </x:row>
    <x:row r="196" ht="74" customHeight="1">
      <x:c r="A196" s="104" t="str">
        <x:v>D2-Q01</x:v>
      </x:c>
      <x:c r="B196" s="104" t="str">
        <x:v>D2-Q01-S03</x:v>
      </x:c>
      <x:c r="C196" s="110" t="n">
        <x:v>3</x:v>
      </x:c>
      <x:c r="D196" s="104" t="str">
        <x:v>ACCEPT</x:v>
      </x:c>
      <x:c r="E196" s="104" t="str">
        <x:v>ACCEPT_QUEST</x:v>
      </x:c>
      <x:c r="F196" s="104" t="str">
        <x:v>FLOW_ACTION</x:v>
      </x:c>
      <x:c r="G196" s="104" t="str"/>
      <x:c r="H196" s="104" t="str">
        <x:v>TEAM</x:v>
      </x:c>
      <x:c r="I196" s="104" t="str">
        <x:v>place_day_2_piazza_del_campidoglio</x:v>
      </x:c>
      <x:c r="J196" s="104" t="str">
        <x:v>D2-Q01</x:v>
      </x:c>
      <x:c r="K196" s="104" t="str">
        <x:v>Quest annehmen; Voraussetzungen, Slotwirkung und Fallback vor Bestätigung anzeigen.</x:v>
      </x:c>
      <x:c r="L196" s="104" t="str">
        <x:v>teamVoteResolved &amp;&amp; questSlotReserved</x:v>
      </x:c>
      <x:c r="M196" s="104" t="str">
        <x:v>state=OBJECTIVE</x:v>
      </x:c>
      <x:c r="N196" s="104" t="str">
        <x:v>Annahme abbrechbar; kein Slotverbrauch.</x:v>
      </x:c>
      <x:c r="O196" s="104" t="str">
        <x:v>REQUIRED</x:v>
      </x:c>
      <x:c r="P196" s="104" t="str"/>
      <x:c r="Q196" s="104" t="str">
        <x:v>QUEST_ACCEPT</x:v>
      </x:c>
      <x:c r="R196" s="104" t="str">
        <x:v>quest.accepted</x:v>
      </x:c>
      <x:c r="S196" s="104" t="str">
        <x:v>Maximal drei reguläre aktive Quests pro Team.</x:v>
      </x:c>
    </x:row>
    <x:row r="197" ht="74" customHeight="1">
      <x:c r="A197" s="101" t="str">
        <x:v>D2-Q01</x:v>
      </x:c>
      <x:c r="B197" s="101" t="str">
        <x:v>D2-Q01-S04</x:v>
      </x:c>
      <x:c r="C197" s="109" t="n">
        <x:v>4</x:v>
      </x:c>
      <x:c r="D197" s="101" t="str">
        <x:v>OBJECTIVE</x:v>
      </x:c>
      <x:c r="E197" s="101" t="str">
        <x:v>ANSWER_QUESTION</x:v>
      </x:c>
      <x:c r="F197" s="101" t="str">
        <x:v>OBJECTIVE</x:v>
      </x:c>
      <x:c r="G197" s="101" t="str">
        <x:v>SUBMIT_ANSWER</x:v>
      </x:c>
      <x:c r="H197" s="101" t="str">
        <x:v>TEAM</x:v>
      </x:c>
      <x:c r="I197" s="101" t="str">
        <x:v>place_day_2_piazza_del_campidoglio</x:v>
      </x:c>
      <x:c r="J197" s="101" t="str">
        <x:v>OBS-D2-Q01-1</x:v>
      </x:c>
      <x:c r="K197" s="101" t="str">
        <x:v>Das Stern-im-Oval-Muster des Kapitols erkennen. Frage: Welches geometrische Motiv prägt das Pflaster rund um die Reiterstatue?</x:v>
      </x:c>
      <x:c r="L197" s="101" t="str">
        <x:v>normalizedAnswer matches 'Ein Stern in einem Oval'</x:v>
      </x:c>
      <x:c r="M197" s="101" t="str">
        <x:v>stationComplete=true</x:v>
      </x:c>
      <x:c r="N197" s="101" t="str">
        <x:v>Hint 1 → Hint 2 → Fallback; Grundabschluss bleibt möglich.</x:v>
      </x:c>
      <x:c r="O197" s="101" t="str">
        <x:v>REQUIRED</x:v>
      </x:c>
      <x:c r="P197" s="101" t="str">
        <x:v>stationActive</x:v>
      </x:c>
      <x:c r="Q197" s="101" t="str">
        <x:v>OBSERVATION_INPUT</x:v>
      </x:c>
      <x:c r="R197" s="101" t="str">
        <x:v>quest.observation.answered</x:v>
      </x:c>
      <x:c r="S197" s="101" t="str">
        <x:v>Evidence: Großes hell-dunkles Sternoval im Pflaster um die Reiterstatue. | Ampel: GRUEN</x:v>
      </x:c>
    </x:row>
    <x:row r="198" ht="74" customHeight="1">
      <x:c r="A198" s="104" t="str">
        <x:v>D2-Q01</x:v>
      </x:c>
      <x:c r="B198" s="104" t="str">
        <x:v>D2-Q01-S05</x:v>
      </x:c>
      <x:c r="C198" s="110" t="n">
        <x:v>5</x:v>
      </x:c>
      <x:c r="D198" s="104" t="str">
        <x:v>OBJECTIVE</x:v>
      </x:c>
      <x:c r="E198" s="104" t="str">
        <x:v>REACH_LOCATION</x:v>
      </x:c>
      <x:c r="F198" s="104" t="str">
        <x:v>OBJECTIVE</x:v>
      </x:c>
      <x:c r="G198" s="104" t="str">
        <x:v>REACH_LOCATION</x:v>
      </x:c>
      <x:c r="H198" s="104" t="str">
        <x:v>TEAM</x:v>
      </x:c>
      <x:c r="I198" s="104" t="str">
        <x:v>place_day_2_giulio_cesare</x:v>
      </x:c>
      <x:c r="J198" s="104" t="str">
        <x:v>place_day_2_giulio_cesare</x:v>
      </x:c>
      <x:c r="K198" s="104" t="str">
        <x:v>Erreicht Giulio Cesare.</x:v>
      </x:c>
      <x:c r="L198" s="104" t="str">
        <x:v>teamMembersInRadius &gt;= 2 &amp;&amp; stableFixes &gt;= 2</x:v>
      </x:c>
      <x:c r="M198" s="104" t="str">
        <x:v>stationActive=true</x:v>
      </x:c>
      <x:c r="N198" s="104" t="str">
        <x:v>Hinweisleiter; Ziel bleibt offen.</x:v>
      </x:c>
      <x:c r="O198" s="104" t="str">
        <x:v>REQUIRED</x:v>
      </x:c>
      <x:c r="P198" s="104" t="str">
        <x:v>previousStepComplete</x:v>
      </x:c>
      <x:c r="Q198" s="104" t="str">
        <x:v>MAP_AND_QUEST</x:v>
      </x:c>
      <x:c r="R198" s="104" t="str">
        <x:v>quest.location.reached</x:v>
      </x:c>
      <x:c r="S198" s="104" t="str">
        <x:v>Standard 15-m-Zielradius; keine Innen-/Eintrittspflicht.</x:v>
      </x:c>
    </x:row>
    <x:row r="199" ht="74" customHeight="1">
      <x:c r="A199" s="101" t="str">
        <x:v>D2-Q01</x:v>
      </x:c>
      <x:c r="B199" s="101" t="str">
        <x:v>D2-Q01-S06</x:v>
      </x:c>
      <x:c r="C199" s="109" t="n">
        <x:v>6</x:v>
      </x:c>
      <x:c r="D199" s="101" t="str">
        <x:v>OBJECTIVE</x:v>
      </x:c>
      <x:c r="E199" s="101" t="str">
        <x:v>ANSWER_QUESTION</x:v>
      </x:c>
      <x:c r="F199" s="101" t="str">
        <x:v>OBJECTIVE</x:v>
      </x:c>
      <x:c r="G199" s="101" t="str">
        <x:v>SUBMIT_ANSWER</x:v>
      </x:c>
      <x:c r="H199" s="101" t="str">
        <x:v>TEAM</x:v>
      </x:c>
      <x:c r="I199" s="101" t="str">
        <x:v>place_day_2_giulio_cesare</x:v>
      </x:c>
      <x:c r="J199" s="101" t="str">
        <x:v>OBS-D2-Q01-2</x:v>
      </x:c>
      <x:c r="K199" s="101" t="str">
        <x:v>Die Caesarfigur identifizieren und beide Zeichen den Bedeutungen zuordnen. Frage: Welchen Gegenstand hält Caesar in der linken Hand?</x:v>
      </x:c>
      <x:c r="L199" s="101" t="str">
        <x:v>normalizedAnswer matches 'Eine Schriftrolle'</x:v>
      </x:c>
      <x:c r="M199" s="101" t="str">
        <x:v>stationComplete=true</x:v>
      </x:c>
      <x:c r="N199" s="101" t="str">
        <x:v>Hint 1 → Hint 2 → Fallback; Grundabschluss bleibt möglich.</x:v>
      </x:c>
      <x:c r="O199" s="101" t="str">
        <x:v>REQUIRED</x:v>
      </x:c>
      <x:c r="P199" s="101" t="str">
        <x:v>stationActive</x:v>
      </x:c>
      <x:c r="Q199" s="101" t="str">
        <x:v>OBSERVATION_INPUT</x:v>
      </x:c>
      <x:c r="R199" s="101" t="str">
        <x:v>quest.observation.answered</x:v>
      </x:c>
      <x:c r="S199" s="101" t="str">
        <x:v>Evidence: Lebensgroße Bronze mit deutlich sichtbarer Schriftrolle in der linken Hand. | Ampel: GELB</x:v>
      </x:c>
    </x:row>
    <x:row r="200" ht="74" customHeight="1">
      <x:c r="A200" s="104" t="str">
        <x:v>D2-Q01</x:v>
      </x:c>
      <x:c r="B200" s="104" t="str">
        <x:v>D2-Q01-S07</x:v>
      </x:c>
      <x:c r="C200" s="110" t="n">
        <x:v>7</x:v>
      </x:c>
      <x:c r="D200" s="104" t="str">
        <x:v>OBJECTIVE</x:v>
      </x:c>
      <x:c r="E200" s="104" t="str">
        <x:v>SOLVE_PUZZLE</x:v>
      </x:c>
      <x:c r="F200" s="104" t="str">
        <x:v>OBJECTIVE</x:v>
      </x:c>
      <x:c r="G200" s="104" t="str">
        <x:v>SUBMIT_ANSWER</x:v>
      </x:c>
      <x:c r="H200" s="104" t="str">
        <x:v>TEAM</x:v>
      </x:c>
      <x:c r="I200" s="104" t="str">
        <x:v>place_day_2_giulio_cesare</x:v>
      </x:c>
      <x:c r="J200" s="104" t="str">
        <x:v>PZ-D2-Q01</x:v>
      </x:c>
      <x:c r="K200" s="104" t="str">
        <x:v>Welche Zuordnung ist am überzeugendsten?</x:v>
      </x:c>
      <x:c r="L200" s="104" t="str">
        <x:v>puzzleResult == CORRECT</x:v>
      </x:c>
      <x:c r="M200" s="104" t="str">
        <x:v>synthesisComplete=true</x:v>
      </x:c>
      <x:c r="N200" s="104" t="str">
        <x:v>Nur das Stern-im-Oval-Muster verwenden.</x:v>
      </x:c>
      <x:c r="O200" s="104" t="str">
        <x:v>REQUIRED</x:v>
      </x:c>
      <x:c r="P200" s="104" t="str">
        <x:v>allRequiredStationsComplete</x:v>
      </x:c>
      <x:c r="Q200" s="104" t="str">
        <x:v>PUZZLE</x:v>
      </x:c>
      <x:c r="R200" s="104" t="str">
        <x:v>quest.puzzle.solved</x:v>
      </x:c>
      <x:c r="S200" s="104" t="str">
        <x:v>Penalty: Dialogbonus entfällt</x:v>
      </x:c>
    </x:row>
    <x:row r="201" ht="74" customHeight="1">
      <x:c r="A201" s="101" t="str">
        <x:v>D2-Q01</x:v>
      </x:c>
      <x:c r="B201" s="101" t="str">
        <x:v>D2-Q01-S08</x:v>
      </x:c>
      <x:c r="C201" s="109" t="n">
        <x:v>8</x:v>
      </x:c>
      <x:c r="D201" s="101" t="str">
        <x:v>COMPLETE</x:v>
      </x:c>
      <x:c r="E201" s="101" t="str">
        <x:v>TALK_TO_NPC</x:v>
      </x:c>
      <x:c r="F201" s="101" t="str">
        <x:v>OBJECTIVE</x:v>
      </x:c>
      <x:c r="G201" s="101" t="str">
        <x:v>COMPLETE_DIALOGUE</x:v>
      </x:c>
      <x:c r="H201" s="101" t="str">
        <x:v>TEAM</x:v>
      </x:c>
      <x:c r="I201" s="101" t="str">
        <x:v>place_day_2_giulio_cesare</x:v>
      </x:c>
      <x:c r="J201" s="101" t="str">
        <x:v>D2-Q01-COMPLETE</x:v>
      </x:c>
      <x:c r="K201" s="101" t="str">
        <x:v>Abschlussdialog und Konsequenz anzeigen.</x:v>
      </x:c>
      <x:c r="L201" s="101" t="str">
        <x:v>dialogSequenceComplete('D2-Q01-COMPLETE')</x:v>
      </x:c>
      <x:c r="M201" s="101" t="str">
        <x:v>state=REWARD</x:v>
      </x:c>
      <x:c r="N201" s="101" t="str">
        <x:v>Dialog erneut öffnen.</x:v>
      </x:c>
      <x:c r="O201" s="101" t="str">
        <x:v>REQUIRED</x:v>
      </x:c>
      <x:c r="P201" s="101" t="str">
        <x:v>allRequiredObjectivesComplete</x:v>
      </x:c>
      <x:c r="Q201" s="101" t="str">
        <x:v>DIALOGUE</x:v>
      </x:c>
      <x:c r="R201" s="101" t="str">
        <x:v>quest.completed</x:v>
      </x:c>
      <x:c r="S201" s="101" t="str">
        <x:v>Abschluss erst serverseitig nach allen Pflichtschritten.</x:v>
      </x:c>
    </x:row>
    <x:row r="202" ht="74" customHeight="1">
      <x:c r="A202" s="104" t="str">
        <x:v>D2-Q01</x:v>
      </x:c>
      <x:c r="B202" s="104" t="str">
        <x:v>D2-Q01-S09</x:v>
      </x:c>
      <x:c r="C202" s="110" t="n">
        <x:v>9</x:v>
      </x:c>
      <x:c r="D202" s="104" t="str">
        <x:v>REWARD</x:v>
      </x:c>
      <x:c r="E202" s="104" t="str">
        <x:v>GRANT_REWARD</x:v>
      </x:c>
      <x:c r="F202" s="104" t="str">
        <x:v>SYSTEM_ACTION</x:v>
      </x:c>
      <x:c r="G202" s="104" t="str"/>
      <x:c r="H202" s="104" t="str">
        <x:v>TEAM</x:v>
      </x:c>
      <x:c r="I202" s="104" t="str"/>
      <x:c r="J202" s="104" t="str">
        <x:v>D2-Q01</x:v>
      </x:c>
      <x:c r="K202" s="104" t="str">
        <x:v>Atomare Vergabe von Ruhm, Denaren, Loot und Variantenbonus.</x:v>
      </x:c>
      <x:c r="L202" s="104" t="str">
        <x:v>rewardTransactionCommitted</x:v>
      </x:c>
      <x:c r="M202" s="104" t="str">
        <x:v>state=COMPLETED</x:v>
      </x:c>
      <x:c r="N202" s="104" t="str">
        <x:v>Idempotenter Retry mit gleicher rewardTransactionId.</x:v>
      </x:c>
      <x:c r="O202" s="104" t="str">
        <x:v>REQUIRED</x:v>
      </x:c>
      <x:c r="P202" s="104" t="str">
        <x:v>questComplete</x:v>
      </x:c>
      <x:c r="Q202" s="104" t="str">
        <x:v>REWARD</x:v>
      </x:c>
      <x:c r="R202" s="104" t="str">
        <x:v>quest.reward.granted</x:v>
      </x:c>
      <x:c r="S202" s="104" t="str">
        <x:v>Arbeitswerte aus Quest Master; finales Balancing separat.</x:v>
      </x:c>
    </x:row>
    <x:row r="203" ht="74" customHeight="1">
      <x:c r="A203" s="101" t="str">
        <x:v>D2-Q02</x:v>
      </x:c>
      <x:c r="B203" s="101" t="str">
        <x:v>D2-Q02-S01</x:v>
      </x:c>
      <x:c r="C203" s="109" t="n">
        <x:v>1</x:v>
      </x:c>
      <x:c r="D203" s="101" t="str">
        <x:v>DISCOVER</x:v>
      </x:c>
      <x:c r="E203" s="101" t="str">
        <x:v>DISCOVER_NPC</x:v>
      </x:c>
      <x:c r="F203" s="101" t="str">
        <x:v>FLOW_ACTION</x:v>
      </x:c>
      <x:c r="G203" s="101" t="str"/>
      <x:c r="H203" s="101" t="str">
        <x:v>TEAM</x:v>
      </x:c>
      <x:c r="I203" s="101" t="str">
        <x:v>place_day_2_altare_della_patria</x:v>
      </x:c>
      <x:c r="J203" s="101" t="str">
        <x:v>npc_vittoria_alata</x:v>
      </x:c>
      <x:c r="K203" s="101" t="str">
        <x:v>Entdeckt Vittoria Alata ab 55 m; Interaktion wird bei stabilem 15-m-Fix verfügbar.</x:v>
      </x:c>
      <x:c r="L203" s="101" t="str">
        <x:v>npcDiscovered &amp;&amp; interactionGateOpen</x:v>
      </x:c>
      <x:c r="M203" s="101" t="str">
        <x:v>state=DIALOGUE</x:v>
      </x:c>
      <x:c r="N203" s="101" t="str">
        <x:v>UI bleibt auf Karte; GPS-Hinweis anzeigen.</x:v>
      </x:c>
      <x:c r="O203" s="101" t="str">
        <x:v>REQUIRED</x:v>
      </x:c>
      <x:c r="P203" s="101" t="str"/>
      <x:c r="Q203" s="101" t="str">
        <x:v>MAP_OBJECT_SHEET</x:v>
      </x:c>
      <x:c r="R203" s="101" t="str">
        <x:v>quest.discovered</x:v>
      </x:c>
      <x:c r="S203" s="101" t="str">
        <x:v>15-m-Enter/25-m-Exit-Hysterese; serverautoritativ.</x:v>
      </x:c>
    </x:row>
    <x:row r="204" ht="74" customHeight="1">
      <x:c r="A204" s="104" t="str">
        <x:v>D2-Q02</x:v>
      </x:c>
      <x:c r="B204" s="104" t="str">
        <x:v>D2-Q02-S02</x:v>
      </x:c>
      <x:c r="C204" s="110" t="n">
        <x:v>2</x:v>
      </x:c>
      <x:c r="D204" s="104" t="str">
        <x:v>DIALOGUE</x:v>
      </x:c>
      <x:c r="E204" s="104" t="str">
        <x:v>TALK_TO_NPC</x:v>
      </x:c>
      <x:c r="F204" s="104" t="str">
        <x:v>OBJECTIVE</x:v>
      </x:c>
      <x:c r="G204" s="104" t="str">
        <x:v>COMPLETE_DIALOGUE</x:v>
      </x:c>
      <x:c r="H204" s="104" t="str">
        <x:v>TEAM</x:v>
      </x:c>
      <x:c r="I204" s="104" t="str">
        <x:v>place_day_2_altare_della_patria</x:v>
      </x:c>
      <x:c r="J204" s="104" t="str">
        <x:v>D2-Q02-OFFER</x:v>
      </x:c>
      <x:c r="K204" s="104" t="str">
        <x:v>Questangebot und erste Dialogoption anzeigen.</x:v>
      </x:c>
      <x:c r="L204" s="104" t="str">
        <x:v>dialogSequenceComplete('D2-Q02-OFFER')</x:v>
      </x:c>
      <x:c r="M204" s="104" t="str">
        <x:v>state=ACCEPT</x:v>
      </x:c>
      <x:c r="N204" s="104" t="str">
        <x:v>Dialog kann erneut geöffnet werden.</x:v>
      </x:c>
      <x:c r="O204" s="104" t="str">
        <x:v>REQUIRED</x:v>
      </x:c>
      <x:c r="P204" s="104" t="str"/>
      <x:c r="Q204" s="104" t="str">
        <x:v>DIALOGUE</x:v>
      </x:c>
      <x:c r="R204" s="104" t="str">
        <x:v>quest.dialogue.offer</x:v>
      </x:c>
      <x:c r="S204" s="104" t="str">
        <x:v>Teamentscheidung wird einmal serverseitig gespeichert.</x:v>
      </x:c>
    </x:row>
    <x:row r="205" ht="74" customHeight="1">
      <x:c r="A205" s="101" t="str">
        <x:v>D2-Q02</x:v>
      </x:c>
      <x:c r="B205" s="101" t="str">
        <x:v>D2-Q02-S03</x:v>
      </x:c>
      <x:c r="C205" s="109" t="n">
        <x:v>3</x:v>
      </x:c>
      <x:c r="D205" s="101" t="str">
        <x:v>ACCEPT</x:v>
      </x:c>
      <x:c r="E205" s="101" t="str">
        <x:v>ACCEPT_QUEST</x:v>
      </x:c>
      <x:c r="F205" s="101" t="str">
        <x:v>FLOW_ACTION</x:v>
      </x:c>
      <x:c r="G205" s="101" t="str"/>
      <x:c r="H205" s="101" t="str">
        <x:v>TEAM</x:v>
      </x:c>
      <x:c r="I205" s="101" t="str">
        <x:v>place_day_2_altare_della_patria</x:v>
      </x:c>
      <x:c r="J205" s="101" t="str">
        <x:v>D2-Q02</x:v>
      </x:c>
      <x:c r="K205" s="101" t="str">
        <x:v>Quest annehmen; Voraussetzungen, Slotwirkung und Fallback vor Bestätigung anzeigen.</x:v>
      </x:c>
      <x:c r="L205" s="101" t="str">
        <x:v>teamVoteResolved &amp;&amp; questSlotReserved</x:v>
      </x:c>
      <x:c r="M205" s="101" t="str">
        <x:v>state=OBJECTIVE</x:v>
      </x:c>
      <x:c r="N205" s="101" t="str">
        <x:v>Annahme abbrechbar; kein Slotverbrauch.</x:v>
      </x:c>
      <x:c r="O205" s="101" t="str">
        <x:v>REQUIRED</x:v>
      </x:c>
      <x:c r="P205" s="101" t="str"/>
      <x:c r="Q205" s="101" t="str">
        <x:v>QUEST_ACCEPT</x:v>
      </x:c>
      <x:c r="R205" s="101" t="str">
        <x:v>quest.accepted</x:v>
      </x:c>
      <x:c r="S205" s="101" t="str">
        <x:v>Maximal drei reguläre aktive Quests pro Team.</x:v>
      </x:c>
    </x:row>
    <x:row r="206" ht="74" customHeight="1">
      <x:c r="A206" s="104" t="str">
        <x:v>D2-Q02</x:v>
      </x:c>
      <x:c r="B206" s="104" t="str">
        <x:v>D2-Q02-S04</x:v>
      </x:c>
      <x:c r="C206" s="110" t="n">
        <x:v>4</x:v>
      </x:c>
      <x:c r="D206" s="104" t="str">
        <x:v>OBJECTIVE</x:v>
      </x:c>
      <x:c r="E206" s="104" t="str">
        <x:v>ANSWER_QUESTION</x:v>
      </x:c>
      <x:c r="F206" s="104" t="str">
        <x:v>OBJECTIVE</x:v>
      </x:c>
      <x:c r="G206" s="104" t="str">
        <x:v>SUBMIT_ANSWER</x:v>
      </x:c>
      <x:c r="H206" s="104" t="str">
        <x:v>TEAM</x:v>
      </x:c>
      <x:c r="I206" s="104" t="str">
        <x:v>place_day_2_altare_della_patria</x:v>
      </x:c>
      <x:c r="J206" s="104" t="str">
        <x:v>OBS-D2-Q02-1</x:v>
      </x:c>
      <x:c r="K206" s="104" t="str">
        <x:v>Die zwei monumentalen Quadrigen an den oberen Enden zählen und das Denkmal dem modernen Nationalstaat zuordnen. Frage: Wie viele große Quadrigen stehen auf den beiden oberen Enden des Nationaldenkmals?</x:v>
      </x:c>
      <x:c r="L206" s="104" t="str">
        <x:v>normalizedAnswer matches 'Zwei'</x:v>
      </x:c>
      <x:c r="M206" s="104" t="str">
        <x:v>stationComplete=true</x:v>
      </x:c>
      <x:c r="N206" s="104" t="str">
        <x:v>Hint 1 → Hint 2 → Fallback; Grundabschluss bleibt möglich.</x:v>
      </x:c>
      <x:c r="O206" s="104" t="str">
        <x:v>REQUIRED</x:v>
      </x:c>
      <x:c r="P206" s="104" t="str">
        <x:v>stationActive</x:v>
      </x:c>
      <x:c r="Q206" s="104" t="str">
        <x:v>OBSERVATION_INPUT</x:v>
      </x:c>
      <x:c r="R206" s="104" t="str">
        <x:v>quest.observation.answered</x:v>
      </x:c>
      <x:c r="S206" s="104" t="str">
        <x:v>Evidence: Zwei monumentale Quadrigen auf den oberen Enden des Bauwerks. | Ampel: GRUEN</x:v>
      </x:c>
    </x:row>
    <x:row r="207" ht="74" customHeight="1">
      <x:c r="A207" s="101" t="str">
        <x:v>D2-Q02</x:v>
      </x:c>
      <x:c r="B207" s="101" t="str">
        <x:v>D2-Q02-S05</x:v>
      </x:c>
      <x:c r="C207" s="109" t="n">
        <x:v>5</x:v>
      </x:c>
      <x:c r="D207" s="101" t="str">
        <x:v>OBJECTIVE</x:v>
      </x:c>
      <x:c r="E207" s="101" t="str">
        <x:v>SOLVE_PUZZLE</x:v>
      </x:c>
      <x:c r="F207" s="101" t="str">
        <x:v>OBJECTIVE</x:v>
      </x:c>
      <x:c r="G207" s="101" t="str">
        <x:v>SUBMIT_ANSWER</x:v>
      </x:c>
      <x:c r="H207" s="101" t="str">
        <x:v>TEAM</x:v>
      </x:c>
      <x:c r="I207" s="101" t="str">
        <x:v>place_day_2_altare_della_patria</x:v>
      </x:c>
      <x:c r="J207" s="101" t="str">
        <x:v>PZ-D2-Q02</x:v>
      </x:c>
      <x:c r="K207" s="101" t="str">
        <x:v>Wie viele monumentale Quadrigen krönen das Denkmal?</x:v>
      </x:c>
      <x:c r="L207" s="101" t="str">
        <x:v>puzzleResult == CORRECT</x:v>
      </x:c>
      <x:c r="M207" s="101" t="str">
        <x:v>synthesisComplete=true</x:v>
      </x:c>
      <x:c r="N207" s="101" t="str">
        <x:v>Zentrale Reiterfigur statt Dachdetails bestätigen.</x:v>
      </x:c>
      <x:c r="O207" s="101" t="str">
        <x:v>REQUIRED</x:v>
      </x:c>
      <x:c r="P207" s="101" t="str">
        <x:v>allRequiredStationsComplete</x:v>
      </x:c>
      <x:c r="Q207" s="101" t="str">
        <x:v>PUZZLE</x:v>
      </x:c>
      <x:c r="R207" s="101" t="str">
        <x:v>quest.puzzle.solved</x:v>
      </x:c>
      <x:c r="S207" s="101" t="str">
        <x:v>Penalty: Schnellbonus entfällt</x:v>
      </x:c>
    </x:row>
    <x:row r="208" ht="74" customHeight="1">
      <x:c r="A208" s="104" t="str">
        <x:v>D2-Q02</x:v>
      </x:c>
      <x:c r="B208" s="104" t="str">
        <x:v>D2-Q02-S06</x:v>
      </x:c>
      <x:c r="C208" s="110" t="n">
        <x:v>6</x:v>
      </x:c>
      <x:c r="D208" s="104" t="str">
        <x:v>COMPLETE</x:v>
      </x:c>
      <x:c r="E208" s="104" t="str">
        <x:v>TALK_TO_NPC</x:v>
      </x:c>
      <x:c r="F208" s="104" t="str">
        <x:v>OBJECTIVE</x:v>
      </x:c>
      <x:c r="G208" s="104" t="str">
        <x:v>COMPLETE_DIALOGUE</x:v>
      </x:c>
      <x:c r="H208" s="104" t="str">
        <x:v>TEAM</x:v>
      </x:c>
      <x:c r="I208" s="104" t="str">
        <x:v>place_day_2_altare_della_patria</x:v>
      </x:c>
      <x:c r="J208" s="104" t="str">
        <x:v>D2-Q02-COMPLETE</x:v>
      </x:c>
      <x:c r="K208" s="104" t="str">
        <x:v>Abschlussdialog und Konsequenz anzeigen.</x:v>
      </x:c>
      <x:c r="L208" s="104" t="str">
        <x:v>dialogSequenceComplete('D2-Q02-COMPLETE')</x:v>
      </x:c>
      <x:c r="M208" s="104" t="str">
        <x:v>state=REWARD</x:v>
      </x:c>
      <x:c r="N208" s="104" t="str">
        <x:v>Dialog erneut öffnen.</x:v>
      </x:c>
      <x:c r="O208" s="104" t="str">
        <x:v>REQUIRED</x:v>
      </x:c>
      <x:c r="P208" s="104" t="str">
        <x:v>allRequiredObjectivesComplete</x:v>
      </x:c>
      <x:c r="Q208" s="104" t="str">
        <x:v>DIALOGUE</x:v>
      </x:c>
      <x:c r="R208" s="104" t="str">
        <x:v>quest.completed</x:v>
      </x:c>
      <x:c r="S208" s="104" t="str">
        <x:v>Abschluss erst serverseitig nach allen Pflichtschritten.</x:v>
      </x:c>
    </x:row>
    <x:row r="209" ht="74" customHeight="1">
      <x:c r="A209" s="101" t="str">
        <x:v>D2-Q02</x:v>
      </x:c>
      <x:c r="B209" s="101" t="str">
        <x:v>D2-Q02-S07</x:v>
      </x:c>
      <x:c r="C209" s="109" t="n">
        <x:v>7</x:v>
      </x:c>
      <x:c r="D209" s="101" t="str">
        <x:v>REWARD</x:v>
      </x:c>
      <x:c r="E209" s="101" t="str">
        <x:v>GRANT_REWARD</x:v>
      </x:c>
      <x:c r="F209" s="101" t="str">
        <x:v>SYSTEM_ACTION</x:v>
      </x:c>
      <x:c r="G209" s="101" t="str"/>
      <x:c r="H209" s="101" t="str">
        <x:v>TEAM</x:v>
      </x:c>
      <x:c r="I209" s="101" t="str"/>
      <x:c r="J209" s="101" t="str">
        <x:v>D2-Q02</x:v>
      </x:c>
      <x:c r="K209" s="101" t="str">
        <x:v>Atomare Vergabe von Ruhm, Denaren, Loot und Variantenbonus.</x:v>
      </x:c>
      <x:c r="L209" s="101" t="str">
        <x:v>rewardTransactionCommitted</x:v>
      </x:c>
      <x:c r="M209" s="101" t="str">
        <x:v>state=COMPLETED</x:v>
      </x:c>
      <x:c r="N209" s="101" t="str">
        <x:v>Idempotenter Retry mit gleicher rewardTransactionId.</x:v>
      </x:c>
      <x:c r="O209" s="101" t="str">
        <x:v>REQUIRED</x:v>
      </x:c>
      <x:c r="P209" s="101" t="str">
        <x:v>questComplete</x:v>
      </x:c>
      <x:c r="Q209" s="101" t="str">
        <x:v>REWARD</x:v>
      </x:c>
      <x:c r="R209" s="101" t="str">
        <x:v>quest.reward.granted</x:v>
      </x:c>
      <x:c r="S209" s="101" t="str">
        <x:v>Arbeitswerte aus Quest Master; finales Balancing separat.</x:v>
      </x:c>
    </x:row>
    <x:row r="210" ht="74" customHeight="1">
      <x:c r="A210" s="104" t="str">
        <x:v>D2-Q03</x:v>
      </x:c>
      <x:c r="B210" s="104" t="str">
        <x:v>D2-Q03-S01</x:v>
      </x:c>
      <x:c r="C210" s="110" t="n">
        <x:v>1</x:v>
      </x:c>
      <x:c r="D210" s="104" t="str">
        <x:v>DISCOVER</x:v>
      </x:c>
      <x:c r="E210" s="104" t="str">
        <x:v>DISCOVER_NPC</x:v>
      </x:c>
      <x:c r="F210" s="104" t="str">
        <x:v>FLOW_ACTION</x:v>
      </x:c>
      <x:c r="G210" s="104" t="str"/>
      <x:c r="H210" s="104" t="str">
        <x:v>TEAM</x:v>
      </x:c>
      <x:c r="I210" s="104" t="str">
        <x:v>place_day_2_arco_di_costantino</x:v>
      </x:c>
      <x:c r="J210" s="104" t="str">
        <x:v>npc_lanista_felix</x:v>
      </x:c>
      <x:c r="K210" s="104" t="str">
        <x:v>Entdeckt Lanista Felix ab 55 m; Interaktion wird bei stabilem 15-m-Fix verfügbar.</x:v>
      </x:c>
      <x:c r="L210" s="104" t="str">
        <x:v>npcDiscovered &amp;&amp; interactionGateOpen</x:v>
      </x:c>
      <x:c r="M210" s="104" t="str">
        <x:v>state=DIALOGUE</x:v>
      </x:c>
      <x:c r="N210" s="104" t="str">
        <x:v>UI bleibt auf Karte; GPS-Hinweis anzeigen.</x:v>
      </x:c>
      <x:c r="O210" s="104" t="str">
        <x:v>REQUIRED</x:v>
      </x:c>
      <x:c r="P210" s="104" t="str"/>
      <x:c r="Q210" s="104" t="str">
        <x:v>MAP_OBJECT_SHEET</x:v>
      </x:c>
      <x:c r="R210" s="104" t="str">
        <x:v>quest.discovered</x:v>
      </x:c>
      <x:c r="S210" s="104" t="str">
        <x:v>15-m-Enter/25-m-Exit-Hysterese; serverautoritativ.</x:v>
      </x:c>
    </x:row>
    <x:row r="211" ht="74" customHeight="1">
      <x:c r="A211" s="101" t="str">
        <x:v>D2-Q03</x:v>
      </x:c>
      <x:c r="B211" s="101" t="str">
        <x:v>D2-Q03-S02</x:v>
      </x:c>
      <x:c r="C211" s="109" t="n">
        <x:v>2</x:v>
      </x:c>
      <x:c r="D211" s="101" t="str">
        <x:v>DIALOGUE</x:v>
      </x:c>
      <x:c r="E211" s="101" t="str">
        <x:v>TALK_TO_NPC</x:v>
      </x:c>
      <x:c r="F211" s="101" t="str">
        <x:v>OBJECTIVE</x:v>
      </x:c>
      <x:c r="G211" s="101" t="str">
        <x:v>COMPLETE_DIALOGUE</x:v>
      </x:c>
      <x:c r="H211" s="101" t="str">
        <x:v>TEAM</x:v>
      </x:c>
      <x:c r="I211" s="101" t="str">
        <x:v>place_day_2_arco_di_costantino</x:v>
      </x:c>
      <x:c r="J211" s="101" t="str">
        <x:v>D2-Q03-OFFER</x:v>
      </x:c>
      <x:c r="K211" s="101" t="str">
        <x:v>Questangebot und erste Dialogoption anzeigen.</x:v>
      </x:c>
      <x:c r="L211" s="101" t="str">
        <x:v>dialogSequenceComplete('D2-Q03-OFFER')</x:v>
      </x:c>
      <x:c r="M211" s="101" t="str">
        <x:v>state=ACCEPT</x:v>
      </x:c>
      <x:c r="N211" s="101" t="str">
        <x:v>Dialog kann erneut geöffnet werden.</x:v>
      </x:c>
      <x:c r="O211" s="101" t="str">
        <x:v>REQUIRED</x:v>
      </x:c>
      <x:c r="P211" s="101" t="str"/>
      <x:c r="Q211" s="101" t="str">
        <x:v>DIALOGUE</x:v>
      </x:c>
      <x:c r="R211" s="101" t="str">
        <x:v>quest.dialogue.offer</x:v>
      </x:c>
      <x:c r="S211" s="101" t="str">
        <x:v>Teamentscheidung wird einmal serverseitig gespeichert.</x:v>
      </x:c>
    </x:row>
    <x:row r="212" ht="74" customHeight="1">
      <x:c r="A212" s="104" t="str">
        <x:v>D2-Q03</x:v>
      </x:c>
      <x:c r="B212" s="104" t="str">
        <x:v>D2-Q03-S03</x:v>
      </x:c>
      <x:c r="C212" s="110" t="n">
        <x:v>3</x:v>
      </x:c>
      <x:c r="D212" s="104" t="str">
        <x:v>ACCEPT</x:v>
      </x:c>
      <x:c r="E212" s="104" t="str">
        <x:v>ACCEPT_QUEST</x:v>
      </x:c>
      <x:c r="F212" s="104" t="str">
        <x:v>FLOW_ACTION</x:v>
      </x:c>
      <x:c r="G212" s="104" t="str"/>
      <x:c r="H212" s="104" t="str">
        <x:v>TEAM</x:v>
      </x:c>
      <x:c r="I212" s="104" t="str">
        <x:v>place_day_2_arco_di_costantino</x:v>
      </x:c>
      <x:c r="J212" s="104" t="str">
        <x:v>D2-Q03</x:v>
      </x:c>
      <x:c r="K212" s="104" t="str">
        <x:v>Quest annehmen; Voraussetzungen, Slotwirkung und Fallback vor Bestätigung anzeigen.</x:v>
      </x:c>
      <x:c r="L212" s="104" t="str">
        <x:v>teamVoteResolved &amp;&amp; questSlotReserved</x:v>
      </x:c>
      <x:c r="M212" s="104" t="str">
        <x:v>state=OBJECTIVE</x:v>
      </x:c>
      <x:c r="N212" s="104" t="str">
        <x:v>Annahme abbrechbar; kein Slotverbrauch.</x:v>
      </x:c>
      <x:c r="O212" s="104" t="str">
        <x:v>REQUIRED</x:v>
      </x:c>
      <x:c r="P212" s="104" t="str"/>
      <x:c r="Q212" s="104" t="str">
        <x:v>QUEST_ACCEPT</x:v>
      </x:c>
      <x:c r="R212" s="104" t="str">
        <x:v>quest.accepted</x:v>
      </x:c>
      <x:c r="S212" s="104" t="str">
        <x:v>Maximal drei reguläre aktive Quests pro Team.</x:v>
      </x:c>
    </x:row>
    <x:row r="213" ht="74" customHeight="1">
      <x:c r="A213" s="101" t="str">
        <x:v>D2-Q03</x:v>
      </x:c>
      <x:c r="B213" s="101" t="str">
        <x:v>D2-Q03-S04</x:v>
      </x:c>
      <x:c r="C213" s="109" t="n">
        <x:v>4</x:v>
      </x:c>
      <x:c r="D213" s="101" t="str">
        <x:v>OBJECTIVE</x:v>
      </x:c>
      <x:c r="E213" s="101" t="str">
        <x:v>ANSWER_QUESTION</x:v>
      </x:c>
      <x:c r="F213" s="101" t="str">
        <x:v>OBJECTIVE</x:v>
      </x:c>
      <x:c r="G213" s="101" t="str">
        <x:v>SUBMIT_ANSWER</x:v>
      </x:c>
      <x:c r="H213" s="101" t="str">
        <x:v>TEAM</x:v>
      </x:c>
      <x:c r="I213" s="101" t="str">
        <x:v>place_day_2_arco_di_costantino</x:v>
      </x:c>
      <x:c r="J213" s="101" t="str">
        <x:v>OBS-D2-Q03-1</x:v>
      </x:c>
      <x:c r="K213" s="101" t="str">
        <x:v>Die großen Durchgänge des Konstantinsbogens erfassen. Frage: Wie viele Durchgänge besitzt der Konstantinsbogen?</x:v>
      </x:c>
      <x:c r="L213" s="101" t="str">
        <x:v>normalizedAnswer matches 'Drei'</x:v>
      </x:c>
      <x:c r="M213" s="101" t="str">
        <x:v>stationComplete=true</x:v>
      </x:c>
      <x:c r="N213" s="101" t="str">
        <x:v>Hint 1 → Hint 2 → Fallback; Grundabschluss bleibt möglich.</x:v>
      </x:c>
      <x:c r="O213" s="101" t="str">
        <x:v>REQUIRED</x:v>
      </x:c>
      <x:c r="P213" s="101" t="str">
        <x:v>stationActive</x:v>
      </x:c>
      <x:c r="Q213" s="101" t="str">
        <x:v>OBSERVATION_INPUT</x:v>
      </x:c>
      <x:c r="R213" s="101" t="str">
        <x:v>quest.observation.answered</x:v>
      </x:c>
      <x:c r="S213" s="101" t="str">
        <x:v>Evidence: Drei monumentale Durchgänge, vom öffentlichen Bereich beim Kolosseum sichtbar. | Ampel: GRUEN</x:v>
      </x:c>
    </x:row>
    <x:row r="214" ht="74" customHeight="1">
      <x:c r="A214" s="104" t="str">
        <x:v>D2-Q03</x:v>
      </x:c>
      <x:c r="B214" s="104" t="str">
        <x:v>D2-Q03-S05</x:v>
      </x:c>
      <x:c r="C214" s="110" t="n">
        <x:v>5</x:v>
      </x:c>
      <x:c r="D214" s="104" t="str">
        <x:v>OBJECTIVE</x:v>
      </x:c>
      <x:c r="E214" s="104" t="str">
        <x:v>REACH_LOCATION</x:v>
      </x:c>
      <x:c r="F214" s="104" t="str">
        <x:v>OBJECTIVE</x:v>
      </x:c>
      <x:c r="G214" s="104" t="str">
        <x:v>REACH_LOCATION</x:v>
      </x:c>
      <x:c r="H214" s="104" t="str">
        <x:v>TEAM</x:v>
      </x:c>
      <x:c r="I214" s="104" t="str">
        <x:v>place_day_2_colosseo</x:v>
      </x:c>
      <x:c r="J214" s="104" t="str">
        <x:v>place_day_2_colosseo</x:v>
      </x:c>
      <x:c r="K214" s="104" t="str">
        <x:v>Erreicht Kolosseum.</x:v>
      </x:c>
      <x:c r="L214" s="104" t="str">
        <x:v>teamMembersInRadius &gt;= 2 &amp;&amp; stableFixes &gt;= 2</x:v>
      </x:c>
      <x:c r="M214" s="104" t="str">
        <x:v>stationActive=true</x:v>
      </x:c>
      <x:c r="N214" s="104" t="str">
        <x:v>Hinweisleiter; Ziel bleibt offen.</x:v>
      </x:c>
      <x:c r="O214" s="104" t="str">
        <x:v>REQUIRED</x:v>
      </x:c>
      <x:c r="P214" s="104" t="str">
        <x:v>previousStepComplete</x:v>
      </x:c>
      <x:c r="Q214" s="104" t="str">
        <x:v>MAP_AND_QUEST</x:v>
      </x:c>
      <x:c r="R214" s="104" t="str">
        <x:v>quest.location.reached</x:v>
      </x:c>
      <x:c r="S214" s="104" t="str">
        <x:v>Standard 15-m-Zielradius; keine Innen-/Eintrittspflicht.</x:v>
      </x:c>
    </x:row>
    <x:row r="215" ht="74" customHeight="1">
      <x:c r="A215" s="101" t="str">
        <x:v>D2-Q03</x:v>
      </x:c>
      <x:c r="B215" s="101" t="str">
        <x:v>D2-Q03-S06</x:v>
      </x:c>
      <x:c r="C215" s="109" t="n">
        <x:v>6</x:v>
      </x:c>
      <x:c r="D215" s="101" t="str">
        <x:v>OBJECTIVE</x:v>
      </x:c>
      <x:c r="E215" s="101" t="str">
        <x:v>ANSWER_QUESTION</x:v>
      </x:c>
      <x:c r="F215" s="101" t="str">
        <x:v>OBJECTIVE</x:v>
      </x:c>
      <x:c r="G215" s="101" t="str">
        <x:v>SUBMIT_ANSWER</x:v>
      </x:c>
      <x:c r="H215" s="101" t="str">
        <x:v>TEAM</x:v>
      </x:c>
      <x:c r="I215" s="101" t="str">
        <x:v>place_day_2_colosseo</x:v>
      </x:c>
      <x:c r="J215" s="101" t="str">
        <x:v>OBS-D2-Q03-2</x:v>
      </x:c>
      <x:c r="K215" s="101" t="str">
        <x:v>Die Außenarkaden des Kolosseums als Arena-Silhouette lesen. Frage: Wie viele übereinanderliegende Reihen offener Arkaden sind an der hohen Außenwand sichtbar?</x:v>
      </x:c>
      <x:c r="L215" s="101" t="str">
        <x:v>normalizedAnswer matches 'Drei'</x:v>
      </x:c>
      <x:c r="M215" s="101" t="str">
        <x:v>stationComplete=true</x:v>
      </x:c>
      <x:c r="N215" s="101" t="str">
        <x:v>Hint 1 → Hint 2 → Fallback; Grundabschluss bleibt möglich.</x:v>
      </x:c>
      <x:c r="O215" s="101" t="str">
        <x:v>REQUIRED</x:v>
      </x:c>
      <x:c r="P215" s="101" t="str">
        <x:v>stationActive</x:v>
      </x:c>
      <x:c r="Q215" s="101" t="str">
        <x:v>OBSERVATION_INPUT</x:v>
      </x:c>
      <x:c r="R215" s="101" t="str">
        <x:v>quest.observation.answered</x:v>
      </x:c>
      <x:c r="S215" s="101" t="str">
        <x:v>Evidence: Drei große Reihen offener Arkaden an der hohen erhaltenen Außenwand. | Ampel: GRUEN</x:v>
      </x:c>
    </x:row>
    <x:row r="216" ht="74" customHeight="1">
      <x:c r="A216" s="104" t="str">
        <x:v>D2-Q03</x:v>
      </x:c>
      <x:c r="B216" s="104" t="str">
        <x:v>D2-Q03-S07</x:v>
      </x:c>
      <x:c r="C216" s="110" t="n">
        <x:v>7</x:v>
      </x:c>
      <x:c r="D216" s="104" t="str">
        <x:v>OBJECTIVE</x:v>
      </x:c>
      <x:c r="E216" s="104" t="str">
        <x:v>REACH_LOCATION</x:v>
      </x:c>
      <x:c r="F216" s="104" t="str">
        <x:v>OBJECTIVE</x:v>
      </x:c>
      <x:c r="G216" s="104" t="str">
        <x:v>REACH_LOCATION</x:v>
      </x:c>
      <x:c r="H216" s="104" t="str">
        <x:v>TEAM</x:v>
      </x:c>
      <x:c r="I216" s="104" t="str">
        <x:v>place_day_2_ludus_magnus</x:v>
      </x:c>
      <x:c r="J216" s="104" t="str">
        <x:v>place_day_2_ludus_magnus</x:v>
      </x:c>
      <x:c r="K216" s="104" t="str">
        <x:v>Erreicht Ludus Magnus.</x:v>
      </x:c>
      <x:c r="L216" s="104" t="str">
        <x:v>teamMembersInRadius &gt;= 2 &amp;&amp; stableFixes &gt;= 2</x:v>
      </x:c>
      <x:c r="M216" s="104" t="str">
        <x:v>stationActive=true</x:v>
      </x:c>
      <x:c r="N216" s="104" t="str">
        <x:v>Hinweisleiter; Ziel bleibt offen.</x:v>
      </x:c>
      <x:c r="O216" s="104" t="str">
        <x:v>REQUIRED</x:v>
      </x:c>
      <x:c r="P216" s="104" t="str">
        <x:v>previousStepComplete</x:v>
      </x:c>
      <x:c r="Q216" s="104" t="str">
        <x:v>MAP_AND_QUEST</x:v>
      </x:c>
      <x:c r="R216" s="104" t="str">
        <x:v>quest.location.reached</x:v>
      </x:c>
      <x:c r="S216" s="104" t="str">
        <x:v>Standard 15-m-Zielradius; keine Innen-/Eintrittspflicht.</x:v>
      </x:c>
    </x:row>
    <x:row r="217" ht="74" customHeight="1">
      <x:c r="A217" s="101" t="str">
        <x:v>D2-Q03</x:v>
      </x:c>
      <x:c r="B217" s="101" t="str">
        <x:v>D2-Q03-S08</x:v>
      </x:c>
      <x:c r="C217" s="109" t="n">
        <x:v>8</x:v>
      </x:c>
      <x:c r="D217" s="101" t="str">
        <x:v>OBJECTIVE</x:v>
      </x:c>
      <x:c r="E217" s="101" t="str">
        <x:v>ANSWER_QUESTION</x:v>
      </x:c>
      <x:c r="F217" s="101" t="str">
        <x:v>OBJECTIVE</x:v>
      </x:c>
      <x:c r="G217" s="101" t="str">
        <x:v>SUBMIT_ANSWER</x:v>
      </x:c>
      <x:c r="H217" s="101" t="str">
        <x:v>TEAM</x:v>
      </x:c>
      <x:c r="I217" s="101" t="str">
        <x:v>place_day_2_ludus_magnus</x:v>
      </x:c>
      <x:c r="J217" s="101" t="str">
        <x:v>OBS-D2-Q03-3</x:v>
      </x:c>
      <x:c r="K217" s="101" t="str">
        <x:v>Die ovale Trainingsarena des Ludus Magnus erkennen und Funktionen zuordnen. Frage: Welche Grundform hat die sichtbare Trainingsarena?</x:v>
      </x:c>
      <x:c r="L217" s="101" t="str">
        <x:v>normalizedAnswer matches 'Oval'</x:v>
      </x:c>
      <x:c r="M217" s="101" t="str">
        <x:v>stationComplete=true</x:v>
      </x:c>
      <x:c r="N217" s="101" t="str">
        <x:v>Hint 1 → Hint 2 → Fallback; Grundabschluss bleibt möglich.</x:v>
      </x:c>
      <x:c r="O217" s="101" t="str">
        <x:v>REQUIRED</x:v>
      </x:c>
      <x:c r="P217" s="101" t="str">
        <x:v>stationActive</x:v>
      </x:c>
      <x:c r="Q217" s="101" t="str">
        <x:v>OBSERVATION_INPUT</x:v>
      </x:c>
      <x:c r="R217" s="101" t="str">
        <x:v>quest.observation.answered</x:v>
      </x:c>
      <x:c r="S217" s="101" t="str">
        <x:v>Evidence: Halb freigelegte ovale Arena unter dem heutigen Straßenniveau. | Ampel: GRUEN</x:v>
      </x:c>
    </x:row>
    <x:row r="218" ht="74" customHeight="1">
      <x:c r="A218" s="104" t="str">
        <x:v>D2-Q03</x:v>
      </x:c>
      <x:c r="B218" s="104" t="str">
        <x:v>D2-Q03-S09</x:v>
      </x:c>
      <x:c r="C218" s="110" t="n">
        <x:v>9</x:v>
      </x:c>
      <x:c r="D218" s="104" t="str">
        <x:v>OBJECTIVE</x:v>
      </x:c>
      <x:c r="E218" s="104" t="str">
        <x:v>SOLVE_PUZZLE</x:v>
      </x:c>
      <x:c r="F218" s="104" t="str">
        <x:v>OBJECTIVE</x:v>
      </x:c>
      <x:c r="G218" s="104" t="str">
        <x:v>SUBMIT_ANSWER</x:v>
      </x:c>
      <x:c r="H218" s="104" t="str">
        <x:v>TEAM</x:v>
      </x:c>
      <x:c r="I218" s="104" t="str">
        <x:v>place_day_2_ludus_magnus</x:v>
      </x:c>
      <x:c r="J218" s="104" t="str">
        <x:v>PZ-D2-Q03</x:v>
      </x:c>
      <x:c r="K218" s="104" t="str">
        <x:v>Ordnet die Funktionen: Triumph, Spektakel, Training.</x:v>
      </x:c>
      <x:c r="L218" s="104" t="str">
        <x:v>puzzleResult == CORRECT</x:v>
      </x:c>
      <x:c r="M218" s="104" t="str">
        <x:v>synthesisComplete=true</x:v>
      </x:c>
      <x:c r="N218" s="104" t="str">
        <x:v>Nur Konstantinsbogen und Ludus Magnus verwenden.</x:v>
      </x:c>
      <x:c r="O218" s="104" t="str">
        <x:v>REQUIRED</x:v>
      </x:c>
      <x:c r="P218" s="104" t="str">
        <x:v>allRequiredStationsComplete</x:v>
      </x:c>
      <x:c r="Q218" s="104" t="str">
        <x:v>PUZZLE</x:v>
      </x:c>
      <x:c r="R218" s="104" t="str">
        <x:v>quest.puzzle.solved</x:v>
      </x:c>
      <x:c r="S218" s="104" t="str">
        <x:v>Penalty: Kein Initiativbonus</x:v>
      </x:c>
    </x:row>
    <x:row r="219" ht="74" customHeight="1">
      <x:c r="A219" s="101" t="str">
        <x:v>D2-Q03</x:v>
      </x:c>
      <x:c r="B219" s="101" t="str">
        <x:v>D2-Q03-S10</x:v>
      </x:c>
      <x:c r="C219" s="109" t="n">
        <x:v>10</x:v>
      </x:c>
      <x:c r="D219" s="101" t="str">
        <x:v>OBJECTIVE</x:v>
      </x:c>
      <x:c r="E219" s="101" t="str">
        <x:v>DEFEAT_ENEMY</x:v>
      </x:c>
      <x:c r="F219" s="101" t="str">
        <x:v>OBJECTIVE</x:v>
      </x:c>
      <x:c r="G219" s="101" t="str">
        <x:v>COMPLETE_ENCOUNTER</x:v>
      </x:c>
      <x:c r="H219" s="101" t="str">
        <x:v>TEAM</x:v>
      </x:c>
      <x:c r="I219" s="101" t="str">
        <x:v>place_day_2_ludus_magnus</x:v>
      </x:c>
      <x:c r="J219" s="101" t="str">
        <x:v>CP-QE-LUDUS</x:v>
      </x:c>
      <x:c r="K219" s="101" t="str">
        <x:v>Gladiator des Ludus bekämpfen.</x:v>
      </x:c>
      <x:c r="L219" s="101" t="str">
        <x:v>combatState == WON</x:v>
      </x:c>
      <x:c r="M219" s="101" t="str">
        <x:v>encounterComplete=true</x:v>
      </x:c>
      <x:c r="N219" s="101" t="str">
        <x:v>Quest bleibt aktiv; nach Team-Wipe Wiederbelebungsregeln.</x:v>
      </x:c>
      <x:c r="O219" s="101" t="str">
        <x:v>REQUIRED</x:v>
      </x:c>
      <x:c r="P219" s="101" t="str">
        <x:v>synthesisComplete</x:v>
      </x:c>
      <x:c r="Q219" s="101" t="str">
        <x:v>COMBAT</x:v>
      </x:c>
      <x:c r="R219" s="101" t="str">
        <x:v>quest.combat.completed</x:v>
      </x:c>
      <x:c r="S219" s="101" t="str">
        <x:v>QUEST_ENEMY ist teambezogen; kein normaler Respawn.</x:v>
      </x:c>
    </x:row>
    <x:row r="220" ht="74" customHeight="1">
      <x:c r="A220" s="104" t="str">
        <x:v>D2-Q03</x:v>
      </x:c>
      <x:c r="B220" s="104" t="str">
        <x:v>D2-Q03-S11</x:v>
      </x:c>
      <x:c r="C220" s="110" t="n">
        <x:v>11</x:v>
      </x:c>
      <x:c r="D220" s="104" t="str">
        <x:v>COMPLETE</x:v>
      </x:c>
      <x:c r="E220" s="104" t="str">
        <x:v>TALK_TO_NPC</x:v>
      </x:c>
      <x:c r="F220" s="104" t="str">
        <x:v>OBJECTIVE</x:v>
      </x:c>
      <x:c r="G220" s="104" t="str">
        <x:v>COMPLETE_DIALOGUE</x:v>
      </x:c>
      <x:c r="H220" s="104" t="str">
        <x:v>TEAM</x:v>
      </x:c>
      <x:c r="I220" s="104" t="str">
        <x:v>place_day_2_ludus_magnus</x:v>
      </x:c>
      <x:c r="J220" s="104" t="str">
        <x:v>D2-Q03-COMPLETE</x:v>
      </x:c>
      <x:c r="K220" s="104" t="str">
        <x:v>Abschlussdialog und Konsequenz anzeigen.</x:v>
      </x:c>
      <x:c r="L220" s="104" t="str">
        <x:v>dialogSequenceComplete('D2-Q03-COMPLETE')</x:v>
      </x:c>
      <x:c r="M220" s="104" t="str">
        <x:v>state=REWARD</x:v>
      </x:c>
      <x:c r="N220" s="104" t="str">
        <x:v>Dialog erneut öffnen.</x:v>
      </x:c>
      <x:c r="O220" s="104" t="str">
        <x:v>REQUIRED</x:v>
      </x:c>
      <x:c r="P220" s="104" t="str">
        <x:v>allRequiredObjectivesComplete</x:v>
      </x:c>
      <x:c r="Q220" s="104" t="str">
        <x:v>DIALOGUE</x:v>
      </x:c>
      <x:c r="R220" s="104" t="str">
        <x:v>quest.completed</x:v>
      </x:c>
      <x:c r="S220" s="104" t="str">
        <x:v>Abschluss erst serverseitig nach allen Pflichtschritten.</x:v>
      </x:c>
    </x:row>
    <x:row r="221" ht="74" customHeight="1">
      <x:c r="A221" s="101" t="str">
        <x:v>D2-Q03</x:v>
      </x:c>
      <x:c r="B221" s="101" t="str">
        <x:v>D2-Q03-S12</x:v>
      </x:c>
      <x:c r="C221" s="109" t="n">
        <x:v>12</x:v>
      </x:c>
      <x:c r="D221" s="101" t="str">
        <x:v>REWARD</x:v>
      </x:c>
      <x:c r="E221" s="101" t="str">
        <x:v>GRANT_REWARD</x:v>
      </x:c>
      <x:c r="F221" s="101" t="str">
        <x:v>SYSTEM_ACTION</x:v>
      </x:c>
      <x:c r="G221" s="101" t="str"/>
      <x:c r="H221" s="101" t="str">
        <x:v>TEAM</x:v>
      </x:c>
      <x:c r="I221" s="101" t="str"/>
      <x:c r="J221" s="101" t="str">
        <x:v>D2-Q03</x:v>
      </x:c>
      <x:c r="K221" s="101" t="str">
        <x:v>Atomare Vergabe von Ruhm, Denaren, Loot und Variantenbonus.</x:v>
      </x:c>
      <x:c r="L221" s="101" t="str">
        <x:v>rewardTransactionCommitted</x:v>
      </x:c>
      <x:c r="M221" s="101" t="str">
        <x:v>state=COMPLETED</x:v>
      </x:c>
      <x:c r="N221" s="101" t="str">
        <x:v>Idempotenter Retry mit gleicher rewardTransactionId.</x:v>
      </x:c>
      <x:c r="O221" s="101" t="str">
        <x:v>REQUIRED</x:v>
      </x:c>
      <x:c r="P221" s="101" t="str">
        <x:v>questComplete</x:v>
      </x:c>
      <x:c r="Q221" s="101" t="str">
        <x:v>REWARD</x:v>
      </x:c>
      <x:c r="R221" s="101" t="str">
        <x:v>quest.reward.granted</x:v>
      </x:c>
      <x:c r="S221" s="101" t="str">
        <x:v>Arbeitswerte aus Quest Master; finales Balancing separat.</x:v>
      </x:c>
    </x:row>
    <x:row r="222" ht="74" customHeight="1">
      <x:c r="A222" s="104" t="str">
        <x:v>D2-Q04</x:v>
      </x:c>
      <x:c r="B222" s="104" t="str">
        <x:v>D2-Q04-S01</x:v>
      </x:c>
      <x:c r="C222" s="110" t="n">
        <x:v>1</x:v>
      </x:c>
      <x:c r="D222" s="104" t="str">
        <x:v>DISCOVER</x:v>
      </x:c>
      <x:c r="E222" s="104" t="str">
        <x:v>DISCOVER_NPC</x:v>
      </x:c>
      <x:c r="F222" s="104" t="str">
        <x:v>FLOW_ACTION</x:v>
      </x:c>
      <x:c r="G222" s="104" t="str"/>
      <x:c r="H222" s="104" t="str">
        <x:v>TEAM</x:v>
      </x:c>
      <x:c r="I222" s="104" t="str">
        <x:v>place_day_2_bocca_della_verita</x:v>
      </x:c>
      <x:c r="J222" s="104" t="str">
        <x:v>npc_mercator_gaius</x:v>
      </x:c>
      <x:c r="K222" s="104" t="str">
        <x:v>Entdeckt Gaius Quattuorportus ab 55 m; Interaktion wird bei stabilem 15-m-Fix verfügbar.</x:v>
      </x:c>
      <x:c r="L222" s="104" t="str">
        <x:v>npcDiscovered &amp;&amp; interactionGateOpen</x:v>
      </x:c>
      <x:c r="M222" s="104" t="str">
        <x:v>state=DIALOGUE</x:v>
      </x:c>
      <x:c r="N222" s="104" t="str">
        <x:v>UI bleibt auf Karte; GPS-Hinweis anzeigen.</x:v>
      </x:c>
      <x:c r="O222" s="104" t="str">
        <x:v>REQUIRED</x:v>
      </x:c>
      <x:c r="P222" s="104" t="str"/>
      <x:c r="Q222" s="104" t="str">
        <x:v>MAP_OBJECT_SHEET</x:v>
      </x:c>
      <x:c r="R222" s="104" t="str">
        <x:v>quest.discovered</x:v>
      </x:c>
      <x:c r="S222" s="104" t="str">
        <x:v>15-m-Enter/25-m-Exit-Hysterese; serverautoritativ.</x:v>
      </x:c>
    </x:row>
    <x:row r="223" ht="74" customHeight="1">
      <x:c r="A223" s="101" t="str">
        <x:v>D2-Q04</x:v>
      </x:c>
      <x:c r="B223" s="101" t="str">
        <x:v>D2-Q04-S02</x:v>
      </x:c>
      <x:c r="C223" s="109" t="n">
        <x:v>2</x:v>
      </x:c>
      <x:c r="D223" s="101" t="str">
        <x:v>DIALOGUE</x:v>
      </x:c>
      <x:c r="E223" s="101" t="str">
        <x:v>TALK_TO_NPC</x:v>
      </x:c>
      <x:c r="F223" s="101" t="str">
        <x:v>OBJECTIVE</x:v>
      </x:c>
      <x:c r="G223" s="101" t="str">
        <x:v>COMPLETE_DIALOGUE</x:v>
      </x:c>
      <x:c r="H223" s="101" t="str">
        <x:v>TEAM</x:v>
      </x:c>
      <x:c r="I223" s="101" t="str">
        <x:v>place_day_2_bocca_della_verita</x:v>
      </x:c>
      <x:c r="J223" s="101" t="str">
        <x:v>D2-Q04-OFFER</x:v>
      </x:c>
      <x:c r="K223" s="101" t="str">
        <x:v>Questangebot und erste Dialogoption anzeigen.</x:v>
      </x:c>
      <x:c r="L223" s="101" t="str">
        <x:v>dialogSequenceComplete('D2-Q04-OFFER')</x:v>
      </x:c>
      <x:c r="M223" s="101" t="str">
        <x:v>state=ACCEPT</x:v>
      </x:c>
      <x:c r="N223" s="101" t="str">
        <x:v>Dialog kann erneut geöffnet werden.</x:v>
      </x:c>
      <x:c r="O223" s="101" t="str">
        <x:v>REQUIRED</x:v>
      </x:c>
      <x:c r="P223" s="101" t="str"/>
      <x:c r="Q223" s="101" t="str">
        <x:v>DIALOGUE</x:v>
      </x:c>
      <x:c r="R223" s="101" t="str">
        <x:v>quest.dialogue.offer</x:v>
      </x:c>
      <x:c r="S223" s="101" t="str">
        <x:v>Teamentscheidung wird einmal serverseitig gespeichert.</x:v>
      </x:c>
    </x:row>
    <x:row r="224" ht="74" customHeight="1">
      <x:c r="A224" s="104" t="str">
        <x:v>D2-Q04</x:v>
      </x:c>
      <x:c r="B224" s="104" t="str">
        <x:v>D2-Q04-S03</x:v>
      </x:c>
      <x:c r="C224" s="110" t="n">
        <x:v>3</x:v>
      </x:c>
      <x:c r="D224" s="104" t="str">
        <x:v>ACCEPT</x:v>
      </x:c>
      <x:c r="E224" s="104" t="str">
        <x:v>ACCEPT_QUEST</x:v>
      </x:c>
      <x:c r="F224" s="104" t="str">
        <x:v>FLOW_ACTION</x:v>
      </x:c>
      <x:c r="G224" s="104" t="str"/>
      <x:c r="H224" s="104" t="str">
        <x:v>TEAM</x:v>
      </x:c>
      <x:c r="I224" s="104" t="str">
        <x:v>place_day_2_bocca_della_verita</x:v>
      </x:c>
      <x:c r="J224" s="104" t="str">
        <x:v>D2-Q04</x:v>
      </x:c>
      <x:c r="K224" s="104" t="str">
        <x:v>Quest annehmen; Etappen-Timer 90 s, Startbedingung und Ablaufwirkung vor Bestätigung anzeigen.</x:v>
      </x:c>
      <x:c r="L224" s="104" t="str">
        <x:v>teamVoteResolved &amp;&amp; questSlotReserved</x:v>
      </x:c>
      <x:c r="M224" s="104" t="str">
        <x:v>state=OBJECTIVE</x:v>
      </x:c>
      <x:c r="N224" s="104" t="str">
        <x:v>Annahme abbrechbar; kein Slotverbrauch.</x:v>
      </x:c>
      <x:c r="O224" s="104" t="str">
        <x:v>REQUIRED</x:v>
      </x:c>
      <x:c r="P224" s="104" t="str"/>
      <x:c r="Q224" s="104" t="str">
        <x:v>QUEST_ACCEPT</x:v>
      </x:c>
      <x:c r="R224" s="104" t="str">
        <x:v>quest.accepted</x:v>
      </x:c>
      <x:c r="S224" s="104" t="str">
        <x:v>timerRef=TMR-D2-Q04-S11; Timer startet nicht bei Annahme, sondern gemäß Timer.StartsWhen.</x:v>
      </x:c>
    </x:row>
    <x:row r="225" ht="74" customHeight="1">
      <x:c r="A225" s="101" t="str">
        <x:v>D2-Q04</x:v>
      </x:c>
      <x:c r="B225" s="101" t="str">
        <x:v>D2-Q04-S04</x:v>
      </x:c>
      <x:c r="C225" s="109" t="n">
        <x:v>4</x:v>
      </x:c>
      <x:c r="D225" s="101" t="str">
        <x:v>OBJECTIVE</x:v>
      </x:c>
      <x:c r="E225" s="101" t="str">
        <x:v>ANSWER_QUESTION</x:v>
      </x:c>
      <x:c r="F225" s="101" t="str">
        <x:v>OBJECTIVE</x:v>
      </x:c>
      <x:c r="G225" s="101" t="str">
        <x:v>SUBMIT_ANSWER</x:v>
      </x:c>
      <x:c r="H225" s="101" t="str">
        <x:v>TEAM</x:v>
      </x:c>
      <x:c r="I225" s="101" t="str">
        <x:v>place_day_2_bocca_della_verita</x:v>
      </x:c>
      <x:c r="J225" s="101" t="str">
        <x:v>OBS-D2-Q04-1</x:v>
      </x:c>
      <x:c r="K225" s="101" t="str">
        <x:v>Den Mund als zentrale Öffnung der Bocca aus Distanz erkennen. Frage: Welcher Gesichtsteil bildet die große zentrale Öffnung?</x:v>
      </x:c>
      <x:c r="L225" s="101" t="str">
        <x:v>normalizedAnswer matches 'Der Mund'</x:v>
      </x:c>
      <x:c r="M225" s="101" t="str">
        <x:v>stationComplete=true</x:v>
      </x:c>
      <x:c r="N225" s="101" t="str">
        <x:v>Hint 1 → Hint 2 → Fallback; Grundabschluss bleibt möglich.</x:v>
      </x:c>
      <x:c r="O225" s="101" t="str">
        <x:v>REQUIRED</x:v>
      </x:c>
      <x:c r="P225" s="101" t="str">
        <x:v>stationActive</x:v>
      </x:c>
      <x:c r="Q225" s="101" t="str">
        <x:v>OBSERVATION_INPUT</x:v>
      </x:c>
      <x:c r="R225" s="101" t="str">
        <x:v>quest.observation.answered</x:v>
      </x:c>
      <x:c r="S225" s="101" t="str">
        <x:v>Evidence: Großes rundes Steingesicht im äußeren Portikus von Santa Maria in Cosmedin. | Ampel: GELB</x:v>
      </x:c>
    </x:row>
    <x:row r="226" ht="74" customHeight="1">
      <x:c r="A226" s="104" t="str">
        <x:v>D2-Q04</x:v>
      </x:c>
      <x:c r="B226" s="104" t="str">
        <x:v>D2-Q04-S05</x:v>
      </x:c>
      <x:c r="C226" s="110" t="n">
        <x:v>5</x:v>
      </x:c>
      <x:c r="D226" s="104" t="str">
        <x:v>OBJECTIVE</x:v>
      </x:c>
      <x:c r="E226" s="104" t="str">
        <x:v>REACH_LOCATION</x:v>
      </x:c>
      <x:c r="F226" s="104" t="str">
        <x:v>OBJECTIVE</x:v>
      </x:c>
      <x:c r="G226" s="104" t="str">
        <x:v>REACH_LOCATION</x:v>
      </x:c>
      <x:c r="H226" s="104" t="str">
        <x:v>TEAM</x:v>
      </x:c>
      <x:c r="I226" s="104" t="str">
        <x:v>place_day_2_tempio_di_ercole_vincitore</x:v>
      </x:c>
      <x:c r="J226" s="104" t="str">
        <x:v>place_day_2_tempio_di_ercole_vincitore</x:v>
      </x:c>
      <x:c r="K226" s="104" t="str">
        <x:v>Erreicht Tempel des Hercules Victor.</x:v>
      </x:c>
      <x:c r="L226" s="104" t="str">
        <x:v>teamMembersInRadius &gt;= 2 &amp;&amp; stableFixes &gt;= 2</x:v>
      </x:c>
      <x:c r="M226" s="104" t="str">
        <x:v>stationActive=true</x:v>
      </x:c>
      <x:c r="N226" s="104" t="str">
        <x:v>Hinweisleiter; Ziel bleibt offen.</x:v>
      </x:c>
      <x:c r="O226" s="104" t="str">
        <x:v>REQUIRED</x:v>
      </x:c>
      <x:c r="P226" s="104" t="str">
        <x:v>previousStepComplete</x:v>
      </x:c>
      <x:c r="Q226" s="104" t="str">
        <x:v>MAP_AND_QUEST</x:v>
      </x:c>
      <x:c r="R226" s="104" t="str">
        <x:v>quest.location.reached</x:v>
      </x:c>
      <x:c r="S226" s="104" t="str">
        <x:v>Standard 15-m-Zielradius; keine Innen-/Eintrittspflicht.</x:v>
      </x:c>
    </x:row>
    <x:row r="227" ht="74" customHeight="1">
      <x:c r="A227" s="101" t="str">
        <x:v>D2-Q04</x:v>
      </x:c>
      <x:c r="B227" s="101" t="str">
        <x:v>D2-Q04-S06</x:v>
      </x:c>
      <x:c r="C227" s="109" t="n">
        <x:v>6</x:v>
      </x:c>
      <x:c r="D227" s="101" t="str">
        <x:v>OBJECTIVE</x:v>
      </x:c>
      <x:c r="E227" s="101" t="str">
        <x:v>ANSWER_QUESTION</x:v>
      </x:c>
      <x:c r="F227" s="101" t="str">
        <x:v>OBJECTIVE</x:v>
      </x:c>
      <x:c r="G227" s="101" t="str">
        <x:v>SUBMIT_ANSWER</x:v>
      </x:c>
      <x:c r="H227" s="101" t="str">
        <x:v>TEAM</x:v>
      </x:c>
      <x:c r="I227" s="101" t="str">
        <x:v>place_day_2_tempio_di_ercole_vincitore</x:v>
      </x:c>
      <x:c r="J227" s="101" t="str">
        <x:v>OBS-D2-Q04-2</x:v>
      </x:c>
      <x:c r="K227" s="101" t="str">
        <x:v>Die runde Form des Hercules-Tempels bestimmen. Frage: Welche Grundform hat der Tempel?</x:v>
      </x:c>
      <x:c r="L227" s="101" t="str">
        <x:v>normalizedAnswer matches 'Rund'</x:v>
      </x:c>
      <x:c r="M227" s="101" t="str">
        <x:v>stationComplete=true</x:v>
      </x:c>
      <x:c r="N227" s="101" t="str">
        <x:v>Hint 1 → Hint 2 → Fallback; Grundabschluss bleibt möglich.</x:v>
      </x:c>
      <x:c r="O227" s="101" t="str">
        <x:v>REQUIRED</x:v>
      </x:c>
      <x:c r="P227" s="101" t="str">
        <x:v>stationActive</x:v>
      </x:c>
      <x:c r="Q227" s="101" t="str">
        <x:v>OBSERVATION_INPUT</x:v>
      </x:c>
      <x:c r="R227" s="101" t="str">
        <x:v>quest.observation.answered</x:v>
      </x:c>
      <x:c r="S227" s="101" t="str">
        <x:v>Evidence: Klar erkennbare runde Cella mit umlaufendem Säulenkranz. | Ampel: GRUEN</x:v>
      </x:c>
    </x:row>
    <x:row r="228" ht="74" customHeight="1">
      <x:c r="A228" s="104" t="str">
        <x:v>D2-Q04</x:v>
      </x:c>
      <x:c r="B228" s="104" t="str">
        <x:v>D2-Q04-S07</x:v>
      </x:c>
      <x:c r="C228" s="110" t="n">
        <x:v>7</x:v>
      </x:c>
      <x:c r="D228" s="104" t="str">
        <x:v>OBJECTIVE</x:v>
      </x:c>
      <x:c r="E228" s="104" t="str">
        <x:v>REACH_LOCATION</x:v>
      </x:c>
      <x:c r="F228" s="104" t="str">
        <x:v>OBJECTIVE</x:v>
      </x:c>
      <x:c r="G228" s="104" t="str">
        <x:v>REACH_LOCATION</x:v>
      </x:c>
      <x:c r="H228" s="104" t="str">
        <x:v>TEAM</x:v>
      </x:c>
      <x:c r="I228" s="104" t="str">
        <x:v>place_day_2_arco_degli_argentari</x:v>
      </x:c>
      <x:c r="J228" s="104" t="str">
        <x:v>place_day_2_arco_degli_argentari</x:v>
      </x:c>
      <x:c r="K228" s="104" t="str">
        <x:v>Erreicht Arco degli Argentari.</x:v>
      </x:c>
      <x:c r="L228" s="104" t="str">
        <x:v>teamMembersInRadius &gt;= 2 &amp;&amp; stableFixes &gt;= 2</x:v>
      </x:c>
      <x:c r="M228" s="104" t="str">
        <x:v>stationActive=true</x:v>
      </x:c>
      <x:c r="N228" s="104" t="str">
        <x:v>Hinweisleiter; Ziel bleibt offen.</x:v>
      </x:c>
      <x:c r="O228" s="104" t="str">
        <x:v>REQUIRED</x:v>
      </x:c>
      <x:c r="P228" s="104" t="str">
        <x:v>previousStepComplete</x:v>
      </x:c>
      <x:c r="Q228" s="104" t="str">
        <x:v>MAP_AND_QUEST</x:v>
      </x:c>
      <x:c r="R228" s="104" t="str">
        <x:v>quest.location.reached</x:v>
      </x:c>
      <x:c r="S228" s="104" t="str">
        <x:v>Standard 15-m-Zielradius; keine Innen-/Eintrittspflicht.</x:v>
      </x:c>
    </x:row>
    <x:row r="229" ht="74" customHeight="1">
      <x:c r="A229" s="101" t="str">
        <x:v>D2-Q04</x:v>
      </x:c>
      <x:c r="B229" s="101" t="str">
        <x:v>D2-Q04-S08</x:v>
      </x:c>
      <x:c r="C229" s="109" t="n">
        <x:v>8</x:v>
      </x:c>
      <x:c r="D229" s="101" t="str">
        <x:v>OBJECTIVE</x:v>
      </x:c>
      <x:c r="E229" s="101" t="str">
        <x:v>ANSWER_QUESTION</x:v>
      </x:c>
      <x:c r="F229" s="101" t="str">
        <x:v>OBJECTIVE</x:v>
      </x:c>
      <x:c r="G229" s="101" t="str">
        <x:v>SUBMIT_ANSWER</x:v>
      </x:c>
      <x:c r="H229" s="101" t="str">
        <x:v>TEAM</x:v>
      </x:c>
      <x:c r="I229" s="101" t="str">
        <x:v>place_day_2_arco_degli_argentari</x:v>
      </x:c>
      <x:c r="J229" s="101" t="str">
        <x:v>OBS-D2-Q04-3</x:v>
      </x:c>
      <x:c r="K229" s="101" t="str">
        <x:v>Den geraden Architrav des Argentari-Bogens erfassen. Frage: Wie ist der obere Abschluss des Durchgangs geformt?</x:v>
      </x:c>
      <x:c r="L229" s="101" t="str">
        <x:v>normalizedAnswer matches 'Gerade, als Architrav'</x:v>
      </x:c>
      <x:c r="M229" s="101" t="str">
        <x:v>stationComplete=true</x:v>
      </x:c>
      <x:c r="N229" s="101" t="str">
        <x:v>Hint 1 → Hint 2 → Fallback; Grundabschluss bleibt möglich.</x:v>
      </x:c>
      <x:c r="O229" s="101" t="str">
        <x:v>REQUIRED</x:v>
      </x:c>
      <x:c r="P229" s="101" t="str">
        <x:v>stationActive</x:v>
      </x:c>
      <x:c r="Q229" s="101" t="str">
        <x:v>OBSERVATION_INPUT</x:v>
      </x:c>
      <x:c r="R229" s="101" t="str">
        <x:v>quest.observation.answered</x:v>
      </x:c>
      <x:c r="S229" s="101" t="str">
        <x:v>Evidence: Gerader oberer Abschluss über engem Durchgang; reiche Reliefs an den Pfeilern. | Ampel: GRUEN</x:v>
      </x:c>
    </x:row>
    <x:row r="230" ht="74" customHeight="1">
      <x:c r="A230" s="104" t="str">
        <x:v>D2-Q04</x:v>
      </x:c>
      <x:c r="B230" s="104" t="str">
        <x:v>D2-Q04-S09</x:v>
      </x:c>
      <x:c r="C230" s="110" t="n">
        <x:v>9</x:v>
      </x:c>
      <x:c r="D230" s="104" t="str">
        <x:v>OBJECTIVE</x:v>
      </x:c>
      <x:c r="E230" s="104" t="str">
        <x:v>REACH_LOCATION</x:v>
      </x:c>
      <x:c r="F230" s="104" t="str">
        <x:v>OBJECTIVE</x:v>
      </x:c>
      <x:c r="G230" s="104" t="str">
        <x:v>REACH_LOCATION</x:v>
      </x:c>
      <x:c r="H230" s="104" t="str">
        <x:v>TEAM</x:v>
      </x:c>
      <x:c r="I230" s="104" t="str">
        <x:v>place_day_2_arco_di_giano</x:v>
      </x:c>
      <x:c r="J230" s="104" t="str">
        <x:v>place_day_2_arco_di_giano</x:v>
      </x:c>
      <x:c r="K230" s="104" t="str">
        <x:v>Erreicht Janusbogen.</x:v>
      </x:c>
      <x:c r="L230" s="104" t="str">
        <x:v>teamMembersInRadius &gt;= 2 &amp;&amp; stableFixes &gt;= 2</x:v>
      </x:c>
      <x:c r="M230" s="104" t="str">
        <x:v>stationActive=true</x:v>
      </x:c>
      <x:c r="N230" s="104" t="str">
        <x:v>Hinweisleiter; Ziel bleibt offen.</x:v>
      </x:c>
      <x:c r="O230" s="104" t="str">
        <x:v>REQUIRED</x:v>
      </x:c>
      <x:c r="P230" s="104" t="str">
        <x:v>previousStepComplete</x:v>
      </x:c>
      <x:c r="Q230" s="104" t="str">
        <x:v>MAP_AND_QUEST</x:v>
      </x:c>
      <x:c r="R230" s="104" t="str">
        <x:v>quest.location.reached</x:v>
      </x:c>
      <x:c r="S230" s="104" t="str">
        <x:v>Standard 15-m-Zielradius; keine Innen-/Eintrittspflicht.</x:v>
      </x:c>
    </x:row>
    <x:row r="231" ht="74" customHeight="1">
      <x:c r="A231" s="101" t="str">
        <x:v>D2-Q04</x:v>
      </x:c>
      <x:c r="B231" s="101" t="str">
        <x:v>D2-Q04-S10</x:v>
      </x:c>
      <x:c r="C231" s="109" t="n">
        <x:v>10</x:v>
      </x:c>
      <x:c r="D231" s="101" t="str">
        <x:v>OBJECTIVE</x:v>
      </x:c>
      <x:c r="E231" s="101" t="str">
        <x:v>ANSWER_QUESTION</x:v>
      </x:c>
      <x:c r="F231" s="101" t="str">
        <x:v>OBJECTIVE</x:v>
      </x:c>
      <x:c r="G231" s="101" t="str">
        <x:v>SUBMIT_ANSWER</x:v>
      </x:c>
      <x:c r="H231" s="101" t="str">
        <x:v>TEAM</x:v>
      </x:c>
      <x:c r="I231" s="101" t="str">
        <x:v>place_day_2_arco_di_giano</x:v>
      </x:c>
      <x:c r="J231" s="101" t="str">
        <x:v>OBS-D2-Q04-4</x:v>
      </x:c>
      <x:c r="K231" s="101" t="str">
        <x:v>Die vier Öffnungsseiten des Janusbogens zählen und VERITAS eingeben. Frage: Nach wie vielen Seiten öffnet sich das Monument mit großen Durchgängen?</x:v>
      </x:c>
      <x:c r="L231" s="101" t="str">
        <x:v>normalizedAnswer matches 'Vier'</x:v>
      </x:c>
      <x:c r="M231" s="101" t="str">
        <x:v>stationComplete=true</x:v>
      </x:c>
      <x:c r="N231" s="101" t="str">
        <x:v>Hint 1 → Hint 2 → Fallback; Grundabschluss bleibt möglich.</x:v>
      </x:c>
      <x:c r="O231" s="101" t="str">
        <x:v>REQUIRED</x:v>
      </x:c>
      <x:c r="P231" s="101" t="str">
        <x:v>stationActive</x:v>
      </x:c>
      <x:c r="Q231" s="101" t="str">
        <x:v>OBSERVATION_INPUT</x:v>
      </x:c>
      <x:c r="R231" s="101" t="str">
        <x:v>quest.observation.answered</x:v>
      </x:c>
      <x:c r="S231" s="101" t="str">
        <x:v>Evidence: Vier weithin sichtbare Bogenöffnungen auf vier Seiten. | Ampel: GRUEN</x:v>
      </x:c>
    </x:row>
    <x:row r="232" ht="74" customHeight="1">
      <x:c r="A232" s="104" t="str">
        <x:v>D2-Q04</x:v>
      </x:c>
      <x:c r="B232" s="104" t="str">
        <x:v>D2-Q04-S11</x:v>
      </x:c>
      <x:c r="C232" s="110" t="n">
        <x:v>11</x:v>
      </x:c>
      <x:c r="D232" s="104" t="str">
        <x:v>OBJECTIVE</x:v>
      </x:c>
      <x:c r="E232" s="104" t="str">
        <x:v>SOLVE_PUZZLE</x:v>
      </x:c>
      <x:c r="F232" s="104" t="str">
        <x:v>OBJECTIVE</x:v>
      </x:c>
      <x:c r="G232" s="104" t="str">
        <x:v>SUBMIT_ANSWER</x:v>
      </x:c>
      <x:c r="H232" s="104" t="str">
        <x:v>TEAM</x:v>
      </x:c>
      <x:c r="I232" s="104" t="str">
        <x:v>place_day_2_arco_di_giano</x:v>
      </x:c>
      <x:c r="J232" s="104" t="str">
        <x:v>PZ-D2-Q04</x:v>
      </x:c>
      <x:c r="K232" s="104" t="str">
        <x:v>Startet am Janusbogen die 90-Sekunden-Wahrheitsprüfung und gebt das lateinische Lösungswort ein.</x:v>
      </x:c>
      <x:c r="L232" s="104" t="str">
        <x:v>puzzleResult == CORRECT</x:v>
      </x:c>
      <x:c r="M232" s="104" t="str">
        <x:v>synthesisComplete=true; knowledgeBonus=timerState('TMR-D2-Q04-S11') == COMPLETED</x:v>
      </x:c>
      <x:c r="N232" s="104" t="str">
        <x:v>Bei Ablauf entfällt der Wissensbonus und VERITAS|FORTUNA|AQUA wird als Fallback geöffnet.</x:v>
      </x:c>
      <x:c r="O232" s="104" t="str">
        <x:v>REQUIRED</x:v>
      </x:c>
      <x:c r="P232" s="104" t="str">
        <x:v>allRequiredStationsComplete</x:v>
      </x:c>
      <x:c r="Q232" s="104" t="str">
        <x:v>PUZZLE</x:v>
      </x:c>
      <x:c r="R232" s="104" t="str">
        <x:v>quest.puzzle.solved</x:v>
      </x:c>
      <x:c r="S232" s="104" t="str">
        <x:v>timerRef=TMR-D2-Q04-S11; START_TIMER erst nach allen vier Beobachtungen; stationär.</x:v>
      </x:c>
    </x:row>
    <x:row r="233" ht="74" customHeight="1">
      <x:c r="A233" s="101" t="str">
        <x:v>D2-Q04</x:v>
      </x:c>
      <x:c r="B233" s="101" t="str">
        <x:v>D2-Q04-S12</x:v>
      </x:c>
      <x:c r="C233" s="109" t="n">
        <x:v>12</x:v>
      </x:c>
      <x:c r="D233" s="101" t="str">
        <x:v>BONUS_OBJECTIVE</x:v>
      </x:c>
      <x:c r="E233" s="101" t="str">
        <x:v>DEFEAT_ENEMY</x:v>
      </x:c>
      <x:c r="F233" s="101" t="str">
        <x:v>OBJECTIVE</x:v>
      </x:c>
      <x:c r="G233" s="101" t="str">
        <x:v>COMPLETE_ENCOUNTER</x:v>
      </x:c>
      <x:c r="H233" s="101" t="str">
        <x:v>TEAM</x:v>
      </x:c>
      <x:c r="I233" s="101" t="str">
        <x:v>place_day_2_arco_di_giano</x:v>
      </x:c>
      <x:c r="J233" s="101" t="str">
        <x:v>CP-QE-GIANO</x:v>
      </x:c>
      <x:c r="K233" s="101" t="str">
        <x:v>Custode di Giano bekämpfen.</x:v>
      </x:c>
      <x:c r="L233" s="101" t="str">
        <x:v>combatState == WON</x:v>
      </x:c>
      <x:c r="M233" s="101" t="str">
        <x:v>encounterComplete=true</x:v>
      </x:c>
      <x:c r="N233" s="101" t="str">
        <x:v>Optionaler Zweig endet ohne Grundbelohnungsverlust.</x:v>
      </x:c>
      <x:c r="O233" s="101" t="str">
        <x:v>OPTIONAL</x:v>
      </x:c>
      <x:c r="P233" s="101" t="str">
        <x:v>branchSelected</x:v>
      </x:c>
      <x:c r="Q233" s="101" t="str">
        <x:v>COMBAT</x:v>
      </x:c>
      <x:c r="R233" s="101" t="str">
        <x:v>quest.combat.completed</x:v>
      </x:c>
      <x:c r="S233" s="101" t="str">
        <x:v>QUEST_ENEMY ist teambezogen; kein normaler Respawn.</x:v>
      </x:c>
    </x:row>
    <x:row r="234" ht="74" customHeight="1">
      <x:c r="A234" s="104" t="str">
        <x:v>D2-Q04</x:v>
      </x:c>
      <x:c r="B234" s="104" t="str">
        <x:v>D2-Q04-S13</x:v>
      </x:c>
      <x:c r="C234" s="110" t="n">
        <x:v>13</x:v>
      </x:c>
      <x:c r="D234" s="104" t="str">
        <x:v>COMPLETE</x:v>
      </x:c>
      <x:c r="E234" s="104" t="str">
        <x:v>TALK_TO_NPC</x:v>
      </x:c>
      <x:c r="F234" s="104" t="str">
        <x:v>OBJECTIVE</x:v>
      </x:c>
      <x:c r="G234" s="104" t="str">
        <x:v>COMPLETE_DIALOGUE</x:v>
      </x:c>
      <x:c r="H234" s="104" t="str">
        <x:v>TEAM</x:v>
      </x:c>
      <x:c r="I234" s="104" t="str">
        <x:v>place_day_2_arco_di_giano</x:v>
      </x:c>
      <x:c r="J234" s="104" t="str">
        <x:v>D2-Q04-COMPLETE</x:v>
      </x:c>
      <x:c r="K234" s="104" t="str">
        <x:v>Abschlussdialog und Konsequenz anzeigen.</x:v>
      </x:c>
      <x:c r="L234" s="104" t="str">
        <x:v>dialogSequenceComplete('D2-Q04-COMPLETE')</x:v>
      </x:c>
      <x:c r="M234" s="104" t="str">
        <x:v>state=REWARD</x:v>
      </x:c>
      <x:c r="N234" s="104" t="str">
        <x:v>Dialog erneut öffnen.</x:v>
      </x:c>
      <x:c r="O234" s="104" t="str">
        <x:v>REQUIRED</x:v>
      </x:c>
      <x:c r="P234" s="104" t="str">
        <x:v>allRequiredObjectivesComplete</x:v>
      </x:c>
      <x:c r="Q234" s="104" t="str">
        <x:v>DIALOGUE</x:v>
      </x:c>
      <x:c r="R234" s="104" t="str">
        <x:v>quest.completed</x:v>
      </x:c>
      <x:c r="S234" s="104" t="str">
        <x:v>Abschluss erst serverseitig nach allen Pflichtschritten.</x:v>
      </x:c>
    </x:row>
    <x:row r="235" ht="74" customHeight="1">
      <x:c r="A235" s="101" t="str">
        <x:v>D2-Q04</x:v>
      </x:c>
      <x:c r="B235" s="101" t="str">
        <x:v>D2-Q04-S14</x:v>
      </x:c>
      <x:c r="C235" s="109" t="n">
        <x:v>14</x:v>
      </x:c>
      <x:c r="D235" s="101" t="str">
        <x:v>REWARD</x:v>
      </x:c>
      <x:c r="E235" s="101" t="str">
        <x:v>GRANT_REWARD</x:v>
      </x:c>
      <x:c r="F235" s="101" t="str">
        <x:v>SYSTEM_ACTION</x:v>
      </x:c>
      <x:c r="G235" s="101" t="str"/>
      <x:c r="H235" s="101" t="str">
        <x:v>TEAM</x:v>
      </x:c>
      <x:c r="I235" s="101" t="str"/>
      <x:c r="J235" s="101" t="str">
        <x:v>D2-Q04</x:v>
      </x:c>
      <x:c r="K235" s="101" t="str">
        <x:v>Atomare Vergabe von Ruhm, Denaren, Loot und Variantenbonus.</x:v>
      </x:c>
      <x:c r="L235" s="101" t="str">
        <x:v>rewardTransactionCommitted</x:v>
      </x:c>
      <x:c r="M235" s="101" t="str">
        <x:v>state=COMPLETED</x:v>
      </x:c>
      <x:c r="N235" s="101" t="str">
        <x:v>Idempotenter Retry mit gleicher rewardTransactionId.</x:v>
      </x:c>
      <x:c r="O235" s="101" t="str">
        <x:v>REQUIRED</x:v>
      </x:c>
      <x:c r="P235" s="101" t="str">
        <x:v>questComplete</x:v>
      </x:c>
      <x:c r="Q235" s="101" t="str">
        <x:v>REWARD</x:v>
      </x:c>
      <x:c r="R235" s="101" t="str">
        <x:v>quest.reward.granted</x:v>
      </x:c>
      <x:c r="S235" s="101" t="str">
        <x:v>Arbeitswerte aus Quest Master; finales Balancing separat.</x:v>
      </x:c>
    </x:row>
    <x:row r="236" ht="74" customHeight="1">
      <x:c r="A236" s="104" t="str">
        <x:v>D2-Q05</x:v>
      </x:c>
      <x:c r="B236" s="104" t="str">
        <x:v>D2-Q05-S01</x:v>
      </x:c>
      <x:c r="C236" s="110" t="n">
        <x:v>1</x:v>
      </x:c>
      <x:c r="D236" s="104" t="str">
        <x:v>DISCOVER</x:v>
      </x:c>
      <x:c r="E236" s="104" t="str">
        <x:v>DISCOVER_NPC</x:v>
      </x:c>
      <x:c r="F236" s="104" t="str">
        <x:v>FLOW_ACTION</x:v>
      </x:c>
      <x:c r="G236" s="104" t="str"/>
      <x:c r="H236" s="104" t="str">
        <x:v>TEAM</x:v>
      </x:c>
      <x:c r="I236" s="104" t="str">
        <x:v>place_day_2_fontana_dei_tritoni</x:v>
      </x:c>
      <x:c r="J236" s="104" t="str">
        <x:v>npc_triton_callidus</x:v>
      </x:c>
      <x:c r="K236" s="104" t="str">
        <x:v>Entdeckt Triton Callidus ab 55 m; Interaktion wird bei stabilem 15-m-Fix verfügbar.</x:v>
      </x:c>
      <x:c r="L236" s="104" t="str">
        <x:v>npcDiscovered &amp;&amp; interactionGateOpen</x:v>
      </x:c>
      <x:c r="M236" s="104" t="str">
        <x:v>state=DIALOGUE</x:v>
      </x:c>
      <x:c r="N236" s="104" t="str">
        <x:v>UI bleibt auf Karte; GPS-Hinweis anzeigen.</x:v>
      </x:c>
      <x:c r="O236" s="104" t="str">
        <x:v>REQUIRED</x:v>
      </x:c>
      <x:c r="P236" s="104" t="str"/>
      <x:c r="Q236" s="104" t="str">
        <x:v>MAP_OBJECT_SHEET</x:v>
      </x:c>
      <x:c r="R236" s="104" t="str">
        <x:v>quest.discovered</x:v>
      </x:c>
      <x:c r="S236" s="104" t="str">
        <x:v>15-m-Enter/25-m-Exit-Hysterese; serverautoritativ.</x:v>
      </x:c>
    </x:row>
    <x:row r="237" ht="74" customHeight="1">
      <x:c r="A237" s="101" t="str">
        <x:v>D2-Q05</x:v>
      </x:c>
      <x:c r="B237" s="101" t="str">
        <x:v>D2-Q05-S02</x:v>
      </x:c>
      <x:c r="C237" s="109" t="n">
        <x:v>2</x:v>
      </x:c>
      <x:c r="D237" s="101" t="str">
        <x:v>DIALOGUE</x:v>
      </x:c>
      <x:c r="E237" s="101" t="str">
        <x:v>TALK_TO_NPC</x:v>
      </x:c>
      <x:c r="F237" s="101" t="str">
        <x:v>OBJECTIVE</x:v>
      </x:c>
      <x:c r="G237" s="101" t="str">
        <x:v>COMPLETE_DIALOGUE</x:v>
      </x:c>
      <x:c r="H237" s="101" t="str">
        <x:v>TEAM</x:v>
      </x:c>
      <x:c r="I237" s="101" t="str">
        <x:v>place_day_2_fontana_dei_tritoni</x:v>
      </x:c>
      <x:c r="J237" s="101" t="str">
        <x:v>D2-Q05-OFFER</x:v>
      </x:c>
      <x:c r="K237" s="101" t="str">
        <x:v>Questangebot und erste Dialogoption anzeigen.</x:v>
      </x:c>
      <x:c r="L237" s="101" t="str">
        <x:v>dialogSequenceComplete('D2-Q05-OFFER')</x:v>
      </x:c>
      <x:c r="M237" s="101" t="str">
        <x:v>state=ACCEPT</x:v>
      </x:c>
      <x:c r="N237" s="101" t="str">
        <x:v>Dialog kann erneut geöffnet werden.</x:v>
      </x:c>
      <x:c r="O237" s="101" t="str">
        <x:v>REQUIRED</x:v>
      </x:c>
      <x:c r="P237" s="101" t="str"/>
      <x:c r="Q237" s="101" t="str">
        <x:v>DIALOGUE</x:v>
      </x:c>
      <x:c r="R237" s="101" t="str">
        <x:v>quest.dialogue.offer</x:v>
      </x:c>
      <x:c r="S237" s="101" t="str">
        <x:v>Teamentscheidung wird einmal serverseitig gespeichert.</x:v>
      </x:c>
    </x:row>
    <x:row r="238" ht="74" customHeight="1">
      <x:c r="A238" s="104" t="str">
        <x:v>D2-Q05</x:v>
      </x:c>
      <x:c r="B238" s="104" t="str">
        <x:v>D2-Q05-S03</x:v>
      </x:c>
      <x:c r="C238" s="110" t="n">
        <x:v>3</x:v>
      </x:c>
      <x:c r="D238" s="104" t="str">
        <x:v>ACCEPT</x:v>
      </x:c>
      <x:c r="E238" s="104" t="str">
        <x:v>ACCEPT_QUEST</x:v>
      </x:c>
      <x:c r="F238" s="104" t="str">
        <x:v>FLOW_ACTION</x:v>
      </x:c>
      <x:c r="G238" s="104" t="str"/>
      <x:c r="H238" s="104" t="str">
        <x:v>TEAM</x:v>
      </x:c>
      <x:c r="I238" s="104" t="str">
        <x:v>place_day_2_fontana_dei_tritoni</x:v>
      </x:c>
      <x:c r="J238" s="104" t="str">
        <x:v>D2-Q05</x:v>
      </x:c>
      <x:c r="K238" s="104" t="str">
        <x:v>Quest annehmen; Voraussetzungen, Slotwirkung und Fallback vor Bestätigung anzeigen.</x:v>
      </x:c>
      <x:c r="L238" s="104" t="str">
        <x:v>teamVoteResolved &amp;&amp; questSlotReserved</x:v>
      </x:c>
      <x:c r="M238" s="104" t="str">
        <x:v>state=OBJECTIVE</x:v>
      </x:c>
      <x:c r="N238" s="104" t="str">
        <x:v>Annahme abbrechbar; kein Slotverbrauch.</x:v>
      </x:c>
      <x:c r="O238" s="104" t="str">
        <x:v>REQUIRED</x:v>
      </x:c>
      <x:c r="P238" s="104" t="str"/>
      <x:c r="Q238" s="104" t="str">
        <x:v>QUEST_ACCEPT</x:v>
      </x:c>
      <x:c r="R238" s="104" t="str">
        <x:v>quest.accepted</x:v>
      </x:c>
      <x:c r="S238" s="104" t="str">
        <x:v>Maximal drei reguläre aktive Quests pro Team.</x:v>
      </x:c>
    </x:row>
    <x:row r="239" ht="74" customHeight="1">
      <x:c r="A239" s="101" t="str">
        <x:v>D2-Q05</x:v>
      </x:c>
      <x:c r="B239" s="101" t="str">
        <x:v>D2-Q05-S04</x:v>
      </x:c>
      <x:c r="C239" s="109" t="n">
        <x:v>4</x:v>
      </x:c>
      <x:c r="D239" s="101" t="str">
        <x:v>OBJECTIVE</x:v>
      </x:c>
      <x:c r="E239" s="101" t="str">
        <x:v>ANSWER_QUESTION</x:v>
      </x:c>
      <x:c r="F239" s="101" t="str">
        <x:v>OBJECTIVE</x:v>
      </x:c>
      <x:c r="G239" s="101" t="str">
        <x:v>SUBMIT_ANSWER</x:v>
      </x:c>
      <x:c r="H239" s="101" t="str">
        <x:v>TEAM</x:v>
      </x:c>
      <x:c r="I239" s="101" t="str">
        <x:v>place_day_2_fontana_dei_tritoni</x:v>
      </x:c>
      <x:c r="J239" s="101" t="str">
        <x:v>OBS-D2-Q05-1</x:v>
      </x:c>
      <x:c r="K239" s="101" t="str">
        <x:v>Die zwei Tritonen am Brunnen zählen. Frage: Wie viele Tritonen tragen die obere Schale?</x:v>
      </x:c>
      <x:c r="L239" s="101" t="str">
        <x:v>normalizedAnswer matches 'Zwei'</x:v>
      </x:c>
      <x:c r="M239" s="101" t="str">
        <x:v>stationComplete=true</x:v>
      </x:c>
      <x:c r="N239" s="101" t="str">
        <x:v>Hint 1 → Hint 2 → Fallback; Grundabschluss bleibt möglich.</x:v>
      </x:c>
      <x:c r="O239" s="101" t="str">
        <x:v>REQUIRED</x:v>
      </x:c>
      <x:c r="P239" s="101" t="str">
        <x:v>stationActive</x:v>
      </x:c>
      <x:c r="Q239" s="101" t="str">
        <x:v>OBSERVATION_INPUT</x:v>
      </x:c>
      <x:c r="R239" s="101" t="str">
        <x:v>quest.observation.answered</x:v>
      </x:c>
      <x:c r="S239" s="101" t="str">
        <x:v>Evidence: Zwei große Tritonen als Träger einer Muschelschale. | Ampel: GRUEN</x:v>
      </x:c>
    </x:row>
    <x:row r="240" ht="74" customHeight="1">
      <x:c r="A240" s="104" t="str">
        <x:v>D2-Q05</x:v>
      </x:c>
      <x:c r="B240" s="104" t="str">
        <x:v>D2-Q05-S05</x:v>
      </x:c>
      <x:c r="C240" s="110" t="n">
        <x:v>5</x:v>
      </x:c>
      <x:c r="D240" s="104" t="str">
        <x:v>OBJECTIVE</x:v>
      </x:c>
      <x:c r="E240" s="104" t="str">
        <x:v>REACH_LOCATION</x:v>
      </x:c>
      <x:c r="F240" s="104" t="str">
        <x:v>OBJECTIVE</x:v>
      </x:c>
      <x:c r="G240" s="104" t="str">
        <x:v>REACH_LOCATION</x:v>
      </x:c>
      <x:c r="H240" s="104" t="str">
        <x:v>TEAM</x:v>
      </x:c>
      <x:c r="I240" s="104" t="str">
        <x:v>place_day_2_belvedere_romolo_e_remo</x:v>
      </x:c>
      <x:c r="J240" s="104" t="str">
        <x:v>place_day_2_belvedere_romolo_e_remo</x:v>
      </x:c>
      <x:c r="K240" s="104" t="str">
        <x:v>Erreicht Belvedere Romolo E Remo.</x:v>
      </x:c>
      <x:c r="L240" s="104" t="str">
        <x:v>teamMembersInRadius &gt;= 2 &amp;&amp; stableFixes &gt;= 2</x:v>
      </x:c>
      <x:c r="M240" s="104" t="str">
        <x:v>stationActive=true</x:v>
      </x:c>
      <x:c r="N240" s="104" t="str">
        <x:v>Hinweisleiter; Ziel bleibt offen.</x:v>
      </x:c>
      <x:c r="O240" s="104" t="str">
        <x:v>REQUIRED</x:v>
      </x:c>
      <x:c r="P240" s="104" t="str">
        <x:v>previousStepComplete</x:v>
      </x:c>
      <x:c r="Q240" s="104" t="str">
        <x:v>MAP_AND_QUEST</x:v>
      </x:c>
      <x:c r="R240" s="104" t="str">
        <x:v>quest.location.reached</x:v>
      </x:c>
      <x:c r="S240" s="104" t="str">
        <x:v>Standard 15-m-Zielradius; keine Innen-/Eintrittspflicht.</x:v>
      </x:c>
    </x:row>
    <x:row r="241" ht="74" customHeight="1">
      <x:c r="A241" s="101" t="str">
        <x:v>D2-Q05</x:v>
      </x:c>
      <x:c r="B241" s="101" t="str">
        <x:v>D2-Q05-S06</x:v>
      </x:c>
      <x:c r="C241" s="109" t="n">
        <x:v>6</x:v>
      </x:c>
      <x:c r="D241" s="101" t="str">
        <x:v>OBJECTIVE</x:v>
      </x:c>
      <x:c r="E241" s="101" t="str">
        <x:v>ANSWER_QUESTION</x:v>
      </x:c>
      <x:c r="F241" s="101" t="str">
        <x:v>OBJECTIVE</x:v>
      </x:c>
      <x:c r="G241" s="101" t="str">
        <x:v>SUBMIT_ANSWER</x:v>
      </x:c>
      <x:c r="H241" s="101" t="str">
        <x:v>TEAM</x:v>
      </x:c>
      <x:c r="I241" s="101" t="str">
        <x:v>place_day_2_belvedere_romolo_e_remo</x:v>
      </x:c>
      <x:c r="J241" s="101" t="str">
        <x:v>OBS-D2-Q05-2</x:v>
      </x:c>
      <x:c r="K241" s="101" t="str">
        <x:v>Vom Belvedere den Palatin gegenüber dem Circus bestimmen. Frage: Welcher Hügel liegt auf der gegenüberliegenden Seite des Circus Maximus?</x:v>
      </x:c>
      <x:c r="L241" s="101" t="str">
        <x:v>normalizedAnswer matches 'Der Palatin'</x:v>
      </x:c>
      <x:c r="M241" s="101" t="str">
        <x:v>stationComplete=true</x:v>
      </x:c>
      <x:c r="N241" s="101" t="str">
        <x:v>Hint 1 → Hint 2 → Fallback; Grundabschluss bleibt möglich.</x:v>
      </x:c>
      <x:c r="O241" s="101" t="str">
        <x:v>REQUIRED</x:v>
      </x:c>
      <x:c r="P241" s="101" t="str">
        <x:v>stationActive</x:v>
      </x:c>
      <x:c r="Q241" s="101" t="str">
        <x:v>OBSERVATION_INPUT</x:v>
      </x:c>
      <x:c r="R241" s="101" t="str">
        <x:v>quest.observation.answered</x:v>
      </x:c>
      <x:c r="S241" s="101" t="str">
        <x:v>Evidence: Freier Panoramablick über die langgestreckte Circus-Senke zum Palatin. | Ampel: GRUEN</x:v>
      </x:c>
    </x:row>
    <x:row r="242" ht="74" customHeight="1">
      <x:c r="A242" s="104" t="str">
        <x:v>D2-Q05</x:v>
      </x:c>
      <x:c r="B242" s="104" t="str">
        <x:v>D2-Q05-S07</x:v>
      </x:c>
      <x:c r="C242" s="110" t="n">
        <x:v>7</x:v>
      </x:c>
      <x:c r="D242" s="104" t="str">
        <x:v>OBJECTIVE</x:v>
      </x:c>
      <x:c r="E242" s="104" t="str">
        <x:v>REACH_LOCATION</x:v>
      </x:c>
      <x:c r="F242" s="104" t="str">
        <x:v>OBJECTIVE</x:v>
      </x:c>
      <x:c r="G242" s="104" t="str">
        <x:v>REACH_LOCATION</x:v>
      </x:c>
      <x:c r="H242" s="104" t="str">
        <x:v>TEAM</x:v>
      </x:c>
      <x:c r="I242" s="104" t="str">
        <x:v>place_day_2_fontana_del_mascherone_di_santa_sabina</x:v>
      </x:c>
      <x:c r="J242" s="104" t="str">
        <x:v>place_day_2_fontana_del_mascherone_di_santa_sabina</x:v>
      </x:c>
      <x:c r="K242" s="104" t="str">
        <x:v>Erreicht Maskenbrunnen bei Santa Sabina.</x:v>
      </x:c>
      <x:c r="L242" s="104" t="str">
        <x:v>teamMembersInRadius &gt;= 2 &amp;&amp; stableFixes &gt;= 2</x:v>
      </x:c>
      <x:c r="M242" s="104" t="str">
        <x:v>stationActive=true</x:v>
      </x:c>
      <x:c r="N242" s="104" t="str">
        <x:v>Hinweisleiter; Ziel bleibt offen.</x:v>
      </x:c>
      <x:c r="O242" s="104" t="str">
        <x:v>REQUIRED</x:v>
      </x:c>
      <x:c r="P242" s="104" t="str">
        <x:v>previousStepComplete</x:v>
      </x:c>
      <x:c r="Q242" s="104" t="str">
        <x:v>MAP_AND_QUEST</x:v>
      </x:c>
      <x:c r="R242" s="104" t="str">
        <x:v>quest.location.reached</x:v>
      </x:c>
      <x:c r="S242" s="104" t="str">
        <x:v>Standard 15-m-Zielradius; keine Innen-/Eintrittspflicht.</x:v>
      </x:c>
    </x:row>
    <x:row r="243" ht="74" customHeight="1">
      <x:c r="A243" s="101" t="str">
        <x:v>D2-Q05</x:v>
      </x:c>
      <x:c r="B243" s="101" t="str">
        <x:v>D2-Q05-S08</x:v>
      </x:c>
      <x:c r="C243" s="109" t="n">
        <x:v>8</x:v>
      </x:c>
      <x:c r="D243" s="101" t="str">
        <x:v>OBJECTIVE</x:v>
      </x:c>
      <x:c r="E243" s="101" t="str">
        <x:v>ANSWER_QUESTION</x:v>
      </x:c>
      <x:c r="F243" s="101" t="str">
        <x:v>OBJECTIVE</x:v>
      </x:c>
      <x:c r="G243" s="101" t="str">
        <x:v>SUBMIT_ANSWER</x:v>
      </x:c>
      <x:c r="H243" s="101" t="str">
        <x:v>TEAM</x:v>
      </x:c>
      <x:c r="I243" s="101" t="str">
        <x:v>place_day_2_fontana_del_mascherone_di_santa_sabina</x:v>
      </x:c>
      <x:c r="J243" s="101" t="str">
        <x:v>OBS-D2-Q05-3</x:v>
      </x:c>
      <x:c r="K243" s="101" t="str">
        <x:v>Am Maskenbrunnen den Wasserauslass im Mund erkennen und die drei Beobachtungen zuordnen. Frage: Aus welchem Gesichtsteil tritt das Wasser?</x:v>
      </x:c>
      <x:c r="L243" s="101" t="str">
        <x:v>normalizedAnswer matches 'Aus dem Mund'</x:v>
      </x:c>
      <x:c r="M243" s="101" t="str">
        <x:v>stationComplete=true</x:v>
      </x:c>
      <x:c r="N243" s="101" t="str">
        <x:v>Hint 1 → Hint 2 → Fallback; Grundabschluss bleibt möglich.</x:v>
      </x:c>
      <x:c r="O243" s="101" t="str">
        <x:v>REQUIRED</x:v>
      </x:c>
      <x:c r="P243" s="101" t="str">
        <x:v>stationActive</x:v>
      </x:c>
      <x:c r="Q243" s="101" t="str">
        <x:v>OBSERVATION_INPUT</x:v>
      </x:c>
      <x:c r="R243" s="101" t="str">
        <x:v>quest.observation.answered</x:v>
      </x:c>
      <x:c r="S243" s="101" t="str">
        <x:v>Evidence: Großes steinernes Maskengesicht mit Wasserauslass im Mund. | Ampel: GRUEN</x:v>
      </x:c>
    </x:row>
    <x:row r="244" ht="74" customHeight="1">
      <x:c r="A244" s="104" t="str">
        <x:v>D2-Q05</x:v>
      </x:c>
      <x:c r="B244" s="104" t="str">
        <x:v>D2-Q05-S09</x:v>
      </x:c>
      <x:c r="C244" s="110" t="n">
        <x:v>9</x:v>
      </x:c>
      <x:c r="D244" s="104" t="str">
        <x:v>OBJECTIVE</x:v>
      </x:c>
      <x:c r="E244" s="104" t="str">
        <x:v>SOLVE_PUZZLE</x:v>
      </x:c>
      <x:c r="F244" s="104" t="str">
        <x:v>OBJECTIVE</x:v>
      </x:c>
      <x:c r="G244" s="104" t="str">
        <x:v>SUBMIT_ANSWER</x:v>
      </x:c>
      <x:c r="H244" s="104" t="str">
        <x:v>TEAM</x:v>
      </x:c>
      <x:c r="I244" s="104" t="str">
        <x:v>place_day_2_fontana_del_mascherone_di_santa_sabina</x:v>
      </x:c>
      <x:c r="J244" s="104" t="str">
        <x:v>PZ-D2-Q05</x:v>
      </x:c>
      <x:c r="K244" s="104" t="str">
        <x:v>Welche Folge passt zur Route?</x:v>
      </x:c>
      <x:c r="L244" s="104" t="str">
        <x:v>puzzleResult == CORRECT</x:v>
      </x:c>
      <x:c r="M244" s="104" t="str">
        <x:v>synthesisComplete=true</x:v>
      </x:c>
      <x:c r="N244" s="104" t="str">
        <x:v>Bei gesperrtem Brunnenbereich nur Panorama und Maskenform verwenden.</x:v>
      </x:c>
      <x:c r="O244" s="104" t="str">
        <x:v>REQUIRED</x:v>
      </x:c>
      <x:c r="P244" s="104" t="str">
        <x:v>allRequiredStationsComplete</x:v>
      </x:c>
      <x:c r="Q244" s="104" t="str">
        <x:v>PUZZLE</x:v>
      </x:c>
      <x:c r="R244" s="104" t="str">
        <x:v>quest.puzzle.solved</x:v>
      </x:c>
      <x:c r="S244" s="104" t="str">
        <x:v>Penalty: Kein Medienquest-Bonus</x:v>
      </x:c>
    </x:row>
    <x:row r="245" ht="74" customHeight="1">
      <x:c r="A245" s="101" t="str">
        <x:v>D2-Q05</x:v>
      </x:c>
      <x:c r="B245" s="101" t="str">
        <x:v>D2-Q05-S10</x:v>
      </x:c>
      <x:c r="C245" s="109" t="n">
        <x:v>10</x:v>
      </x:c>
      <x:c r="D245" s="101" t="str">
        <x:v>BONUS_OBJECTIVE</x:v>
      </x:c>
      <x:c r="E245" s="101" t="str">
        <x:v>DEFEAT_ENEMY</x:v>
      </x:c>
      <x:c r="F245" s="101" t="str">
        <x:v>OBJECTIVE</x:v>
      </x:c>
      <x:c r="G245" s="101" t="str">
        <x:v>COMPLETE_ENCOUNTER</x:v>
      </x:c>
      <x:c r="H245" s="101" t="str">
        <x:v>TEAM</x:v>
      </x:c>
      <x:c r="I245" s="101" t="str">
        <x:v>place_day_2_fontana_del_mascherone_di_santa_sabina</x:v>
      </x:c>
      <x:c r="J245" s="101" t="str">
        <x:v>CP-QE-MASCHERONE</x:v>
      </x:c>
      <x:c r="K245" s="101" t="str">
        <x:v>Mascherone dell’Aventino bekämpfen.</x:v>
      </x:c>
      <x:c r="L245" s="101" t="str">
        <x:v>combatState == WON</x:v>
      </x:c>
      <x:c r="M245" s="101" t="str">
        <x:v>encounterComplete=true</x:v>
      </x:c>
      <x:c r="N245" s="101" t="str">
        <x:v>Optionaler Zweig endet ohne Grundbelohnungsverlust.</x:v>
      </x:c>
      <x:c r="O245" s="101" t="str">
        <x:v>OPTIONAL</x:v>
      </x:c>
      <x:c r="P245" s="101" t="str">
        <x:v>branchSelected</x:v>
      </x:c>
      <x:c r="Q245" s="101" t="str">
        <x:v>COMBAT</x:v>
      </x:c>
      <x:c r="R245" s="101" t="str">
        <x:v>quest.combat.completed</x:v>
      </x:c>
      <x:c r="S245" s="101" t="str">
        <x:v>QUEST_ENEMY ist teambezogen; kein normaler Respawn.</x:v>
      </x:c>
    </x:row>
    <x:row r="246" ht="74" customHeight="1">
      <x:c r="A246" s="104" t="str">
        <x:v>D2-Q05</x:v>
      </x:c>
      <x:c r="B246" s="104" t="str">
        <x:v>D2-Q05-S11</x:v>
      </x:c>
      <x:c r="C246" s="110" t="n">
        <x:v>11</x:v>
      </x:c>
      <x:c r="D246" s="104" t="str">
        <x:v>COMPLETE</x:v>
      </x:c>
      <x:c r="E246" s="104" t="str">
        <x:v>TALK_TO_NPC</x:v>
      </x:c>
      <x:c r="F246" s="104" t="str">
        <x:v>OBJECTIVE</x:v>
      </x:c>
      <x:c r="G246" s="104" t="str">
        <x:v>COMPLETE_DIALOGUE</x:v>
      </x:c>
      <x:c r="H246" s="104" t="str">
        <x:v>TEAM</x:v>
      </x:c>
      <x:c r="I246" s="104" t="str">
        <x:v>place_day_2_fontana_del_mascherone_di_santa_sabina</x:v>
      </x:c>
      <x:c r="J246" s="104" t="str">
        <x:v>D2-Q05-COMPLETE</x:v>
      </x:c>
      <x:c r="K246" s="104" t="str">
        <x:v>Abschlussdialog und Konsequenz anzeigen.</x:v>
      </x:c>
      <x:c r="L246" s="104" t="str">
        <x:v>dialogSequenceComplete('D2-Q05-COMPLETE')</x:v>
      </x:c>
      <x:c r="M246" s="104" t="str">
        <x:v>state=REWARD</x:v>
      </x:c>
      <x:c r="N246" s="104" t="str">
        <x:v>Dialog erneut öffnen.</x:v>
      </x:c>
      <x:c r="O246" s="104" t="str">
        <x:v>REQUIRED</x:v>
      </x:c>
      <x:c r="P246" s="104" t="str">
        <x:v>allRequiredObjectivesComplete</x:v>
      </x:c>
      <x:c r="Q246" s="104" t="str">
        <x:v>DIALOGUE</x:v>
      </x:c>
      <x:c r="R246" s="104" t="str">
        <x:v>quest.completed</x:v>
      </x:c>
      <x:c r="S246" s="104" t="str">
        <x:v>Abschluss erst serverseitig nach allen Pflichtschritten.</x:v>
      </x:c>
    </x:row>
    <x:row r="247" ht="74" customHeight="1">
      <x:c r="A247" s="101" t="str">
        <x:v>D2-Q05</x:v>
      </x:c>
      <x:c r="B247" s="101" t="str">
        <x:v>D2-Q05-S12</x:v>
      </x:c>
      <x:c r="C247" s="109" t="n">
        <x:v>12</x:v>
      </x:c>
      <x:c r="D247" s="101" t="str">
        <x:v>REWARD</x:v>
      </x:c>
      <x:c r="E247" s="101" t="str">
        <x:v>GRANT_REWARD</x:v>
      </x:c>
      <x:c r="F247" s="101" t="str">
        <x:v>SYSTEM_ACTION</x:v>
      </x:c>
      <x:c r="G247" s="101" t="str"/>
      <x:c r="H247" s="101" t="str">
        <x:v>TEAM</x:v>
      </x:c>
      <x:c r="I247" s="101" t="str"/>
      <x:c r="J247" s="101" t="str">
        <x:v>D2-Q05</x:v>
      </x:c>
      <x:c r="K247" s="101" t="str">
        <x:v>Atomare Vergabe von Ruhm, Denaren, Loot und Variantenbonus.</x:v>
      </x:c>
      <x:c r="L247" s="101" t="str">
        <x:v>rewardTransactionCommitted</x:v>
      </x:c>
      <x:c r="M247" s="101" t="str">
        <x:v>state=COMPLETED</x:v>
      </x:c>
      <x:c r="N247" s="101" t="str">
        <x:v>Idempotenter Retry mit gleicher rewardTransactionId.</x:v>
      </x:c>
      <x:c r="O247" s="101" t="str">
        <x:v>REQUIRED</x:v>
      </x:c>
      <x:c r="P247" s="101" t="str">
        <x:v>questComplete</x:v>
      </x:c>
      <x:c r="Q247" s="101" t="str">
        <x:v>REWARD</x:v>
      </x:c>
      <x:c r="R247" s="101" t="str">
        <x:v>quest.reward.granted</x:v>
      </x:c>
      <x:c r="S247" s="101" t="str">
        <x:v>Arbeitswerte aus Quest Master; finales Balancing separat.</x:v>
      </x:c>
    </x:row>
    <x:row r="248" ht="74" customHeight="1">
      <x:c r="A248" s="104" t="str">
        <x:v>D2-Q06</x:v>
      </x:c>
      <x:c r="B248" s="104" t="str">
        <x:v>D2-Q06-S01</x:v>
      </x:c>
      <x:c r="C248" s="110" t="n">
        <x:v>1</x:v>
      </x:c>
      <x:c r="D248" s="104" t="str">
        <x:v>DISCOVER</x:v>
      </x:c>
      <x:c r="E248" s="104" t="str">
        <x:v>DISCOVER_NPC</x:v>
      </x:c>
      <x:c r="F248" s="104" t="str">
        <x:v>FLOW_ACTION</x:v>
      </x:c>
      <x:c r="G248" s="104" t="str"/>
      <x:c r="H248" s="104" t="str">
        <x:v>TEAM</x:v>
      </x:c>
      <x:c r="I248" s="104" t="str">
        <x:v>place_day_2_fontana_della_navicella</x:v>
      </x:c>
      <x:c r="J248" s="104" t="str">
        <x:v>npc_nauta_celimontanus</x:v>
      </x:c>
      <x:c r="K248" s="104" t="str">
        <x:v>Entdeckt Nauta Celimontanus ab 55 m; Interaktion wird bei stabilem 15-m-Fix verfügbar.</x:v>
      </x:c>
      <x:c r="L248" s="104" t="str">
        <x:v>npcDiscovered &amp;&amp; interactionGateOpen</x:v>
      </x:c>
      <x:c r="M248" s="104" t="str">
        <x:v>state=DIALOGUE</x:v>
      </x:c>
      <x:c r="N248" s="104" t="str">
        <x:v>UI bleibt auf Karte; GPS-Hinweis anzeigen.</x:v>
      </x:c>
      <x:c r="O248" s="104" t="str">
        <x:v>REQUIRED</x:v>
      </x:c>
      <x:c r="P248" s="104" t="str"/>
      <x:c r="Q248" s="104" t="str">
        <x:v>MAP_OBJECT_SHEET</x:v>
      </x:c>
      <x:c r="R248" s="104" t="str">
        <x:v>quest.discovered</x:v>
      </x:c>
      <x:c r="S248" s="104" t="str">
        <x:v>15-m-Enter/25-m-Exit-Hysterese; serverautoritativ.</x:v>
      </x:c>
    </x:row>
    <x:row r="249" ht="74" customHeight="1">
      <x:c r="A249" s="101" t="str">
        <x:v>D2-Q06</x:v>
      </x:c>
      <x:c r="B249" s="101" t="str">
        <x:v>D2-Q06-S02</x:v>
      </x:c>
      <x:c r="C249" s="109" t="n">
        <x:v>2</x:v>
      </x:c>
      <x:c r="D249" s="101" t="str">
        <x:v>DIALOGUE</x:v>
      </x:c>
      <x:c r="E249" s="101" t="str">
        <x:v>TALK_TO_NPC</x:v>
      </x:c>
      <x:c r="F249" s="101" t="str">
        <x:v>OBJECTIVE</x:v>
      </x:c>
      <x:c r="G249" s="101" t="str">
        <x:v>COMPLETE_DIALOGUE</x:v>
      </x:c>
      <x:c r="H249" s="101" t="str">
        <x:v>TEAM</x:v>
      </x:c>
      <x:c r="I249" s="101" t="str">
        <x:v>place_day_2_fontana_della_navicella</x:v>
      </x:c>
      <x:c r="J249" s="101" t="str">
        <x:v>D2-Q06-OFFER</x:v>
      </x:c>
      <x:c r="K249" s="101" t="str">
        <x:v>Questangebot und erste Dialogoption anzeigen.</x:v>
      </x:c>
      <x:c r="L249" s="101" t="str">
        <x:v>dialogSequenceComplete('D2-Q06-OFFER')</x:v>
      </x:c>
      <x:c r="M249" s="101" t="str">
        <x:v>state=ACCEPT</x:v>
      </x:c>
      <x:c r="N249" s="101" t="str">
        <x:v>Dialog kann erneut geöffnet werden.</x:v>
      </x:c>
      <x:c r="O249" s="101" t="str">
        <x:v>REQUIRED</x:v>
      </x:c>
      <x:c r="P249" s="101" t="str"/>
      <x:c r="Q249" s="101" t="str">
        <x:v>DIALOGUE</x:v>
      </x:c>
      <x:c r="R249" s="101" t="str">
        <x:v>quest.dialogue.offer</x:v>
      </x:c>
      <x:c r="S249" s="101" t="str">
        <x:v>Teamentscheidung wird einmal serverseitig gespeichert.</x:v>
      </x:c>
    </x:row>
    <x:row r="250" ht="74" customHeight="1">
      <x:c r="A250" s="104" t="str">
        <x:v>D2-Q06</x:v>
      </x:c>
      <x:c r="B250" s="104" t="str">
        <x:v>D2-Q06-S03</x:v>
      </x:c>
      <x:c r="C250" s="110" t="n">
        <x:v>3</x:v>
      </x:c>
      <x:c r="D250" s="104" t="str">
        <x:v>ACCEPT</x:v>
      </x:c>
      <x:c r="E250" s="104" t="str">
        <x:v>ACCEPT_QUEST</x:v>
      </x:c>
      <x:c r="F250" s="104" t="str">
        <x:v>FLOW_ACTION</x:v>
      </x:c>
      <x:c r="G250" s="104" t="str"/>
      <x:c r="H250" s="104" t="str">
        <x:v>TEAM</x:v>
      </x:c>
      <x:c r="I250" s="104" t="str">
        <x:v>place_day_2_fontana_della_navicella</x:v>
      </x:c>
      <x:c r="J250" s="104" t="str">
        <x:v>D2-Q06</x:v>
      </x:c>
      <x:c r="K250" s="104" t="str">
        <x:v>Quest annehmen; Voraussetzungen, Slotwirkung und Fallback vor Bestätigung anzeigen.</x:v>
      </x:c>
      <x:c r="L250" s="104" t="str">
        <x:v>teamVoteResolved &amp;&amp; questSlotReserved</x:v>
      </x:c>
      <x:c r="M250" s="104" t="str">
        <x:v>state=OBJECTIVE</x:v>
      </x:c>
      <x:c r="N250" s="104" t="str">
        <x:v>Annahme abbrechbar; kein Slotverbrauch.</x:v>
      </x:c>
      <x:c r="O250" s="104" t="str">
        <x:v>REQUIRED</x:v>
      </x:c>
      <x:c r="P250" s="104" t="str"/>
      <x:c r="Q250" s="104" t="str">
        <x:v>QUEST_ACCEPT</x:v>
      </x:c>
      <x:c r="R250" s="104" t="str">
        <x:v>quest.accepted</x:v>
      </x:c>
      <x:c r="S250" s="104" t="str">
        <x:v>Maximal drei reguläre aktive Quests pro Team.</x:v>
      </x:c>
    </x:row>
    <x:row r="251" ht="74" customHeight="1">
      <x:c r="A251" s="101" t="str">
        <x:v>D2-Q06</x:v>
      </x:c>
      <x:c r="B251" s="101" t="str">
        <x:v>D2-Q06-S04</x:v>
      </x:c>
      <x:c r="C251" s="109" t="n">
        <x:v>4</x:v>
      </x:c>
      <x:c r="D251" s="101" t="str">
        <x:v>OBJECTIVE</x:v>
      </x:c>
      <x:c r="E251" s="101" t="str">
        <x:v>ANSWER_QUESTION</x:v>
      </x:c>
      <x:c r="F251" s="101" t="str">
        <x:v>OBJECTIVE</x:v>
      </x:c>
      <x:c r="G251" s="101" t="str">
        <x:v>SUBMIT_ANSWER</x:v>
      </x:c>
      <x:c r="H251" s="101" t="str">
        <x:v>TEAM</x:v>
      </x:c>
      <x:c r="I251" s="101" t="str">
        <x:v>place_day_2_fontana_della_navicella</x:v>
      </x:c>
      <x:c r="J251" s="101" t="str">
        <x:v>OBS-D2-Q06-1</x:v>
      </x:c>
      <x:c r="K251" s="101" t="str">
        <x:v>Die Navicella als Schiff erkennen und ihre Ausrichtung vom öffentlichen Außenpunkt bestimmen. Frage: Welche Objektform besitzt die zentrale Skulptur?</x:v>
      </x:c>
      <x:c r="L251" s="101" t="str">
        <x:v>normalizedAnswer matches 'Ein Schiff'</x:v>
      </x:c>
      <x:c r="M251" s="101" t="str">
        <x:v>stationComplete=true</x:v>
      </x:c>
      <x:c r="N251" s="101" t="str">
        <x:v>Hint 1 → Hint 2 → Fallback; Grundabschluss bleibt möglich.</x:v>
      </x:c>
      <x:c r="O251" s="101" t="str">
        <x:v>REQUIRED</x:v>
      </x:c>
      <x:c r="P251" s="101" t="str">
        <x:v>stationActive</x:v>
      </x:c>
      <x:c r="Q251" s="101" t="str">
        <x:v>OBSERVATION_INPUT</x:v>
      </x:c>
      <x:c r="R251" s="101" t="str">
        <x:v>quest.observation.answered</x:v>
      </x:c>
      <x:c r="S251" s="101" t="str">
        <x:v>Evidence: Großes steinernes Schiff als zentrales Brunnenobjekt. | Ampel: GRUEN</x:v>
      </x:c>
    </x:row>
    <x:row r="252" ht="74" customHeight="1">
      <x:c r="A252" s="104" t="str">
        <x:v>D2-Q06</x:v>
      </x:c>
      <x:c r="B252" s="104" t="str">
        <x:v>D2-Q06-S05</x:v>
      </x:c>
      <x:c r="C252" s="110" t="n">
        <x:v>5</x:v>
      </x:c>
      <x:c r="D252" s="104" t="str">
        <x:v>OBJECTIVE</x:v>
      </x:c>
      <x:c r="E252" s="104" t="str">
        <x:v>SOLVE_PUZZLE</x:v>
      </x:c>
      <x:c r="F252" s="104" t="str">
        <x:v>OBJECTIVE</x:v>
      </x:c>
      <x:c r="G252" s="104" t="str">
        <x:v>SUBMIT_ANSWER</x:v>
      </x:c>
      <x:c r="H252" s="104" t="str">
        <x:v>TEAM</x:v>
      </x:c>
      <x:c r="I252" s="104" t="str">
        <x:v>place_day_2_fontana_della_navicella</x:v>
      </x:c>
      <x:c r="J252" s="104" t="str">
        <x:v>PZ-D2-Q06</x:v>
      </x:c>
      <x:c r="K252" s="104" t="str">
        <x:v>Welche Objektform besitzt die zentrale Skulptur?</x:v>
      </x:c>
      <x:c r="L252" s="104" t="str">
        <x:v>puzzleResult == CORRECT</x:v>
      </x:c>
      <x:c r="M252" s="104" t="str">
        <x:v>synthesisComplete=true</x:v>
      </x:c>
      <x:c r="N252" s="104" t="str">
        <x:v>Nur Ausrichtung Bug/Heck auswählen.</x:v>
      </x:c>
      <x:c r="O252" s="104" t="str">
        <x:v>REQUIRED</x:v>
      </x:c>
      <x:c r="P252" s="104" t="str">
        <x:v>allRequiredStationsComplete</x:v>
      </x:c>
      <x:c r="Q252" s="104" t="str">
        <x:v>PUZZLE</x:v>
      </x:c>
      <x:c r="R252" s="104" t="str">
        <x:v>quest.puzzle.solved</x:v>
      </x:c>
      <x:c r="S252" s="104" t="str">
        <x:v>Penalty: Navigationsbonus entfällt</x:v>
      </x:c>
    </x:row>
    <x:row r="253" ht="74" customHeight="1">
      <x:c r="A253" s="101" t="str">
        <x:v>D2-Q06</x:v>
      </x:c>
      <x:c r="B253" s="101" t="str">
        <x:v>D2-Q06-S06</x:v>
      </x:c>
      <x:c r="C253" s="109" t="n">
        <x:v>6</x:v>
      </x:c>
      <x:c r="D253" s="101" t="str">
        <x:v>COMPLETE</x:v>
      </x:c>
      <x:c r="E253" s="101" t="str">
        <x:v>TALK_TO_NPC</x:v>
      </x:c>
      <x:c r="F253" s="101" t="str">
        <x:v>OBJECTIVE</x:v>
      </x:c>
      <x:c r="G253" s="101" t="str">
        <x:v>COMPLETE_DIALOGUE</x:v>
      </x:c>
      <x:c r="H253" s="101" t="str">
        <x:v>TEAM</x:v>
      </x:c>
      <x:c r="I253" s="101" t="str">
        <x:v>place_day_2_fontana_della_navicella</x:v>
      </x:c>
      <x:c r="J253" s="101" t="str">
        <x:v>D2-Q06-COMPLETE</x:v>
      </x:c>
      <x:c r="K253" s="101" t="str">
        <x:v>Abschlussdialog und Konsequenz anzeigen.</x:v>
      </x:c>
      <x:c r="L253" s="101" t="str">
        <x:v>dialogSequenceComplete('D2-Q06-COMPLETE')</x:v>
      </x:c>
      <x:c r="M253" s="101" t="str">
        <x:v>state=REWARD</x:v>
      </x:c>
      <x:c r="N253" s="101" t="str">
        <x:v>Dialog erneut öffnen.</x:v>
      </x:c>
      <x:c r="O253" s="101" t="str">
        <x:v>REQUIRED</x:v>
      </x:c>
      <x:c r="P253" s="101" t="str">
        <x:v>allRequiredObjectivesComplete</x:v>
      </x:c>
      <x:c r="Q253" s="101" t="str">
        <x:v>DIALOGUE</x:v>
      </x:c>
      <x:c r="R253" s="101" t="str">
        <x:v>quest.completed</x:v>
      </x:c>
      <x:c r="S253" s="101" t="str">
        <x:v>Abschluss erst serverseitig nach allen Pflichtschritten.</x:v>
      </x:c>
    </x:row>
    <x:row r="254" ht="74" customHeight="1">
      <x:c r="A254" s="104" t="str">
        <x:v>D2-Q06</x:v>
      </x:c>
      <x:c r="B254" s="104" t="str">
        <x:v>D2-Q06-S07</x:v>
      </x:c>
      <x:c r="C254" s="110" t="n">
        <x:v>7</x:v>
      </x:c>
      <x:c r="D254" s="104" t="str">
        <x:v>REWARD</x:v>
      </x:c>
      <x:c r="E254" s="104" t="str">
        <x:v>GRANT_REWARD</x:v>
      </x:c>
      <x:c r="F254" s="104" t="str">
        <x:v>SYSTEM_ACTION</x:v>
      </x:c>
      <x:c r="G254" s="104" t="str"/>
      <x:c r="H254" s="104" t="str">
        <x:v>TEAM</x:v>
      </x:c>
      <x:c r="I254" s="104" t="str"/>
      <x:c r="J254" s="104" t="str">
        <x:v>D2-Q06</x:v>
      </x:c>
      <x:c r="K254" s="104" t="str">
        <x:v>Atomare Vergabe von Ruhm, Denaren, Loot und Variantenbonus.</x:v>
      </x:c>
      <x:c r="L254" s="104" t="str">
        <x:v>rewardTransactionCommitted</x:v>
      </x:c>
      <x:c r="M254" s="104" t="str">
        <x:v>state=COMPLETED</x:v>
      </x:c>
      <x:c r="N254" s="104" t="str">
        <x:v>Idempotenter Retry mit gleicher rewardTransactionId.</x:v>
      </x:c>
      <x:c r="O254" s="104" t="str">
        <x:v>REQUIRED</x:v>
      </x:c>
      <x:c r="P254" s="104" t="str">
        <x:v>questComplete</x:v>
      </x:c>
      <x:c r="Q254" s="104" t="str">
        <x:v>REWARD</x:v>
      </x:c>
      <x:c r="R254" s="104" t="str">
        <x:v>quest.reward.granted</x:v>
      </x:c>
      <x:c r="S254" s="104" t="str">
        <x:v>Arbeitswerte aus Quest Master; finales Balancing separat.</x:v>
      </x:c>
    </x:row>
    <x:row r="255" ht="74" customHeight="1">
      <x:c r="A255" s="101" t="str">
        <x:v>D2-Q07</x:v>
      </x:c>
      <x:c r="B255" s="101" t="str">
        <x:v>D2-Q07-S01</x:v>
      </x:c>
      <x:c r="C255" s="109" t="n">
        <x:v>1</x:v>
      </x:c>
      <x:c r="D255" s="101" t="str">
        <x:v>DISCOVER</x:v>
      </x:c>
      <x:c r="E255" s="101" t="str">
        <x:v>DISCOVER_NPC</x:v>
      </x:c>
      <x:c r="F255" s="101" t="str">
        <x:v>FLOW_ACTION</x:v>
      </x:c>
      <x:c r="G255" s="101" t="str"/>
      <x:c r="H255" s="101" t="str">
        <x:v>TEAM</x:v>
      </x:c>
      <x:c r="I255" s="101" t="str">
        <x:v>place_day_2_basilica_di_san_giovanni_in_laterano</x:v>
      </x:c>
      <x:c r="J255" s="101" t="str">
        <x:v>npc_sixtus_vermesser</x:v>
      </x:c>
      <x:c r="K255" s="101" t="str">
        <x:v>Entdeckt Sixtus, Vermesser der Achsen ab 55 m; Interaktion wird bei stabilem 15-m-Fix verfügbar.</x:v>
      </x:c>
      <x:c r="L255" s="101" t="str">
        <x:v>npcDiscovered &amp;&amp; interactionGateOpen</x:v>
      </x:c>
      <x:c r="M255" s="101" t="str">
        <x:v>state=DIALOGUE</x:v>
      </x:c>
      <x:c r="N255" s="101" t="str">
        <x:v>UI bleibt auf Karte; GPS-Hinweis anzeigen.</x:v>
      </x:c>
      <x:c r="O255" s="101" t="str">
        <x:v>REQUIRED</x:v>
      </x:c>
      <x:c r="P255" s="101" t="str"/>
      <x:c r="Q255" s="101" t="str">
        <x:v>MAP_OBJECT_SHEET</x:v>
      </x:c>
      <x:c r="R255" s="101" t="str">
        <x:v>quest.discovered</x:v>
      </x:c>
      <x:c r="S255" s="101" t="str">
        <x:v>15-m-Enter/25-m-Exit-Hysterese; serverautoritativ.</x:v>
      </x:c>
    </x:row>
    <x:row r="256" ht="74" customHeight="1">
      <x:c r="A256" s="104" t="str">
        <x:v>D2-Q07</x:v>
      </x:c>
      <x:c r="B256" s="104" t="str">
        <x:v>D2-Q07-S02</x:v>
      </x:c>
      <x:c r="C256" s="110" t="n">
        <x:v>2</x:v>
      </x:c>
      <x:c r="D256" s="104" t="str">
        <x:v>DIALOGUE</x:v>
      </x:c>
      <x:c r="E256" s="104" t="str">
        <x:v>TALK_TO_NPC</x:v>
      </x:c>
      <x:c r="F256" s="104" t="str">
        <x:v>OBJECTIVE</x:v>
      </x:c>
      <x:c r="G256" s="104" t="str">
        <x:v>COMPLETE_DIALOGUE</x:v>
      </x:c>
      <x:c r="H256" s="104" t="str">
        <x:v>TEAM</x:v>
      </x:c>
      <x:c r="I256" s="104" t="str">
        <x:v>place_day_2_basilica_di_san_giovanni_in_laterano</x:v>
      </x:c>
      <x:c r="J256" s="104" t="str">
        <x:v>D2-Q07-OFFER</x:v>
      </x:c>
      <x:c r="K256" s="104" t="str">
        <x:v>Questangebot und erste Dialogoption anzeigen.</x:v>
      </x:c>
      <x:c r="L256" s="104" t="str">
        <x:v>dialogSequenceComplete('D2-Q07-OFFER')</x:v>
      </x:c>
      <x:c r="M256" s="104" t="str">
        <x:v>state=ACCEPT</x:v>
      </x:c>
      <x:c r="N256" s="104" t="str">
        <x:v>Dialog kann erneut geöffnet werden.</x:v>
      </x:c>
      <x:c r="O256" s="104" t="str">
        <x:v>REQUIRED</x:v>
      </x:c>
      <x:c r="P256" s="104" t="str"/>
      <x:c r="Q256" s="104" t="str">
        <x:v>DIALOGUE</x:v>
      </x:c>
      <x:c r="R256" s="104" t="str">
        <x:v>quest.dialogue.offer</x:v>
      </x:c>
      <x:c r="S256" s="104" t="str">
        <x:v>Teamentscheidung wird einmal serverseitig gespeichert.</x:v>
      </x:c>
    </x:row>
    <x:row r="257" ht="74" customHeight="1">
      <x:c r="A257" s="101" t="str">
        <x:v>D2-Q07</x:v>
      </x:c>
      <x:c r="B257" s="101" t="str">
        <x:v>D2-Q07-S03</x:v>
      </x:c>
      <x:c r="C257" s="109" t="n">
        <x:v>3</x:v>
      </x:c>
      <x:c r="D257" s="101" t="str">
        <x:v>ACCEPT</x:v>
      </x:c>
      <x:c r="E257" s="101" t="str">
        <x:v>ACCEPT_QUEST</x:v>
      </x:c>
      <x:c r="F257" s="101" t="str">
        <x:v>FLOW_ACTION</x:v>
      </x:c>
      <x:c r="G257" s="101" t="str"/>
      <x:c r="H257" s="101" t="str">
        <x:v>TEAM</x:v>
      </x:c>
      <x:c r="I257" s="101" t="str">
        <x:v>place_day_2_basilica_di_san_giovanni_in_laterano</x:v>
      </x:c>
      <x:c r="J257" s="101" t="str">
        <x:v>D2-Q07</x:v>
      </x:c>
      <x:c r="K257" s="101" t="str">
        <x:v>Quest annehmen; Voraussetzungen, Slotwirkung und Fallback vor Bestätigung anzeigen.</x:v>
      </x:c>
      <x:c r="L257" s="101" t="str">
        <x:v>teamVoteResolved &amp;&amp; questSlotReserved</x:v>
      </x:c>
      <x:c r="M257" s="101" t="str">
        <x:v>state=OBJECTIVE</x:v>
      </x:c>
      <x:c r="N257" s="101" t="str">
        <x:v>Annahme abbrechbar; kein Slotverbrauch.</x:v>
      </x:c>
      <x:c r="O257" s="101" t="str">
        <x:v>REQUIRED</x:v>
      </x:c>
      <x:c r="P257" s="101" t="str"/>
      <x:c r="Q257" s="101" t="str">
        <x:v>QUEST_ACCEPT</x:v>
      </x:c>
      <x:c r="R257" s="101" t="str">
        <x:v>quest.accepted</x:v>
      </x:c>
      <x:c r="S257" s="101" t="str">
        <x:v>Maximal drei reguläre aktive Quests pro Team.</x:v>
      </x:c>
    </x:row>
    <x:row r="258" ht="74" customHeight="1">
      <x:c r="A258" s="104" t="str">
        <x:v>D2-Q07</x:v>
      </x:c>
      <x:c r="B258" s="104" t="str">
        <x:v>D2-Q07-S04</x:v>
      </x:c>
      <x:c r="C258" s="110" t="n">
        <x:v>4</x:v>
      </x:c>
      <x:c r="D258" s="104" t="str">
        <x:v>OBJECTIVE</x:v>
      </x:c>
      <x:c r="E258" s="104" t="str">
        <x:v>ANSWER_QUESTION</x:v>
      </x:c>
      <x:c r="F258" s="104" t="str">
        <x:v>OBJECTIVE</x:v>
      </x:c>
      <x:c r="G258" s="104" t="str">
        <x:v>SUBMIT_ANSWER</x:v>
      </x:c>
      <x:c r="H258" s="104" t="str">
        <x:v>TEAM</x:v>
      </x:c>
      <x:c r="I258" s="104" t="str">
        <x:v>place_day_2_basilica_di_san_giovanni_in_laterano</x:v>
      </x:c>
      <x:c r="J258" s="104" t="str">
        <x:v>OBS-D2-Q07-1</x:v>
      </x:c>
      <x:c r="K258" s="104" t="str">
        <x:v>Christus im Zentrum der Fassadenstatuen erkennen. Frage: Welche Figur steht im Zentrum der Statuengruppe auf der Hauptfassade?</x:v>
      </x:c>
      <x:c r="L258" s="104" t="str">
        <x:v>normalizedAnswer matches 'Christus'</x:v>
      </x:c>
      <x:c r="M258" s="104" t="str">
        <x:v>stationComplete=true</x:v>
      </x:c>
      <x:c r="N258" s="104" t="str">
        <x:v>Hint 1 → Hint 2 → Fallback; Grundabschluss bleibt möglich.</x:v>
      </x:c>
      <x:c r="O258" s="104" t="str">
        <x:v>REQUIRED</x:v>
      </x:c>
      <x:c r="P258" s="104" t="str">
        <x:v>stationActive</x:v>
      </x:c>
      <x:c r="Q258" s="104" t="str">
        <x:v>OBSERVATION_INPUT</x:v>
      </x:c>
      <x:c r="R258" s="104" t="str">
        <x:v>quest.observation.answered</x:v>
      </x:c>
      <x:c r="S258" s="104" t="str">
        <x:v>Evidence: Sehr große Statuengruppe auf der Dachlinie mit Christus in der Mitte. | Ampel: GRUEN</x:v>
      </x:c>
    </x:row>
    <x:row r="259" ht="74" customHeight="1">
      <x:c r="A259" s="101" t="str">
        <x:v>D2-Q07</x:v>
      </x:c>
      <x:c r="B259" s="101" t="str">
        <x:v>D2-Q07-S05</x:v>
      </x:c>
      <x:c r="C259" s="109" t="n">
        <x:v>5</x:v>
      </x:c>
      <x:c r="D259" s="101" t="str">
        <x:v>OBJECTIVE</x:v>
      </x:c>
      <x:c r="E259" s="101" t="str">
        <x:v>REACH_LOCATION</x:v>
      </x:c>
      <x:c r="F259" s="101" t="str">
        <x:v>OBJECTIVE</x:v>
      </x:c>
      <x:c r="G259" s="101" t="str">
        <x:v>REACH_LOCATION</x:v>
      </x:c>
      <x:c r="H259" s="101" t="str">
        <x:v>TEAM</x:v>
      </x:c>
      <x:c r="I259" s="101" t="str">
        <x:v>place_day_2_obelisco_lateranense</x:v>
      </x:c>
      <x:c r="J259" s="101" t="str">
        <x:v>place_day_2_obelisco_lateranense</x:v>
      </x:c>
      <x:c r="K259" s="101" t="str">
        <x:v>Erreicht Lateranischer Obelisk.</x:v>
      </x:c>
      <x:c r="L259" s="101" t="str">
        <x:v>teamMembersInRadius &gt;= 2 &amp;&amp; stableFixes &gt;= 2</x:v>
      </x:c>
      <x:c r="M259" s="101" t="str">
        <x:v>stationActive=true</x:v>
      </x:c>
      <x:c r="N259" s="101" t="str">
        <x:v>Hinweisleiter; Ziel bleibt offen.</x:v>
      </x:c>
      <x:c r="O259" s="101" t="str">
        <x:v>REQUIRED</x:v>
      </x:c>
      <x:c r="P259" s="101" t="str">
        <x:v>previousStepComplete</x:v>
      </x:c>
      <x:c r="Q259" s="101" t="str">
        <x:v>MAP_AND_QUEST</x:v>
      </x:c>
      <x:c r="R259" s="101" t="str">
        <x:v>quest.location.reached</x:v>
      </x:c>
      <x:c r="S259" s="101" t="str">
        <x:v>Standard 15-m-Zielradius; keine Innen-/Eintrittspflicht.</x:v>
      </x:c>
    </x:row>
    <x:row r="260" ht="74" customHeight="1">
      <x:c r="A260" s="104" t="str">
        <x:v>D2-Q07</x:v>
      </x:c>
      <x:c r="B260" s="104" t="str">
        <x:v>D2-Q07-S06</x:v>
      </x:c>
      <x:c r="C260" s="110" t="n">
        <x:v>6</x:v>
      </x:c>
      <x:c r="D260" s="104" t="str">
        <x:v>OBJECTIVE</x:v>
      </x:c>
      <x:c r="E260" s="104" t="str">
        <x:v>ANSWER_QUESTION</x:v>
      </x:c>
      <x:c r="F260" s="104" t="str">
        <x:v>OBJECTIVE</x:v>
      </x:c>
      <x:c r="G260" s="104" t="str">
        <x:v>SUBMIT_ANSWER</x:v>
      </x:c>
      <x:c r="H260" s="104" t="str">
        <x:v>TEAM</x:v>
      </x:c>
      <x:c r="I260" s="104" t="str">
        <x:v>place_day_2_obelisco_lateranense</x:v>
      </x:c>
      <x:c r="J260" s="104" t="str">
        <x:v>OBS-D2-Q07-2</x:v>
      </x:c>
      <x:c r="K260" s="104" t="str">
        <x:v>Hieroglyphen am Lateranobelisk identifizieren. Frage: Welche Art von Schriftzeichen ist auf dem Obelisken zu sehen?</x:v>
      </x:c>
      <x:c r="L260" s="104" t="str">
        <x:v>normalizedAnswer matches 'Ägyptische Hieroglyphen'</x:v>
      </x:c>
      <x:c r="M260" s="104" t="str">
        <x:v>stationComplete=true</x:v>
      </x:c>
      <x:c r="N260" s="104" t="str">
        <x:v>Hint 1 → Hint 2 → Fallback; Grundabschluss bleibt möglich.</x:v>
      </x:c>
      <x:c r="O260" s="104" t="str">
        <x:v>REQUIRED</x:v>
      </x:c>
      <x:c r="P260" s="104" t="str">
        <x:v>stationActive</x:v>
      </x:c>
      <x:c r="Q260" s="104" t="str">
        <x:v>OBSERVATION_INPUT</x:v>
      </x:c>
      <x:c r="R260" s="104" t="str">
        <x:v>quest.observation.answered</x:v>
      </x:c>
      <x:c r="S260" s="104" t="str">
        <x:v>Evidence: Sehr hoher Schaft mit deutlich sichtbaren Hieroglyphen. | Ampel: GRUEN</x:v>
      </x:c>
    </x:row>
    <x:row r="261" ht="74" customHeight="1">
      <x:c r="A261" s="101" t="str">
        <x:v>D2-Q07</x:v>
      </x:c>
      <x:c r="B261" s="101" t="str">
        <x:v>D2-Q07-S07</x:v>
      </x:c>
      <x:c r="C261" s="109" t="n">
        <x:v>7</x:v>
      </x:c>
      <x:c r="D261" s="101" t="str">
        <x:v>OBJECTIVE</x:v>
      </x:c>
      <x:c r="E261" s="101" t="str">
        <x:v>REACH_LOCATION</x:v>
      </x:c>
      <x:c r="F261" s="101" t="str">
        <x:v>OBJECTIVE</x:v>
      </x:c>
      <x:c r="G261" s="101" t="str">
        <x:v>REACH_LOCATION</x:v>
      </x:c>
      <x:c r="H261" s="101" t="str">
        <x:v>TEAM</x:v>
      </x:c>
      <x:c r="I261" s="101" t="str">
        <x:v>place_day_2_porta_san_giovanni</x:v>
      </x:c>
      <x:c r="J261" s="101" t="str">
        <x:v>place_day_2_porta_san_giovanni</x:v>
      </x:c>
      <x:c r="K261" s="101" t="str">
        <x:v>Erreicht Porta San Giovanni.</x:v>
      </x:c>
      <x:c r="L261" s="101" t="str">
        <x:v>teamMembersInRadius &gt;= 2 &amp;&amp; stableFixes &gt;= 2</x:v>
      </x:c>
      <x:c r="M261" s="101" t="str">
        <x:v>stationActive=true</x:v>
      </x:c>
      <x:c r="N261" s="101" t="str">
        <x:v>Hinweisleiter; Ziel bleibt offen.</x:v>
      </x:c>
      <x:c r="O261" s="101" t="str">
        <x:v>REQUIRED</x:v>
      </x:c>
      <x:c r="P261" s="101" t="str">
        <x:v>previousStepComplete</x:v>
      </x:c>
      <x:c r="Q261" s="101" t="str">
        <x:v>MAP_AND_QUEST</x:v>
      </x:c>
      <x:c r="R261" s="101" t="str">
        <x:v>quest.location.reached</x:v>
      </x:c>
      <x:c r="S261" s="101" t="str">
        <x:v>Standard 15-m-Zielradius; keine Innen-/Eintrittspflicht.</x:v>
      </x:c>
    </x:row>
    <x:row r="262" ht="74" customHeight="1">
      <x:c r="A262" s="104" t="str">
        <x:v>D2-Q07</x:v>
      </x:c>
      <x:c r="B262" s="104" t="str">
        <x:v>D2-Q07-S08</x:v>
      </x:c>
      <x:c r="C262" s="110" t="n">
        <x:v>8</x:v>
      </x:c>
      <x:c r="D262" s="104" t="str">
        <x:v>OBJECTIVE</x:v>
      </x:c>
      <x:c r="E262" s="104" t="str">
        <x:v>ANSWER_QUESTION</x:v>
      </x:c>
      <x:c r="F262" s="104" t="str">
        <x:v>OBJECTIVE</x:v>
      </x:c>
      <x:c r="G262" s="104" t="str">
        <x:v>SUBMIT_ANSWER</x:v>
      </x:c>
      <x:c r="H262" s="104" t="str">
        <x:v>TEAM</x:v>
      </x:c>
      <x:c r="I262" s="104" t="str">
        <x:v>place_day_2_porta_san_giovanni</x:v>
      </x:c>
      <x:c r="J262" s="104" t="str">
        <x:v>OBS-D2-Q07-3</x:v>
      </x:c>
      <x:c r="K262" s="104" t="str">
        <x:v>Drei Durchgänge der Porta San Giovanni zählen und Funktionen zuordnen. Frage: Wie viele große Durchgänge besitzt die Porta San Giovanni?</x:v>
      </x:c>
      <x:c r="L262" s="104" t="str">
        <x:v>normalizedAnswer matches 'Drei'</x:v>
      </x:c>
      <x:c r="M262" s="104" t="str">
        <x:v>stationComplete=true</x:v>
      </x:c>
      <x:c r="N262" s="104" t="str">
        <x:v>Hint 1 → Hint 2 → Fallback; Grundabschluss bleibt möglich.</x:v>
      </x:c>
      <x:c r="O262" s="104" t="str">
        <x:v>REQUIRED</x:v>
      </x:c>
      <x:c r="P262" s="104" t="str">
        <x:v>stationActive</x:v>
      </x:c>
      <x:c r="Q262" s="104" t="str">
        <x:v>OBSERVATION_INPUT</x:v>
      </x:c>
      <x:c r="R262" s="104" t="str">
        <x:v>quest.observation.answered</x:v>
      </x:c>
      <x:c r="S262" s="104" t="str">
        <x:v>Evidence: Drei große Öffnungen nebeneinander. | Ampel: GRUEN</x:v>
      </x:c>
    </x:row>
    <x:row r="263" ht="74" customHeight="1">
      <x:c r="A263" s="101" t="str">
        <x:v>D2-Q07</x:v>
      </x:c>
      <x:c r="B263" s="101" t="str">
        <x:v>D2-Q07-S09</x:v>
      </x:c>
      <x:c r="C263" s="109" t="n">
        <x:v>9</x:v>
      </x:c>
      <x:c r="D263" s="101" t="str">
        <x:v>OBJECTIVE</x:v>
      </x:c>
      <x:c r="E263" s="101" t="str">
        <x:v>SOLVE_PUZZLE</x:v>
      </x:c>
      <x:c r="F263" s="101" t="str">
        <x:v>OBJECTIVE</x:v>
      </x:c>
      <x:c r="G263" s="101" t="str">
        <x:v>SUBMIT_ANSWER</x:v>
      </x:c>
      <x:c r="H263" s="101" t="str">
        <x:v>TEAM</x:v>
      </x:c>
      <x:c r="I263" s="101" t="str">
        <x:v>place_day_2_porta_san_giovanni</x:v>
      </x:c>
      <x:c r="J263" s="101" t="str">
        <x:v>PZ-D2-Q07</x:v>
      </x:c>
      <x:c r="K263" s="101" t="str">
        <x:v>Ordnet die Funktionen: geistliche Mitte, imperiale Erinnerung, städtischer Zugang.</x:v>
      </x:c>
      <x:c r="L263" s="101" t="str">
        <x:v>puzzleResult == CORRECT</x:v>
      </x:c>
      <x:c r="M263" s="101" t="str">
        <x:v>synthesisComplete=true</x:v>
      </x:c>
      <x:c r="N263" s="101" t="str">
        <x:v>Basilika und Obelisk genügen bei Verkehrssperre.</x:v>
      </x:c>
      <x:c r="O263" s="101" t="str">
        <x:v>REQUIRED</x:v>
      </x:c>
      <x:c r="P263" s="101" t="str">
        <x:v>allRequiredStationsComplete</x:v>
      </x:c>
      <x:c r="Q263" s="101" t="str">
        <x:v>PUZZLE</x:v>
      </x:c>
      <x:c r="R263" s="101" t="str">
        <x:v>quest.puzzle.solved</x:v>
      </x:c>
      <x:c r="S263" s="101" t="str">
        <x:v>Penalty: Schutzwahl ohne Bonus</x:v>
      </x:c>
    </x:row>
    <x:row r="264" ht="74" customHeight="1">
      <x:c r="A264" s="104" t="str">
        <x:v>D2-Q07</x:v>
      </x:c>
      <x:c r="B264" s="104" t="str">
        <x:v>D2-Q07-S10</x:v>
      </x:c>
      <x:c r="C264" s="110" t="n">
        <x:v>10</x:v>
      </x:c>
      <x:c r="D264" s="104" t="str">
        <x:v>OBJECTIVE</x:v>
      </x:c>
      <x:c r="E264" s="104" t="str">
        <x:v>TEAM_DECISION</x:v>
      </x:c>
      <x:c r="F264" s="104" t="str">
        <x:v>OBJECTIVE</x:v>
      </x:c>
      <x:c r="G264" s="104" t="str">
        <x:v>COMPLETE_DIALOGUE</x:v>
      </x:c>
      <x:c r="H264" s="104" t="str">
        <x:v>TEAM</x:v>
      </x:c>
      <x:c r="I264" s="104" t="str">
        <x:v>place_day_2_porta_san_giovanni</x:v>
      </x:c>
      <x:c r="J264" s="104" t="str">
        <x:v>D2-Q07-COMPLETE</x:v>
      </x:c>
      <x:c r="K264" s="104" t="str">
        <x:v>Team stimmt über GLAUBE_SCHUETZEN|ERINNERUNG_SCHUETZEN|ZUGANG_SCHUETZEN ab.</x:v>
      </x:c>
      <x:c r="L264" s="104" t="str">
        <x:v>teamVoteResolved</x:v>
      </x:c>
      <x:c r="M264" s="104" t="str">
        <x:v>rewardVariantLocked=true</x:v>
      </x:c>
      <x:c r="N264" s="104" t="str">
        <x:v>Bei Gleichstand entscheidet der Queststarter nach 30 s.</x:v>
      </x:c>
      <x:c r="O264" s="104" t="str">
        <x:v>REQUIRED</x:v>
      </x:c>
      <x:c r="P264" s="104" t="str">
        <x:v>synthesisComplete</x:v>
      </x:c>
      <x:c r="Q264" s="104" t="str">
        <x:v>DIALOGUE_VOTE</x:v>
      </x:c>
      <x:c r="R264" s="104" t="str">
        <x:v>quest.decision</x:v>
      </x:c>
      <x:c r="S264" s="104" t="str">
        <x:v>Wahl verändert nur kleine Belohnungs-/Dialogvariante.</x:v>
      </x:c>
    </x:row>
    <x:row r="265" ht="74" customHeight="1">
      <x:c r="A265" s="101" t="str">
        <x:v>D2-Q07</x:v>
      </x:c>
      <x:c r="B265" s="101" t="str">
        <x:v>D2-Q07-S11</x:v>
      </x:c>
      <x:c r="C265" s="109" t="n">
        <x:v>11</x:v>
      </x:c>
      <x:c r="D265" s="101" t="str">
        <x:v>COMPLETE</x:v>
      </x:c>
      <x:c r="E265" s="101" t="str">
        <x:v>TALK_TO_NPC</x:v>
      </x:c>
      <x:c r="F265" s="101" t="str">
        <x:v>OBJECTIVE</x:v>
      </x:c>
      <x:c r="G265" s="101" t="str">
        <x:v>COMPLETE_DIALOGUE</x:v>
      </x:c>
      <x:c r="H265" s="101" t="str">
        <x:v>TEAM</x:v>
      </x:c>
      <x:c r="I265" s="101" t="str">
        <x:v>place_day_2_porta_san_giovanni</x:v>
      </x:c>
      <x:c r="J265" s="101" t="str">
        <x:v>D2-Q07-COMPLETE</x:v>
      </x:c>
      <x:c r="K265" s="101" t="str">
        <x:v>Abschlussdialog und Konsequenz anzeigen.</x:v>
      </x:c>
      <x:c r="L265" s="101" t="str">
        <x:v>dialogSequenceComplete('D2-Q07-COMPLETE')</x:v>
      </x:c>
      <x:c r="M265" s="101" t="str">
        <x:v>state=REWARD</x:v>
      </x:c>
      <x:c r="N265" s="101" t="str">
        <x:v>Dialog erneut öffnen.</x:v>
      </x:c>
      <x:c r="O265" s="101" t="str">
        <x:v>REQUIRED</x:v>
      </x:c>
      <x:c r="P265" s="101" t="str">
        <x:v>allRequiredObjectivesComplete</x:v>
      </x:c>
      <x:c r="Q265" s="101" t="str">
        <x:v>DIALOGUE</x:v>
      </x:c>
      <x:c r="R265" s="101" t="str">
        <x:v>quest.completed</x:v>
      </x:c>
      <x:c r="S265" s="101" t="str">
        <x:v>Abschluss erst serverseitig nach allen Pflichtschritten.</x:v>
      </x:c>
    </x:row>
    <x:row r="266" ht="74" customHeight="1">
      <x:c r="A266" s="104" t="str">
        <x:v>D2-Q07</x:v>
      </x:c>
      <x:c r="B266" s="104" t="str">
        <x:v>D2-Q07-S12</x:v>
      </x:c>
      <x:c r="C266" s="110" t="n">
        <x:v>12</x:v>
      </x:c>
      <x:c r="D266" s="104" t="str">
        <x:v>REWARD</x:v>
      </x:c>
      <x:c r="E266" s="104" t="str">
        <x:v>GRANT_REWARD</x:v>
      </x:c>
      <x:c r="F266" s="104" t="str">
        <x:v>SYSTEM_ACTION</x:v>
      </x:c>
      <x:c r="G266" s="104" t="str"/>
      <x:c r="H266" s="104" t="str">
        <x:v>TEAM</x:v>
      </x:c>
      <x:c r="I266" s="104" t="str"/>
      <x:c r="J266" s="104" t="str">
        <x:v>D2-Q07</x:v>
      </x:c>
      <x:c r="K266" s="104" t="str">
        <x:v>Atomare Vergabe von Ruhm, Denaren, Loot und Variantenbonus.</x:v>
      </x:c>
      <x:c r="L266" s="104" t="str">
        <x:v>rewardTransactionCommitted</x:v>
      </x:c>
      <x:c r="M266" s="104" t="str">
        <x:v>state=COMPLETED</x:v>
      </x:c>
      <x:c r="N266" s="104" t="str">
        <x:v>Idempotenter Retry mit gleicher rewardTransactionId.</x:v>
      </x:c>
      <x:c r="O266" s="104" t="str">
        <x:v>REQUIRED</x:v>
      </x:c>
      <x:c r="P266" s="104" t="str">
        <x:v>questComplete</x:v>
      </x:c>
      <x:c r="Q266" s="104" t="str">
        <x:v>REWARD</x:v>
      </x:c>
      <x:c r="R266" s="104" t="str">
        <x:v>quest.reward.granted</x:v>
      </x:c>
      <x:c r="S266" s="104" t="str">
        <x:v>Arbeitswerte aus Quest Master; finales Balancing separat.</x:v>
      </x:c>
    </x:row>
    <x:row r="267" ht="74" customHeight="1">
      <x:c r="A267" s="101" t="str">
        <x:v>D2-Q08</x:v>
      </x:c>
      <x:c r="B267" s="101" t="str">
        <x:v>D2-Q08-S01</x:v>
      </x:c>
      <x:c r="C267" s="109" t="n">
        <x:v>1</x:v>
      </x:c>
      <x:c r="D267" s="101" t="str">
        <x:v>DISCOVER</x:v>
      </x:c>
      <x:c r="E267" s="101" t="str">
        <x:v>DISCOVER_NPC</x:v>
      </x:c>
      <x:c r="F267" s="101" t="str">
        <x:v>FLOW_ACTION</x:v>
      </x:c>
      <x:c r="G267" s="101" t="str"/>
      <x:c r="H267" s="101" t="str">
        <x:v>TEAM</x:v>
      </x:c>
      <x:c r="I267" s="101" t="str">
        <x:v>place_day_2_porta_latina</x:v>
      </x:c>
      <x:c r="J267" s="101" t="str">
        <x:v>npc_aurelian_murus</x:v>
      </x:c>
      <x:c r="K267" s="101" t="str">
        <x:v>Entdeckt Aurelianus Murus ab 55 m; Interaktion wird bei stabilem 15-m-Fix verfügbar.</x:v>
      </x:c>
      <x:c r="L267" s="101" t="str">
        <x:v>npcDiscovered &amp;&amp; interactionGateOpen</x:v>
      </x:c>
      <x:c r="M267" s="101" t="str">
        <x:v>state=DIALOGUE</x:v>
      </x:c>
      <x:c r="N267" s="101" t="str">
        <x:v>UI bleibt auf Karte; GPS-Hinweis anzeigen.</x:v>
      </x:c>
      <x:c r="O267" s="101" t="str">
        <x:v>REQUIRED</x:v>
      </x:c>
      <x:c r="P267" s="101" t="str"/>
      <x:c r="Q267" s="101" t="str">
        <x:v>MAP_OBJECT_SHEET</x:v>
      </x:c>
      <x:c r="R267" s="101" t="str">
        <x:v>quest.discovered</x:v>
      </x:c>
      <x:c r="S267" s="101" t="str">
        <x:v>15-m-Enter/25-m-Exit-Hysterese; serverautoritativ.</x:v>
      </x:c>
    </x:row>
    <x:row r="268" ht="74" customHeight="1">
      <x:c r="A268" s="104" t="str">
        <x:v>D2-Q08</x:v>
      </x:c>
      <x:c r="B268" s="104" t="str">
        <x:v>D2-Q08-S02</x:v>
      </x:c>
      <x:c r="C268" s="110" t="n">
        <x:v>2</x:v>
      </x:c>
      <x:c r="D268" s="104" t="str">
        <x:v>DIALOGUE</x:v>
      </x:c>
      <x:c r="E268" s="104" t="str">
        <x:v>TALK_TO_NPC</x:v>
      </x:c>
      <x:c r="F268" s="104" t="str">
        <x:v>OBJECTIVE</x:v>
      </x:c>
      <x:c r="G268" s="104" t="str">
        <x:v>COMPLETE_DIALOGUE</x:v>
      </x:c>
      <x:c r="H268" s="104" t="str">
        <x:v>TEAM</x:v>
      </x:c>
      <x:c r="I268" s="104" t="str">
        <x:v>place_day_2_porta_latina</x:v>
      </x:c>
      <x:c r="J268" s="104" t="str">
        <x:v>D2-Q08-OFFER</x:v>
      </x:c>
      <x:c r="K268" s="104" t="str">
        <x:v>Questangebot und erste Dialogoption anzeigen.</x:v>
      </x:c>
      <x:c r="L268" s="104" t="str">
        <x:v>dialogSequenceComplete('D2-Q08-OFFER')</x:v>
      </x:c>
      <x:c r="M268" s="104" t="str">
        <x:v>state=ACCEPT</x:v>
      </x:c>
      <x:c r="N268" s="104" t="str">
        <x:v>Dialog kann erneut geöffnet werden.</x:v>
      </x:c>
      <x:c r="O268" s="104" t="str">
        <x:v>REQUIRED</x:v>
      </x:c>
      <x:c r="P268" s="104" t="str"/>
      <x:c r="Q268" s="104" t="str">
        <x:v>DIALOGUE</x:v>
      </x:c>
      <x:c r="R268" s="104" t="str">
        <x:v>quest.dialogue.offer</x:v>
      </x:c>
      <x:c r="S268" s="104" t="str">
        <x:v>Teamentscheidung wird einmal serverseitig gespeichert.</x:v>
      </x:c>
    </x:row>
    <x:row r="269" ht="74" customHeight="1">
      <x:c r="A269" s="101" t="str">
        <x:v>D2-Q08</x:v>
      </x:c>
      <x:c r="B269" s="101" t="str">
        <x:v>D2-Q08-S03</x:v>
      </x:c>
      <x:c r="C269" s="109" t="n">
        <x:v>3</x:v>
      </x:c>
      <x:c r="D269" s="101" t="str">
        <x:v>ACCEPT</x:v>
      </x:c>
      <x:c r="E269" s="101" t="str">
        <x:v>ACCEPT_QUEST</x:v>
      </x:c>
      <x:c r="F269" s="101" t="str">
        <x:v>FLOW_ACTION</x:v>
      </x:c>
      <x:c r="G269" s="101" t="str"/>
      <x:c r="H269" s="101" t="str">
        <x:v>TEAM</x:v>
      </x:c>
      <x:c r="I269" s="101" t="str">
        <x:v>place_day_2_porta_latina</x:v>
      </x:c>
      <x:c r="J269" s="101" t="str">
        <x:v>D2-Q08</x:v>
      </x:c>
      <x:c r="K269" s="101" t="str">
        <x:v>Quest annehmen; Voraussetzungen, Slotwirkung und Fallback vor Bestätigung anzeigen.</x:v>
      </x:c>
      <x:c r="L269" s="101" t="str">
        <x:v>teamVoteResolved &amp;&amp; questSlotReserved</x:v>
      </x:c>
      <x:c r="M269" s="101" t="str">
        <x:v>state=OBJECTIVE</x:v>
      </x:c>
      <x:c r="N269" s="101" t="str">
        <x:v>Annahme abbrechbar; kein Slotverbrauch.</x:v>
      </x:c>
      <x:c r="O269" s="101" t="str">
        <x:v>REQUIRED</x:v>
      </x:c>
      <x:c r="P269" s="101" t="str"/>
      <x:c r="Q269" s="101" t="str">
        <x:v>QUEST_ACCEPT</x:v>
      </x:c>
      <x:c r="R269" s="101" t="str">
        <x:v>quest.accepted</x:v>
      </x:c>
      <x:c r="S269" s="101" t="str">
        <x:v>Maximal drei reguläre aktive Quests pro Team.</x:v>
      </x:c>
    </x:row>
    <x:row r="270" ht="74" customHeight="1">
      <x:c r="A270" s="104" t="str">
        <x:v>D2-Q08</x:v>
      </x:c>
      <x:c r="B270" s="104" t="str">
        <x:v>D2-Q08-S04</x:v>
      </x:c>
      <x:c r="C270" s="110" t="n">
        <x:v>4</x:v>
      </x:c>
      <x:c r="D270" s="104" t="str">
        <x:v>OBJECTIVE</x:v>
      </x:c>
      <x:c r="E270" s="104" t="str">
        <x:v>ANSWER_QUESTION</x:v>
      </x:c>
      <x:c r="F270" s="104" t="str">
        <x:v>OBJECTIVE</x:v>
      </x:c>
      <x:c r="G270" s="104" t="str">
        <x:v>SUBMIT_ANSWER</x:v>
      </x:c>
      <x:c r="H270" s="104" t="str">
        <x:v>TEAM</x:v>
      </x:c>
      <x:c r="I270" s="104" t="str">
        <x:v>place_day_2_porta_latina</x:v>
      </x:c>
      <x:c r="J270" s="104" t="str">
        <x:v>OBS-D2-Q08-1</x:v>
      </x:c>
      <x:c r="K270" s="104" t="str">
        <x:v>Zwei runde Türme der Porta Latina erfassen und Rollen verteilen. Frage: Wie viele runde Türme flankieren den Durchgang?</x:v>
      </x:c>
      <x:c r="L270" s="104" t="str">
        <x:v>normalizedAnswer matches 'Zwei'</x:v>
      </x:c>
      <x:c r="M270" s="104" t="str">
        <x:v>stationComplete=true</x:v>
      </x:c>
      <x:c r="N270" s="104" t="str">
        <x:v>Hint 1 → Hint 2 → Fallback; Grundabschluss bleibt möglich.</x:v>
      </x:c>
      <x:c r="O270" s="104" t="str">
        <x:v>REQUIRED</x:v>
      </x:c>
      <x:c r="P270" s="104" t="str">
        <x:v>stationActive</x:v>
      </x:c>
      <x:c r="Q270" s="104" t="str">
        <x:v>OBSERVATION_INPUT</x:v>
      </x:c>
      <x:c r="R270" s="104" t="str">
        <x:v>quest.observation.answered</x:v>
      </x:c>
      <x:c r="S270" s="104" t="str">
        <x:v>Evidence: Ein Torbogen zwischen zwei deutlich runden Türmen. | Ampel: GRUEN</x:v>
      </x:c>
    </x:row>
    <x:row r="271" ht="74" customHeight="1">
      <x:c r="A271" s="101" t="str">
        <x:v>D2-Q08</x:v>
      </x:c>
      <x:c r="B271" s="101" t="str">
        <x:v>D2-Q08-S05</x:v>
      </x:c>
      <x:c r="C271" s="109" t="n">
        <x:v>5</x:v>
      </x:c>
      <x:c r="D271" s="101" t="str">
        <x:v>OBJECTIVE</x:v>
      </x:c>
      <x:c r="E271" s="101" t="str">
        <x:v>NAVIGATION_CHALLENGE</x:v>
      </x:c>
      <x:c r="F271" s="101" t="str">
        <x:v>OBJECTIVE</x:v>
      </x:c>
      <x:c r="G271" s="101" t="str">
        <x:v>REACH_LOCATION</x:v>
      </x:c>
      <x:c r="H271" s="101" t="str">
        <x:v>TEAM_SPLIT</x:v>
      </x:c>
      <x:c r="I271" s="101" t="str">
        <x:v>place_day_2_porta_latina</x:v>
      </x:c>
      <x:c r="J271" s="101" t="str">
        <x:v>NAV-D2-Q08</x:v>
      </x:c>
      <x:c r="K271" s="101" t="str">
        <x:v>Folgt der Mauerlinie auf Gehwegen. An jedem serverseitigen Zwischenkorridor wird ein neuer Textteil freigeschaltet. Das Endziel ist nicht die moderne Verkehrsöffnung, sondern der markierte antike zugemauerte Bogen.</x:v>
      </x:c>
      <x:c r="L271" s="101" t="str">
        <x:v>ordered corridor checkpoints complete; mindestens 2 im 15-m-Endradius; safety confirmations complete</x:v>
      </x:c>
      <x:c r="M271" s="101" t="str">
        <x:v>navigationToken=true</x:v>
      </x:c>
      <x:c r="N271" s="101" t="str">
        <x:v>Porta Latina wird zur vollständigen Kurzquest; Metronia entfällt</x:v>
      </x:c>
      <x:c r="O271" s="101" t="str">
        <x:v>REQUIRED</x:v>
      </x:c>
      <x:c r="P271" s="101" t="str">
        <x:v>assignedRolesReady</x:v>
      </x:c>
      <x:c r="Q271" s="101" t="str">
        <x:v>NAVIGATION</x:v>
      </x:c>
      <x:c r="R271" s="101" t="str">
        <x:v>quest.navigation.completed</x:v>
      </x:c>
      <x:c r="S271" s="101" t="str">
        <x:v>Nur Start und grobe Mauerlinie; Ziel erst innerhalb 40 m sichtbar | Keine Abkürzungen über Fahrbahnen; Segment deaktivierbar bei Verkehrslage</x:v>
      </x:c>
    </x:row>
    <x:row r="272" ht="74" customHeight="1">
      <x:c r="A272" s="104" t="str">
        <x:v>D2-Q08</x:v>
      </x:c>
      <x:c r="B272" s="104" t="str">
        <x:v>D2-Q08-S06</x:v>
      </x:c>
      <x:c r="C272" s="110" t="n">
        <x:v>6</x:v>
      </x:c>
      <x:c r="D272" s="104" t="str">
        <x:v>OBJECTIVE</x:v>
      </x:c>
      <x:c r="E272" s="104" t="str">
        <x:v>REACH_LOCATION</x:v>
      </x:c>
      <x:c r="F272" s="104" t="str">
        <x:v>OBJECTIVE</x:v>
      </x:c>
      <x:c r="G272" s="104" t="str">
        <x:v>REACH_LOCATION</x:v>
      </x:c>
      <x:c r="H272" s="104" t="str">
        <x:v>TEAM</x:v>
      </x:c>
      <x:c r="I272" s="104" t="str">
        <x:v>place_day_2_porta_metronia</x:v>
      </x:c>
      <x:c r="J272" s="104" t="str">
        <x:v>place_day_2_porta_metronia</x:v>
      </x:c>
      <x:c r="K272" s="104" t="str">
        <x:v>Erreicht Porta Metronia.</x:v>
      </x:c>
      <x:c r="L272" s="104" t="str">
        <x:v>teamMembersInRadius &gt;= 2 &amp;&amp; stableFixes &gt;= 2</x:v>
      </x:c>
      <x:c r="M272" s="104" t="str">
        <x:v>stationActive=true</x:v>
      </x:c>
      <x:c r="N272" s="104" t="str">
        <x:v>Hinweisleiter; Ziel bleibt offen.</x:v>
      </x:c>
      <x:c r="O272" s="104" t="str">
        <x:v>REQUIRED</x:v>
      </x:c>
      <x:c r="P272" s="104" t="str">
        <x:v>previousStepComplete</x:v>
      </x:c>
      <x:c r="Q272" s="104" t="str">
        <x:v>MAP_AND_QUEST</x:v>
      </x:c>
      <x:c r="R272" s="104" t="str">
        <x:v>quest.location.reached</x:v>
      </x:c>
      <x:c r="S272" s="104" t="str">
        <x:v>Standard 15-m-Zielradius; keine Innen-/Eintrittspflicht.</x:v>
      </x:c>
    </x:row>
    <x:row r="273" ht="74" customHeight="1">
      <x:c r="A273" s="101" t="str">
        <x:v>D2-Q08</x:v>
      </x:c>
      <x:c r="B273" s="101" t="str">
        <x:v>D2-Q08-S07</x:v>
      </x:c>
      <x:c r="C273" s="109" t="n">
        <x:v>7</x:v>
      </x:c>
      <x:c r="D273" s="101" t="str">
        <x:v>OBJECTIVE</x:v>
      </x:c>
      <x:c r="E273" s="101" t="str">
        <x:v>ANSWER_QUESTION</x:v>
      </x:c>
      <x:c r="F273" s="101" t="str">
        <x:v>OBJECTIVE</x:v>
      </x:c>
      <x:c r="G273" s="101" t="str">
        <x:v>SUBMIT_ANSWER</x:v>
      </x:c>
      <x:c r="H273" s="101" t="str">
        <x:v>TEAM</x:v>
      </x:c>
      <x:c r="I273" s="101" t="str">
        <x:v>place_day_2_porta_metronia</x:v>
      </x:c>
      <x:c r="J273" s="101" t="str">
        <x:v>OBS-D2-Q08-2</x:v>
      </x:c>
      <x:c r="K273" s="101" t="str">
        <x:v>Dem Mauerpfad mit getrennten Hinweisen folgen; Zielmarker bleibt verborgen. Frage: Ist der historische Torbogen offen oder zugemauert?</x:v>
      </x:c>
      <x:c r="L273" s="101" t="str">
        <x:v>normalizedAnswer matches 'Zugemauert'</x:v>
      </x:c>
      <x:c r="M273" s="101" t="str">
        <x:v>stationComplete=true</x:v>
      </x:c>
      <x:c r="N273" s="101" t="str">
        <x:v>Hint 1 → Hint 2 → Fallback; Grundabschluss bleibt möglich.</x:v>
      </x:c>
      <x:c r="O273" s="101" t="str">
        <x:v>REQUIRED</x:v>
      </x:c>
      <x:c r="P273" s="101" t="str">
        <x:v>stationActive</x:v>
      </x:c>
      <x:c r="Q273" s="101" t="str">
        <x:v>OBSERVATION_INPUT</x:v>
      </x:c>
      <x:c r="R273" s="101" t="str">
        <x:v>quest.observation.answered</x:v>
      </x:c>
      <x:c r="S273" s="101" t="str">
        <x:v>Evidence: Vermauerter antiker Bogen im massiven Ziegelmauerwerk. | Ampel: GELB</x:v>
      </x:c>
    </x:row>
    <x:row r="274" ht="74" customHeight="1">
      <x:c r="A274" s="104" t="str">
        <x:v>D2-Q08</x:v>
      </x:c>
      <x:c r="B274" s="104" t="str">
        <x:v>D2-Q08-S08</x:v>
      </x:c>
      <x:c r="C274" s="110" t="n">
        <x:v>8</x:v>
      </x:c>
      <x:c r="D274" s="104" t="str">
        <x:v>OBJECTIVE</x:v>
      </x:c>
      <x:c r="E274" s="104" t="str">
        <x:v>SOLVE_PUZZLE</x:v>
      </x:c>
      <x:c r="F274" s="104" t="str">
        <x:v>OBJECTIVE</x:v>
      </x:c>
      <x:c r="G274" s="104" t="str">
        <x:v>SUBMIT_ANSWER</x:v>
      </x:c>
      <x:c r="H274" s="104" t="str">
        <x:v>TEAM</x:v>
      </x:c>
      <x:c r="I274" s="104" t="str">
        <x:v>place_day_2_porta_metronia</x:v>
      </x:c>
      <x:c r="J274" s="104" t="str">
        <x:v>PZ-D2-Q08</x:v>
      </x:c>
      <x:c r="K274" s="104" t="str">
        <x:v>Ordnet die sichtbaren Zustände: flankierter offener Durchgang und zugemauerter antiker Bogen.</x:v>
      </x:c>
      <x:c r="L274" s="104" t="str">
        <x:v>puzzleResult == CORRECT</x:v>
      </x:c>
      <x:c r="M274" s="104" t="str">
        <x:v>synthesisComplete=true</x:v>
      </x:c>
      <x:c r="N274" s="104" t="str">
        <x:v>Porta Latina als Kurzquest; Metronia deaktivieren.</x:v>
      </x:c>
      <x:c r="O274" s="104" t="str">
        <x:v>REQUIRED</x:v>
      </x:c>
      <x:c r="P274" s="104" t="str">
        <x:v>allRequiredStationsComplete</x:v>
      </x:c>
      <x:c r="Q274" s="104" t="str">
        <x:v>PUZZLE</x:v>
      </x:c>
      <x:c r="R274" s="104" t="str">
        <x:v>quest.puzzle.solved</x:v>
      </x:c>
      <x:c r="S274" s="104" t="str">
        <x:v>Penalty: Skorpion behält Verteidigung</x:v>
      </x:c>
    </x:row>
    <x:row r="275" ht="74" customHeight="1">
      <x:c r="A275" s="101" t="str">
        <x:v>D2-Q08</x:v>
      </x:c>
      <x:c r="B275" s="101" t="str">
        <x:v>D2-Q08-S09</x:v>
      </x:c>
      <x:c r="C275" s="109" t="n">
        <x:v>9</x:v>
      </x:c>
      <x:c r="D275" s="101" t="str">
        <x:v>BONUS_OBJECTIVE</x:v>
      </x:c>
      <x:c r="E275" s="101" t="str">
        <x:v>DEFEAT_ENEMY</x:v>
      </x:c>
      <x:c r="F275" s="101" t="str">
        <x:v>OBJECTIVE</x:v>
      </x:c>
      <x:c r="G275" s="101" t="str">
        <x:v>COMPLETE_ENCOUNTER</x:v>
      </x:c>
      <x:c r="H275" s="101" t="str">
        <x:v>TEAM</x:v>
      </x:c>
      <x:c r="I275" s="101" t="str">
        <x:v>place_day_2_porta_metronia</x:v>
      </x:c>
      <x:c r="J275" s="101" t="str">
        <x:v>CP-QE-SCORPIONE</x:v>
      </x:c>
      <x:c r="K275" s="101" t="str">
        <x:v>Scorpione delle Mura bekämpfen.</x:v>
      </x:c>
      <x:c r="L275" s="101" t="str">
        <x:v>combatState == WON</x:v>
      </x:c>
      <x:c r="M275" s="101" t="str">
        <x:v>encounterComplete=true</x:v>
      </x:c>
      <x:c r="N275" s="101" t="str">
        <x:v>Optionaler Zweig endet ohne Grundbelohnungsverlust.</x:v>
      </x:c>
      <x:c r="O275" s="101" t="str">
        <x:v>OPTIONAL</x:v>
      </x:c>
      <x:c r="P275" s="101" t="str">
        <x:v>branchSelected</x:v>
      </x:c>
      <x:c r="Q275" s="101" t="str">
        <x:v>COMBAT</x:v>
      </x:c>
      <x:c r="R275" s="101" t="str">
        <x:v>quest.combat.completed</x:v>
      </x:c>
      <x:c r="S275" s="101" t="str">
        <x:v>QUEST_ENEMY ist teambezogen; kein normaler Respawn.</x:v>
      </x:c>
    </x:row>
    <x:row r="276" ht="74" customHeight="1">
      <x:c r="A276" s="104" t="str">
        <x:v>D2-Q08</x:v>
      </x:c>
      <x:c r="B276" s="104" t="str">
        <x:v>D2-Q08-S10</x:v>
      </x:c>
      <x:c r="C276" s="110" t="n">
        <x:v>10</x:v>
      </x:c>
      <x:c r="D276" s="104" t="str">
        <x:v>COMPLETE</x:v>
      </x:c>
      <x:c r="E276" s="104" t="str">
        <x:v>TALK_TO_NPC</x:v>
      </x:c>
      <x:c r="F276" s="104" t="str">
        <x:v>OBJECTIVE</x:v>
      </x:c>
      <x:c r="G276" s="104" t="str">
        <x:v>COMPLETE_DIALOGUE</x:v>
      </x:c>
      <x:c r="H276" s="104" t="str">
        <x:v>TEAM</x:v>
      </x:c>
      <x:c r="I276" s="104" t="str">
        <x:v>place_day_2_porta_metronia</x:v>
      </x:c>
      <x:c r="J276" s="104" t="str">
        <x:v>D2-Q08-COMPLETE</x:v>
      </x:c>
      <x:c r="K276" s="104" t="str">
        <x:v>Abschlussdialog und Konsequenz anzeigen.</x:v>
      </x:c>
      <x:c r="L276" s="104" t="str">
        <x:v>dialogSequenceComplete('D2-Q08-COMPLETE')</x:v>
      </x:c>
      <x:c r="M276" s="104" t="str">
        <x:v>state=REWARD</x:v>
      </x:c>
      <x:c r="N276" s="104" t="str">
        <x:v>Dialog erneut öffnen.</x:v>
      </x:c>
      <x:c r="O276" s="104" t="str">
        <x:v>REQUIRED</x:v>
      </x:c>
      <x:c r="P276" s="104" t="str">
        <x:v>allRequiredObjectivesComplete</x:v>
      </x:c>
      <x:c r="Q276" s="104" t="str">
        <x:v>DIALOGUE</x:v>
      </x:c>
      <x:c r="R276" s="104" t="str">
        <x:v>quest.completed</x:v>
      </x:c>
      <x:c r="S276" s="104" t="str">
        <x:v>Abschluss erst serverseitig nach allen Pflichtschritten.</x:v>
      </x:c>
    </x:row>
    <x:row r="277" ht="74" customHeight="1">
      <x:c r="A277" s="101" t="str">
        <x:v>D2-Q08</x:v>
      </x:c>
      <x:c r="B277" s="101" t="str">
        <x:v>D2-Q08-S11</x:v>
      </x:c>
      <x:c r="C277" s="109" t="n">
        <x:v>11</x:v>
      </x:c>
      <x:c r="D277" s="101" t="str">
        <x:v>REWARD</x:v>
      </x:c>
      <x:c r="E277" s="101" t="str">
        <x:v>GRANT_REWARD</x:v>
      </x:c>
      <x:c r="F277" s="101" t="str">
        <x:v>SYSTEM_ACTION</x:v>
      </x:c>
      <x:c r="G277" s="101" t="str"/>
      <x:c r="H277" s="101" t="str">
        <x:v>TEAM</x:v>
      </x:c>
      <x:c r="I277" s="101" t="str"/>
      <x:c r="J277" s="101" t="str">
        <x:v>D2-Q08</x:v>
      </x:c>
      <x:c r="K277" s="101" t="str">
        <x:v>Atomare Vergabe von Ruhm, Denaren, Loot und Variantenbonus.</x:v>
      </x:c>
      <x:c r="L277" s="101" t="str">
        <x:v>rewardTransactionCommitted</x:v>
      </x:c>
      <x:c r="M277" s="101" t="str">
        <x:v>state=COMPLETED</x:v>
      </x:c>
      <x:c r="N277" s="101" t="str">
        <x:v>Idempotenter Retry mit gleicher rewardTransactionId.</x:v>
      </x:c>
      <x:c r="O277" s="101" t="str">
        <x:v>REQUIRED</x:v>
      </x:c>
      <x:c r="P277" s="101" t="str">
        <x:v>questComplete</x:v>
      </x:c>
      <x:c r="Q277" s="101" t="str">
        <x:v>REWARD</x:v>
      </x:c>
      <x:c r="R277" s="101" t="str">
        <x:v>quest.reward.granted</x:v>
      </x:c>
      <x:c r="S277" s="101" t="str">
        <x:v>Arbeitswerte aus Quest Master; finales Balancing separat.</x:v>
      </x:c>
    </x:row>
    <x:row r="278" ht="74" customHeight="1">
      <x:c r="A278" s="104" t="str">
        <x:v>D2-Q09</x:v>
      </x:c>
      <x:c r="B278" s="104" t="str">
        <x:v>D2-Q09-S01</x:v>
      </x:c>
      <x:c r="C278" s="110" t="n">
        <x:v>1</x:v>
      </x:c>
      <x:c r="D278" s="104" t="str">
        <x:v>DISCOVER</x:v>
      </x:c>
      <x:c r="E278" s="104" t="str">
        <x:v>DISCOVER_NPC</x:v>
      </x:c>
      <x:c r="F278" s="104" t="str">
        <x:v>FLOW_ACTION</x:v>
      </x:c>
      <x:c r="G278" s="104" t="str"/>
      <x:c r="H278" s="104" t="str">
        <x:v>TEAM</x:v>
      </x:c>
      <x:c r="I278" s="104" t="str">
        <x:v>place_day_2_basilica_di_santa_maria_maggiore</x:v>
      </x:c>
      <x:c r="J278" s="104" t="str">
        <x:v>npc_livia_strata</x:v>
      </x:c>
      <x:c r="K278" s="104" t="str">
        <x:v>Entdeckt Livia Strata ab 55 m; Interaktion wird bei stabilem 15-m-Fix verfügbar.</x:v>
      </x:c>
      <x:c r="L278" s="104" t="str">
        <x:v>npcDiscovered &amp;&amp; interactionGateOpen</x:v>
      </x:c>
      <x:c r="M278" s="104" t="str">
        <x:v>state=DIALOGUE</x:v>
      </x:c>
      <x:c r="N278" s="104" t="str">
        <x:v>UI bleibt auf Karte; GPS-Hinweis anzeigen.</x:v>
      </x:c>
      <x:c r="O278" s="104" t="str">
        <x:v>REQUIRED</x:v>
      </x:c>
      <x:c r="P278" s="104" t="str"/>
      <x:c r="Q278" s="104" t="str">
        <x:v>MAP_OBJECT_SHEET</x:v>
      </x:c>
      <x:c r="R278" s="104" t="str">
        <x:v>quest.discovered</x:v>
      </x:c>
      <x:c r="S278" s="104" t="str">
        <x:v>15-m-Enter/25-m-Exit-Hysterese; serverautoritativ.</x:v>
      </x:c>
    </x:row>
    <x:row r="279" ht="74" customHeight="1">
      <x:c r="A279" s="101" t="str">
        <x:v>D2-Q09</x:v>
      </x:c>
      <x:c r="B279" s="101" t="str">
        <x:v>D2-Q09-S02</x:v>
      </x:c>
      <x:c r="C279" s="109" t="n">
        <x:v>2</x:v>
      </x:c>
      <x:c r="D279" s="101" t="str">
        <x:v>DIALOGUE</x:v>
      </x:c>
      <x:c r="E279" s="101" t="str">
        <x:v>TALK_TO_NPC</x:v>
      </x:c>
      <x:c r="F279" s="101" t="str">
        <x:v>OBJECTIVE</x:v>
      </x:c>
      <x:c r="G279" s="101" t="str">
        <x:v>COMPLETE_DIALOGUE</x:v>
      </x:c>
      <x:c r="H279" s="101" t="str">
        <x:v>TEAM</x:v>
      </x:c>
      <x:c r="I279" s="101" t="str">
        <x:v>place_day_2_basilica_di_santa_maria_maggiore</x:v>
      </x:c>
      <x:c r="J279" s="101" t="str">
        <x:v>D2-Q09-OFFER</x:v>
      </x:c>
      <x:c r="K279" s="101" t="str">
        <x:v>Questangebot und erste Dialogoption anzeigen.</x:v>
      </x:c>
      <x:c r="L279" s="101" t="str">
        <x:v>dialogSequenceComplete('D2-Q09-OFFER')</x:v>
      </x:c>
      <x:c r="M279" s="101" t="str">
        <x:v>state=ACCEPT</x:v>
      </x:c>
      <x:c r="N279" s="101" t="str">
        <x:v>Dialog kann erneut geöffnet werden.</x:v>
      </x:c>
      <x:c r="O279" s="101" t="str">
        <x:v>REQUIRED</x:v>
      </x:c>
      <x:c r="P279" s="101" t="str"/>
      <x:c r="Q279" s="101" t="str">
        <x:v>DIALOGUE</x:v>
      </x:c>
      <x:c r="R279" s="101" t="str">
        <x:v>quest.dialogue.offer</x:v>
      </x:c>
      <x:c r="S279" s="101" t="str">
        <x:v>Teamentscheidung wird einmal serverseitig gespeichert.</x:v>
      </x:c>
    </x:row>
    <x:row r="280" ht="74" customHeight="1">
      <x:c r="A280" s="104" t="str">
        <x:v>D2-Q09</x:v>
      </x:c>
      <x:c r="B280" s="104" t="str">
        <x:v>D2-Q09-S03</x:v>
      </x:c>
      <x:c r="C280" s="110" t="n">
        <x:v>3</x:v>
      </x:c>
      <x:c r="D280" s="104" t="str">
        <x:v>ACCEPT</x:v>
      </x:c>
      <x:c r="E280" s="104" t="str">
        <x:v>ACCEPT_QUEST</x:v>
      </x:c>
      <x:c r="F280" s="104" t="str">
        <x:v>FLOW_ACTION</x:v>
      </x:c>
      <x:c r="G280" s="104" t="str"/>
      <x:c r="H280" s="104" t="str">
        <x:v>TEAM</x:v>
      </x:c>
      <x:c r="I280" s="104" t="str">
        <x:v>place_day_2_basilica_di_santa_maria_maggiore</x:v>
      </x:c>
      <x:c r="J280" s="104" t="str">
        <x:v>D2-Q09</x:v>
      </x:c>
      <x:c r="K280" s="104" t="str">
        <x:v>Quest annehmen; Voraussetzungen, Slotwirkung und Fallback vor Bestätigung anzeigen.</x:v>
      </x:c>
      <x:c r="L280" s="104" t="str">
        <x:v>teamVoteResolved &amp;&amp; questSlotReserved</x:v>
      </x:c>
      <x:c r="M280" s="104" t="str">
        <x:v>state=OBJECTIVE</x:v>
      </x:c>
      <x:c r="N280" s="104" t="str">
        <x:v>Annahme abbrechbar; kein Slotverbrauch.</x:v>
      </x:c>
      <x:c r="O280" s="104" t="str">
        <x:v>REQUIRED</x:v>
      </x:c>
      <x:c r="P280" s="104" t="str"/>
      <x:c r="Q280" s="104" t="str">
        <x:v>QUEST_ACCEPT</x:v>
      </x:c>
      <x:c r="R280" s="104" t="str">
        <x:v>quest.accepted</x:v>
      </x:c>
      <x:c r="S280" s="104" t="str">
        <x:v>Maximal drei reguläre aktive Quests pro Team.</x:v>
      </x:c>
    </x:row>
    <x:row r="281" ht="74" customHeight="1">
      <x:c r="A281" s="101" t="str">
        <x:v>D2-Q09</x:v>
      </x:c>
      <x:c r="B281" s="101" t="str">
        <x:v>D2-Q09-S04</x:v>
      </x:c>
      <x:c r="C281" s="109" t="n">
        <x:v>4</x:v>
      </x:c>
      <x:c r="D281" s="101" t="str">
        <x:v>OBJECTIVE</x:v>
      </x:c>
      <x:c r="E281" s="101" t="str">
        <x:v>ANSWER_QUESTION</x:v>
      </x:c>
      <x:c r="F281" s="101" t="str">
        <x:v>OBJECTIVE</x:v>
      </x:c>
      <x:c r="G281" s="101" t="str">
        <x:v>SUBMIT_ANSWER</x:v>
      </x:c>
      <x:c r="H281" s="101" t="str">
        <x:v>TEAM</x:v>
      </x:c>
      <x:c r="I281" s="101" t="str">
        <x:v>place_day_2_basilica_di_santa_maria_maggiore</x:v>
      </x:c>
      <x:c r="J281" s="101" t="str">
        <x:v>OBS-D2-Q09-1</x:v>
      </x:c>
      <x:c r="K281" s="101" t="str">
        <x:v>Die zentrale obere Loggia der Basilika aus sicherer Distanz erfassen. Frage: Wie viele große Öffnungen besitzt die zentrale obere Loggia der Hauptfassade?</x:v>
      </x:c>
      <x:c r="L281" s="101" t="str">
        <x:v>normalizedAnswer matches 'Drei'</x:v>
      </x:c>
      <x:c r="M281" s="101" t="str">
        <x:v>stationComplete=true</x:v>
      </x:c>
      <x:c r="N281" s="101" t="str">
        <x:v>Hint 1 → Hint 2 → Fallback; Grundabschluss bleibt möglich.</x:v>
      </x:c>
      <x:c r="O281" s="101" t="str">
        <x:v>REQUIRED</x:v>
      </x:c>
      <x:c r="P281" s="101" t="str">
        <x:v>stationActive</x:v>
      </x:c>
      <x:c r="Q281" s="101" t="str">
        <x:v>OBSERVATION_INPUT</x:v>
      </x:c>
      <x:c r="R281" s="101" t="str">
        <x:v>quest.observation.answered</x:v>
      </x:c>
      <x:c r="S281" s="101" t="str">
        <x:v>Evidence: Monumentale Fassade mit zentraler oberer Loggia und Marienbezug; großer öffentlicher Platz davor. | Ampel: GELB</x:v>
      </x:c>
    </x:row>
    <x:row r="282" ht="74" customHeight="1">
      <x:c r="A282" s="104" t="str">
        <x:v>D2-Q09</x:v>
      </x:c>
      <x:c r="B282" s="104" t="str">
        <x:v>D2-Q09-S05</x:v>
      </x:c>
      <x:c r="C282" s="110" t="n">
        <x:v>5</x:v>
      </x:c>
      <x:c r="D282" s="104" t="str">
        <x:v>OBJECTIVE</x:v>
      </x:c>
      <x:c r="E282" s="104" t="str">
        <x:v>REACH_LOCATION</x:v>
      </x:c>
      <x:c r="F282" s="104" t="str">
        <x:v>OBJECTIVE</x:v>
      </x:c>
      <x:c r="G282" s="104" t="str">
        <x:v>REACH_LOCATION</x:v>
      </x:c>
      <x:c r="H282" s="104" t="str">
        <x:v>TEAM</x:v>
      </x:c>
      <x:c r="I282" s="104" t="str">
        <x:v>place_day_2_obelisco_esquilino</x:v>
      </x:c>
      <x:c r="J282" s="104" t="str">
        <x:v>place_day_2_obelisco_esquilino</x:v>
      </x:c>
      <x:c r="K282" s="104" t="str">
        <x:v>Erreicht Obelisco Esquilino.</x:v>
      </x:c>
      <x:c r="L282" s="104" t="str">
        <x:v>teamMembersInRadius &gt;= 2 &amp;&amp; stableFixes &gt;= 2</x:v>
      </x:c>
      <x:c r="M282" s="104" t="str">
        <x:v>stationActive=true</x:v>
      </x:c>
      <x:c r="N282" s="104" t="str">
        <x:v>Hinweisleiter; Ziel bleibt offen.</x:v>
      </x:c>
      <x:c r="O282" s="104" t="str">
        <x:v>REQUIRED</x:v>
      </x:c>
      <x:c r="P282" s="104" t="str">
        <x:v>previousStepComplete</x:v>
      </x:c>
      <x:c r="Q282" s="104" t="str">
        <x:v>MAP_AND_QUEST</x:v>
      </x:c>
      <x:c r="R282" s="104" t="str">
        <x:v>quest.location.reached</x:v>
      </x:c>
      <x:c r="S282" s="104" t="str">
        <x:v>Standard 15-m-Zielradius; keine Innen-/Eintrittspflicht.</x:v>
      </x:c>
    </x:row>
    <x:row r="283" ht="74" customHeight="1">
      <x:c r="A283" s="101" t="str">
        <x:v>D2-Q09</x:v>
      </x:c>
      <x:c r="B283" s="101" t="str">
        <x:v>D2-Q09-S06</x:v>
      </x:c>
      <x:c r="C283" s="109" t="n">
        <x:v>6</x:v>
      </x:c>
      <x:c r="D283" s="101" t="str">
        <x:v>OBJECTIVE</x:v>
      </x:c>
      <x:c r="E283" s="101" t="str">
        <x:v>ANSWER_QUESTION</x:v>
      </x:c>
      <x:c r="F283" s="101" t="str">
        <x:v>OBJECTIVE</x:v>
      </x:c>
      <x:c r="G283" s="101" t="str">
        <x:v>SUBMIT_ANSWER</x:v>
      </x:c>
      <x:c r="H283" s="101" t="str">
        <x:v>TEAM</x:v>
      </x:c>
      <x:c r="I283" s="101" t="str">
        <x:v>place_day_2_obelisco_esquilino</x:v>
      </x:c>
      <x:c r="J283" s="101" t="str">
        <x:v>OBS-D2-Q09-2</x:v>
      </x:c>
      <x:c r="K283" s="101" t="str">
        <x:v>Kreuz und schlichten Schaft des Esquilino-Obelisken erkennen. Frage: Welches Symbol krönt die Spitze des Obelisken?</x:v>
      </x:c>
      <x:c r="L283" s="101" t="str">
        <x:v>normalizedAnswer matches 'Ein Kreuz'</x:v>
      </x:c>
      <x:c r="M283" s="101" t="str">
        <x:v>stationComplete=true</x:v>
      </x:c>
      <x:c r="N283" s="101" t="str">
        <x:v>Hint 1 → Hint 2 → Fallback; Grundabschluss bleibt möglich.</x:v>
      </x:c>
      <x:c r="O283" s="101" t="str">
        <x:v>REQUIRED</x:v>
      </x:c>
      <x:c r="P283" s="101" t="str">
        <x:v>stationActive</x:v>
      </x:c>
      <x:c r="Q283" s="101" t="str">
        <x:v>OBSERVATION_INPUT</x:v>
      </x:c>
      <x:c r="R283" s="101" t="str">
        <x:v>quest.observation.answered</x:v>
      </x:c>
      <x:c r="S283" s="101" t="str">
        <x:v>Evidence: Schlichter Obelisk ohne Hieroglyphen, oben mit Kreuz. | Ampel: GRUEN</x:v>
      </x:c>
    </x:row>
    <x:row r="284" ht="74" customHeight="1">
      <x:c r="A284" s="104" t="str">
        <x:v>D2-Q09</x:v>
      </x:c>
      <x:c r="B284" s="104" t="str">
        <x:v>D2-Q09-S07</x:v>
      </x:c>
      <x:c r="C284" s="110" t="n">
        <x:v>7</x:v>
      </x:c>
      <x:c r="D284" s="104" t="str">
        <x:v>OBJECTIVE</x:v>
      </x:c>
      <x:c r="E284" s="104" t="str">
        <x:v>REACH_LOCATION</x:v>
      </x:c>
      <x:c r="F284" s="104" t="str">
        <x:v>OBJECTIVE</x:v>
      </x:c>
      <x:c r="G284" s="104" t="str">
        <x:v>REACH_LOCATION</x:v>
      </x:c>
      <x:c r="H284" s="104" t="str">
        <x:v>TEAM</x:v>
      </x:c>
      <x:c r="I284" s="104" t="str">
        <x:v>place_day_2_thermae_traianae</x:v>
      </x:c>
      <x:c r="J284" s="104" t="str">
        <x:v>place_day_2_thermae_traianae</x:v>
      </x:c>
      <x:c r="K284" s="104" t="str">
        <x:v>Erreicht Thermae Traianae.</x:v>
      </x:c>
      <x:c r="L284" s="104" t="str">
        <x:v>teamMembersInRadius &gt;= 2 &amp;&amp; stableFixes &gt;= 2</x:v>
      </x:c>
      <x:c r="M284" s="104" t="str">
        <x:v>stationActive=true</x:v>
      </x:c>
      <x:c r="N284" s="104" t="str">
        <x:v>Hinweisleiter; Ziel bleibt offen.</x:v>
      </x:c>
      <x:c r="O284" s="104" t="str">
        <x:v>REQUIRED</x:v>
      </x:c>
      <x:c r="P284" s="104" t="str">
        <x:v>previousStepComplete</x:v>
      </x:c>
      <x:c r="Q284" s="104" t="str">
        <x:v>MAP_AND_QUEST</x:v>
      </x:c>
      <x:c r="R284" s="104" t="str">
        <x:v>quest.location.reached</x:v>
      </x:c>
      <x:c r="S284" s="104" t="str">
        <x:v>Standard 15-m-Zielradius; keine Innen-/Eintrittspflicht.</x:v>
      </x:c>
    </x:row>
    <x:row r="285" ht="74" customHeight="1">
      <x:c r="A285" s="101" t="str">
        <x:v>D2-Q09</x:v>
      </x:c>
      <x:c r="B285" s="101" t="str">
        <x:v>D2-Q09-S08</x:v>
      </x:c>
      <x:c r="C285" s="109" t="n">
        <x:v>8</x:v>
      </x:c>
      <x:c r="D285" s="101" t="str">
        <x:v>OBJECTIVE</x:v>
      </x:c>
      <x:c r="E285" s="101" t="str">
        <x:v>ANSWER_QUESTION</x:v>
      </x:c>
      <x:c r="F285" s="101" t="str">
        <x:v>OBJECTIVE</x:v>
      </x:c>
      <x:c r="G285" s="101" t="str">
        <x:v>SUBMIT_ANSWER</x:v>
      </x:c>
      <x:c r="H285" s="101" t="str">
        <x:v>TEAM</x:v>
      </x:c>
      <x:c r="I285" s="101" t="str">
        <x:v>place_day_2_thermae_traianae</x:v>
      </x:c>
      <x:c r="J285" s="101" t="str">
        <x:v>OBS-D2-Q09-3</x:v>
      </x:c>
      <x:c r="K285" s="101" t="str">
        <x:v>Die hohen Ziegelreste der Trajansthermen identifizieren und LATERES eingeben. Frage: Welches Baumaterial dominiert die sichtbaren Thermenruinen?</x:v>
      </x:c>
      <x:c r="L285" s="101" t="str">
        <x:v>normalizedAnswer matches 'Ziegel'</x:v>
      </x:c>
      <x:c r="M285" s="101" t="str">
        <x:v>stationComplete=true</x:v>
      </x:c>
      <x:c r="N285" s="101" t="str">
        <x:v>Hint 1 → Hint 2 → Fallback; Grundabschluss bleibt möglich.</x:v>
      </x:c>
      <x:c r="O285" s="101" t="str">
        <x:v>REQUIRED</x:v>
      </x:c>
      <x:c r="P285" s="101" t="str">
        <x:v>stationActive</x:v>
      </x:c>
      <x:c r="Q285" s="101" t="str">
        <x:v>OBSERVATION_INPUT</x:v>
      </x:c>
      <x:c r="R285" s="101" t="str">
        <x:v>quest.observation.answered</x:v>
      </x:c>
      <x:c r="S285" s="101" t="str">
        <x:v>Evidence: Sehr hohe antike Ziegelmauerreste im öffentlichen Park. | Ampel: GRUEN</x:v>
      </x:c>
    </x:row>
    <x:row r="286" ht="74" customHeight="1">
      <x:c r="A286" s="104" t="str">
        <x:v>D2-Q09</x:v>
      </x:c>
      <x:c r="B286" s="104" t="str">
        <x:v>D2-Q09-S09</x:v>
      </x:c>
      <x:c r="C286" s="110" t="n">
        <x:v>9</x:v>
      </x:c>
      <x:c r="D286" s="104" t="str">
        <x:v>OBJECTIVE</x:v>
      </x:c>
      <x:c r="E286" s="104" t="str">
        <x:v>SOLVE_PUZZLE</x:v>
      </x:c>
      <x:c r="F286" s="104" t="str">
        <x:v>OBJECTIVE</x:v>
      </x:c>
      <x:c r="G286" s="104" t="str">
        <x:v>SUBMIT_ANSWER</x:v>
      </x:c>
      <x:c r="H286" s="104" t="str">
        <x:v>TEAM</x:v>
      </x:c>
      <x:c r="I286" s="104" t="str">
        <x:v>place_day_2_thermae_traianae</x:v>
      </x:c>
      <x:c r="J286" s="104" t="str">
        <x:v>PZ-D2-Q09</x:v>
      </x:c>
      <x:c r="K286" s="104" t="str">
        <x:v>Wie lautet das lateinische Wort für Ziegel, das die älteste sichtbare Materialspur markiert?</x:v>
      </x:c>
      <x:c r="L286" s="104" t="str">
        <x:v>puzzleResult == CORRECT</x:v>
      </x:c>
      <x:c r="M286" s="104" t="str">
        <x:v>synthesisComplete=true</x:v>
      </x:c>
      <x:c r="N286" s="104" t="str">
        <x:v>Auswahl LATERES | MARMOR | AQUA</x:v>
      </x:c>
      <x:c r="O286" s="104" t="str">
        <x:v>REQUIRED</x:v>
      </x:c>
      <x:c r="P286" s="104" t="str">
        <x:v>allRequiredStationsComplete</x:v>
      </x:c>
      <x:c r="Q286" s="104" t="str">
        <x:v>PUZZLE</x:v>
      </x:c>
      <x:c r="R286" s="104" t="str">
        <x:v>quest.puzzle.solved</x:v>
      </x:c>
      <x:c r="S286" s="104" t="str">
        <x:v>Penalty: Bosswiderstand entfällt</x:v>
      </x:c>
    </x:row>
    <x:row r="287" ht="74" customHeight="1">
      <x:c r="A287" s="101" t="str">
        <x:v>D2-Q09</x:v>
      </x:c>
      <x:c r="B287" s="101" t="str">
        <x:v>D2-Q09-S10</x:v>
      </x:c>
      <x:c r="C287" s="109" t="n">
        <x:v>10</x:v>
      </x:c>
      <x:c r="D287" s="101" t="str">
        <x:v>BONUS_OBJECTIVE</x:v>
      </x:c>
      <x:c r="E287" s="101" t="str">
        <x:v>DEFEAT_ENEMY</x:v>
      </x:c>
      <x:c r="F287" s="101" t="str">
        <x:v>OBJECTIVE</x:v>
      </x:c>
      <x:c r="G287" s="101" t="str">
        <x:v>COMPLETE_ENCOUNTER</x:v>
      </x:c>
      <x:c r="H287" s="101" t="str">
        <x:v>TEAM</x:v>
      </x:c>
      <x:c r="I287" s="101" t="str">
        <x:v>place_day_2_thermae_traianae</x:v>
      </x:c>
      <x:c r="J287" s="101" t="str">
        <x:v>CP-QE-VAPORE</x:v>
      </x:c>
      <x:c r="K287" s="101" t="str">
        <x:v>Vapore delle Terme bekämpfen.</x:v>
      </x:c>
      <x:c r="L287" s="101" t="str">
        <x:v>combatState == WON</x:v>
      </x:c>
      <x:c r="M287" s="101" t="str">
        <x:v>encounterComplete=true</x:v>
      </x:c>
      <x:c r="N287" s="101" t="str">
        <x:v>Optionaler Zweig endet ohne Grundbelohnungsverlust.</x:v>
      </x:c>
      <x:c r="O287" s="101" t="str">
        <x:v>OPTIONAL</x:v>
      </x:c>
      <x:c r="P287" s="101" t="str">
        <x:v>branchSelected</x:v>
      </x:c>
      <x:c r="Q287" s="101" t="str">
        <x:v>COMBAT</x:v>
      </x:c>
      <x:c r="R287" s="101" t="str">
        <x:v>quest.combat.completed</x:v>
      </x:c>
      <x:c r="S287" s="101" t="str">
        <x:v>QUEST_ENEMY ist teambezogen; kein normaler Respawn.</x:v>
      </x:c>
    </x:row>
    <x:row r="288" ht="74" customHeight="1">
      <x:c r="A288" s="104" t="str">
        <x:v>D2-Q09</x:v>
      </x:c>
      <x:c r="B288" s="104" t="str">
        <x:v>D2-Q09-S11</x:v>
      </x:c>
      <x:c r="C288" s="110" t="n">
        <x:v>11</x:v>
      </x:c>
      <x:c r="D288" s="104" t="str">
        <x:v>COMPLETE</x:v>
      </x:c>
      <x:c r="E288" s="104" t="str">
        <x:v>TALK_TO_NPC</x:v>
      </x:c>
      <x:c r="F288" s="104" t="str">
        <x:v>OBJECTIVE</x:v>
      </x:c>
      <x:c r="G288" s="104" t="str">
        <x:v>COMPLETE_DIALOGUE</x:v>
      </x:c>
      <x:c r="H288" s="104" t="str">
        <x:v>TEAM</x:v>
      </x:c>
      <x:c r="I288" s="104" t="str">
        <x:v>place_day_2_thermae_traianae</x:v>
      </x:c>
      <x:c r="J288" s="104" t="str">
        <x:v>D2-Q09-COMPLETE</x:v>
      </x:c>
      <x:c r="K288" s="104" t="str">
        <x:v>Abschlussdialog und Konsequenz anzeigen.</x:v>
      </x:c>
      <x:c r="L288" s="104" t="str">
        <x:v>dialogSequenceComplete('D2-Q09-COMPLETE')</x:v>
      </x:c>
      <x:c r="M288" s="104" t="str">
        <x:v>state=REWARD</x:v>
      </x:c>
      <x:c r="N288" s="104" t="str">
        <x:v>Dialog erneut öffnen.</x:v>
      </x:c>
      <x:c r="O288" s="104" t="str">
        <x:v>REQUIRED</x:v>
      </x:c>
      <x:c r="P288" s="104" t="str">
        <x:v>allRequiredObjectivesComplete</x:v>
      </x:c>
      <x:c r="Q288" s="104" t="str">
        <x:v>DIALOGUE</x:v>
      </x:c>
      <x:c r="R288" s="104" t="str">
        <x:v>quest.completed</x:v>
      </x:c>
      <x:c r="S288" s="104" t="str">
        <x:v>Abschluss erst serverseitig nach allen Pflichtschritten.</x:v>
      </x:c>
    </x:row>
    <x:row r="289" ht="74" customHeight="1">
      <x:c r="A289" s="101" t="str">
        <x:v>D2-Q09</x:v>
      </x:c>
      <x:c r="B289" s="101" t="str">
        <x:v>D2-Q09-S12</x:v>
      </x:c>
      <x:c r="C289" s="109" t="n">
        <x:v>12</x:v>
      </x:c>
      <x:c r="D289" s="101" t="str">
        <x:v>REWARD</x:v>
      </x:c>
      <x:c r="E289" s="101" t="str">
        <x:v>GRANT_REWARD</x:v>
      </x:c>
      <x:c r="F289" s="101" t="str">
        <x:v>SYSTEM_ACTION</x:v>
      </x:c>
      <x:c r="G289" s="101" t="str"/>
      <x:c r="H289" s="101" t="str">
        <x:v>TEAM</x:v>
      </x:c>
      <x:c r="I289" s="101" t="str"/>
      <x:c r="J289" s="101" t="str">
        <x:v>D2-Q09</x:v>
      </x:c>
      <x:c r="K289" s="101" t="str">
        <x:v>Atomare Vergabe von Ruhm, Denaren, Loot und Variantenbonus.</x:v>
      </x:c>
      <x:c r="L289" s="101" t="str">
        <x:v>rewardTransactionCommitted</x:v>
      </x:c>
      <x:c r="M289" s="101" t="str">
        <x:v>state=COMPLETED</x:v>
      </x:c>
      <x:c r="N289" s="101" t="str">
        <x:v>Idempotenter Retry mit gleicher rewardTransactionId.</x:v>
      </x:c>
      <x:c r="O289" s="101" t="str">
        <x:v>REQUIRED</x:v>
      </x:c>
      <x:c r="P289" s="101" t="str">
        <x:v>questComplete</x:v>
      </x:c>
      <x:c r="Q289" s="101" t="str">
        <x:v>REWARD</x:v>
      </x:c>
      <x:c r="R289" s="101" t="str">
        <x:v>quest.reward.granted</x:v>
      </x:c>
      <x:c r="S289" s="101" t="str">
        <x:v>Arbeitswerte aus Quest Master; finales Balancing separat.</x:v>
      </x:c>
    </x:row>
    <x:row r="290" ht="74" customHeight="1">
      <x:c r="A290" s="104" t="str">
        <x:v>D2-Q10</x:v>
      </x:c>
      <x:c r="B290" s="104" t="str">
        <x:v>D2-Q10-S01</x:v>
      </x:c>
      <x:c r="C290" s="110" t="n">
        <x:v>1</x:v>
      </x:c>
      <x:c r="D290" s="104" t="str">
        <x:v>DISCOVER</x:v>
      </x:c>
      <x:c r="E290" s="104" t="str">
        <x:v>DISCOVER_NPC</x:v>
      </x:c>
      <x:c r="F290" s="104" t="str">
        <x:v>FLOW_ACTION</x:v>
      </x:c>
      <x:c r="G290" s="104" t="str"/>
      <x:c r="H290" s="104" t="str">
        <x:v>TEAM</x:v>
      </x:c>
      <x:c r="I290" s="104" t="str">
        <x:v>place_day_2_porta_maggiore_aqua_claudia</x:v>
      </x:c>
      <x:c r="J290" s="104" t="str">
        <x:v>npc_frontinus_aquarius</x:v>
      </x:c>
      <x:c r="K290" s="104" t="str">
        <x:v>Entdeckt Frontinus, Curator Aquarum ab 55 m; Interaktion wird bei stabilem 15-m-Fix verfügbar.</x:v>
      </x:c>
      <x:c r="L290" s="104" t="str">
        <x:v>npcDiscovered &amp;&amp; interactionGateOpen</x:v>
      </x:c>
      <x:c r="M290" s="104" t="str">
        <x:v>state=DIALOGUE</x:v>
      </x:c>
      <x:c r="N290" s="104" t="str">
        <x:v>UI bleibt auf Karte; GPS-Hinweis anzeigen.</x:v>
      </x:c>
      <x:c r="O290" s="104" t="str">
        <x:v>REQUIRED</x:v>
      </x:c>
      <x:c r="P290" s="104" t="str"/>
      <x:c r="Q290" s="104" t="str">
        <x:v>MAP_OBJECT_SHEET</x:v>
      </x:c>
      <x:c r="R290" s="104" t="str">
        <x:v>quest.discovered</x:v>
      </x:c>
      <x:c r="S290" s="104" t="str">
        <x:v>15-m-Enter/25-m-Exit-Hysterese; serverautoritativ.</x:v>
      </x:c>
    </x:row>
    <x:row r="291" ht="74" customHeight="1">
      <x:c r="A291" s="101" t="str">
        <x:v>D2-Q10</x:v>
      </x:c>
      <x:c r="B291" s="101" t="str">
        <x:v>D2-Q10-S02</x:v>
      </x:c>
      <x:c r="C291" s="109" t="n">
        <x:v>2</x:v>
      </x:c>
      <x:c r="D291" s="101" t="str">
        <x:v>DIALOGUE</x:v>
      </x:c>
      <x:c r="E291" s="101" t="str">
        <x:v>TALK_TO_NPC</x:v>
      </x:c>
      <x:c r="F291" s="101" t="str">
        <x:v>OBJECTIVE</x:v>
      </x:c>
      <x:c r="G291" s="101" t="str">
        <x:v>COMPLETE_DIALOGUE</x:v>
      </x:c>
      <x:c r="H291" s="101" t="str">
        <x:v>TEAM</x:v>
      </x:c>
      <x:c r="I291" s="101" t="str">
        <x:v>place_day_2_porta_maggiore_aqua_claudia</x:v>
      </x:c>
      <x:c r="J291" s="101" t="str">
        <x:v>D2-Q10-OFFER</x:v>
      </x:c>
      <x:c r="K291" s="101" t="str">
        <x:v>Questangebot und erste Dialogoption anzeigen.</x:v>
      </x:c>
      <x:c r="L291" s="101" t="str">
        <x:v>dialogSequenceComplete('D2-Q10-OFFER')</x:v>
      </x:c>
      <x:c r="M291" s="101" t="str">
        <x:v>state=ACCEPT</x:v>
      </x:c>
      <x:c r="N291" s="101" t="str">
        <x:v>Dialog kann erneut geöffnet werden.</x:v>
      </x:c>
      <x:c r="O291" s="101" t="str">
        <x:v>REQUIRED</x:v>
      </x:c>
      <x:c r="P291" s="101" t="str"/>
      <x:c r="Q291" s="101" t="str">
        <x:v>DIALOGUE</x:v>
      </x:c>
      <x:c r="R291" s="101" t="str">
        <x:v>quest.dialogue.offer</x:v>
      </x:c>
      <x:c r="S291" s="101" t="str">
        <x:v>Teamentscheidung wird einmal serverseitig gespeichert.</x:v>
      </x:c>
    </x:row>
    <x:row r="292" ht="74" customHeight="1">
      <x:c r="A292" s="104" t="str">
        <x:v>D2-Q10</x:v>
      </x:c>
      <x:c r="B292" s="104" t="str">
        <x:v>D2-Q10-S03</x:v>
      </x:c>
      <x:c r="C292" s="110" t="n">
        <x:v>3</x:v>
      </x:c>
      <x:c r="D292" s="104" t="str">
        <x:v>ACCEPT</x:v>
      </x:c>
      <x:c r="E292" s="104" t="str">
        <x:v>ACCEPT_QUEST</x:v>
      </x:c>
      <x:c r="F292" s="104" t="str">
        <x:v>FLOW_ACTION</x:v>
      </x:c>
      <x:c r="G292" s="104" t="str"/>
      <x:c r="H292" s="104" t="str">
        <x:v>TEAM</x:v>
      </x:c>
      <x:c r="I292" s="104" t="str">
        <x:v>place_day_2_porta_maggiore_aqua_claudia</x:v>
      </x:c>
      <x:c r="J292" s="104" t="str">
        <x:v>D2-Q10</x:v>
      </x:c>
      <x:c r="K292" s="104" t="str">
        <x:v>Quest annehmen; Etappen-Timer 120 s, Startbedingung und Ablaufwirkung vor Bestätigung anzeigen.</x:v>
      </x:c>
      <x:c r="L292" s="104" t="str">
        <x:v>teamVoteResolved &amp;&amp; questSlotReserved</x:v>
      </x:c>
      <x:c r="M292" s="104" t="str">
        <x:v>state=OBJECTIVE</x:v>
      </x:c>
      <x:c r="N292" s="104" t="str">
        <x:v>Annahme abbrechbar; kein Slotverbrauch.</x:v>
      </x:c>
      <x:c r="O292" s="104" t="str">
        <x:v>REQUIRED</x:v>
      </x:c>
      <x:c r="P292" s="104" t="str"/>
      <x:c r="Q292" s="104" t="str">
        <x:v>QUEST_ACCEPT</x:v>
      </x:c>
      <x:c r="R292" s="104" t="str">
        <x:v>quest.accepted</x:v>
      </x:c>
      <x:c r="S292" s="104" t="str">
        <x:v>timerRef=TMR-D2-Q10-S05; Timer startet nicht bei Annahme, sondern gemäß Timer.StartsWhen.</x:v>
      </x:c>
    </x:row>
    <x:row r="293" ht="74" customHeight="1">
      <x:c r="A293" s="101" t="str">
        <x:v>D2-Q10</x:v>
      </x:c>
      <x:c r="B293" s="101" t="str">
        <x:v>D2-Q10-S04</x:v>
      </x:c>
      <x:c r="C293" s="109" t="n">
        <x:v>4</x:v>
      </x:c>
      <x:c r="D293" s="101" t="str">
        <x:v>OBJECTIVE</x:v>
      </x:c>
      <x:c r="E293" s="101" t="str">
        <x:v>ANSWER_QUESTION</x:v>
      </x:c>
      <x:c r="F293" s="101" t="str">
        <x:v>OBJECTIVE</x:v>
      </x:c>
      <x:c r="G293" s="101" t="str">
        <x:v>SUBMIT_ANSWER</x:v>
      </x:c>
      <x:c r="H293" s="101" t="str">
        <x:v>TEAM</x:v>
      </x:c>
      <x:c r="I293" s="101" t="str">
        <x:v>place_day_2_porta_maggiore_aqua_claudia</x:v>
      </x:c>
      <x:c r="J293" s="101" t="str">
        <x:v>OBS-D2-Q10-1</x:v>
      </x:c>
      <x:c r="K293" s="101" t="str">
        <x:v>Zwei große Durchgänge sowie die darüberliegenden Wasserkanäle von einem sicheren Gehwegpunkt erfassen. Frage: Wie viele große Durchgänge besitzt der antike Doppelbogen?</x:v>
      </x:c>
      <x:c r="L293" s="101" t="str">
        <x:v>normalizedAnswer matches 'Zwei'</x:v>
      </x:c>
      <x:c r="M293" s="101" t="str">
        <x:v>stationComplete=true</x:v>
      </x:c>
      <x:c r="N293" s="101" t="str">
        <x:v>Hint 1 → Hint 2 → Fallback; Grundabschluss bleibt möglich.</x:v>
      </x:c>
      <x:c r="O293" s="101" t="str">
        <x:v>REQUIRED</x:v>
      </x:c>
      <x:c r="P293" s="101" t="str">
        <x:v>stationActive</x:v>
      </x:c>
      <x:c r="Q293" s="101" t="str">
        <x:v>OBSERVATION_INPUT</x:v>
      </x:c>
      <x:c r="R293" s="101" t="str">
        <x:v>quest.observation.answered</x:v>
      </x:c>
      <x:c r="S293" s="101" t="str">
        <x:v>Evidence: Zwei große Durchgänge, darüber mehrere gemauerte Aquäduktkanäle und monumentale Inschriften. | Ampel: GRUEN</x:v>
      </x:c>
    </x:row>
    <x:row r="294" ht="74" customHeight="1">
      <x:c r="A294" s="104" t="str">
        <x:v>D2-Q10</x:v>
      </x:c>
      <x:c r="B294" s="104" t="str">
        <x:v>D2-Q10-S05</x:v>
      </x:c>
      <x:c r="C294" s="110" t="n">
        <x:v>5</x:v>
      </x:c>
      <x:c r="D294" s="104" t="str">
        <x:v>OBJECTIVE</x:v>
      </x:c>
      <x:c r="E294" s="104" t="str">
        <x:v>SOLVE_PUZZLE</x:v>
      </x:c>
      <x:c r="F294" s="104" t="str">
        <x:v>OBJECTIVE</x:v>
      </x:c>
      <x:c r="G294" s="104" t="str">
        <x:v>SUBMIT_ANSWER</x:v>
      </x:c>
      <x:c r="H294" s="104" t="str">
        <x:v>TEAM</x:v>
      </x:c>
      <x:c r="I294" s="104" t="str">
        <x:v>place_day_2_porta_maggiore_aqua_claudia</x:v>
      </x:c>
      <x:c r="J294" s="104" t="str">
        <x:v>PZ-D2-Q10</x:v>
      </x:c>
      <x:c r="K294" s="104" t="str">
        <x:v>Startet vom sicheren Gehweg die 120-Sekunden-Diagnose und bestimmt die Doppelfunktion des Bauwerks.</x:v>
      </x:c>
      <x:c r="L294" s="104" t="str">
        <x:v>puzzleResult == CORRECT</x:v>
      </x:c>
      <x:c r="M294" s="104" t="str">
        <x:v>synthesisComplete=true; encounterModifier=timerState('TMR-D2-Q10-S05') == COMPLETED ? HEAD_SEALED : EXTRA_ACTIVE_HEAD</x:v>
      </x:c>
      <x:c r="N294" s="104" t="str">
        <x:v>Bei Ablauf behält die Hydra einen Zusatzkopf; Diagnose und Kampf bleiben lösbar.</x:v>
      </x:c>
      <x:c r="O294" s="104" t="str">
        <x:v>REQUIRED</x:v>
      </x:c>
      <x:c r="P294" s="104" t="str">
        <x:v>allRequiredStationsComplete</x:v>
      </x:c>
      <x:c r="Q294" s="104" t="str">
        <x:v>PUZZLE</x:v>
      </x:c>
      <x:c r="R294" s="104" t="str">
        <x:v>quest.puzzle.solved</x:v>
      </x:c>
      <x:c r="S294" s="104" t="str">
        <x:v>timerRef=TMR-D2-Q10-S05; START_TIMER nach Standortprüfung; keine Straßenquerung.</x:v>
      </x:c>
    </x:row>
    <x:row r="295" ht="74" customHeight="1">
      <x:c r="A295" s="101" t="str">
        <x:v>D2-Q10</x:v>
      </x:c>
      <x:c r="B295" s="101" t="str">
        <x:v>D2-Q10-S06</x:v>
      </x:c>
      <x:c r="C295" s="109" t="n">
        <x:v>6</x:v>
      </x:c>
      <x:c r="D295" s="101" t="str">
        <x:v>OBJECTIVE</x:v>
      </x:c>
      <x:c r="E295" s="101" t="str">
        <x:v>USE_ITEM</x:v>
      </x:c>
      <x:c r="F295" s="101" t="str">
        <x:v>OBJECTIVE</x:v>
      </x:c>
      <x:c r="G295" s="101" t="str">
        <x:v>DELIVER_ITEM</x:v>
      </x:c>
      <x:c r="H295" s="101" t="str">
        <x:v>TEAM</x:v>
      </x:c>
      <x:c r="I295" s="101" t="str">
        <x:v>place_day_2_porta_maggiore_aqua_claudia</x:v>
      </x:c>
      <x:c r="J295" s="101" t="str">
        <x:v>qi_plumbum_aquarii</x:v>
      </x:c>
      <x:c r="K295" s="101" t="str">
        <x:v>Bleiplombe des Wasseramts einsetzen: Vor dem Kampf einsetzen; versiegelt einen falschen Leitungszweig und entfernt eine Mehrfachangriffsoption.</x:v>
      </x:c>
      <x:c r="L295" s="101" t="str">
        <x:v>teamInventory consumed('qi_plumbum_aquarii')</x:v>
      </x:c>
      <x:c r="M295" s="101" t="str">
        <x:v>itemEffectApplied=true</x:v>
      </x:c>
      <x:c r="N295" s="101" t="str">
        <x:v>Item wird bei technischem Fehler atomar zurückgebucht.</x:v>
      </x:c>
      <x:c r="O295" s="101" t="str">
        <x:v>REQUIRED</x:v>
      </x:c>
      <x:c r="P295" s="101" t="str">
        <x:v>synthesisComplete</x:v>
      </x:c>
      <x:c r="Q295" s="101" t="str">
        <x:v>INVENTORY_ACTION</x:v>
      </x:c>
      <x:c r="R295" s="101" t="str">
        <x:v>quest.item.used</x:v>
      </x:c>
      <x:c r="S295" s="101" t="str">
        <x:v>Questitem nicht handelbar und nicht verlierbar.</x:v>
      </x:c>
    </x:row>
    <x:row r="296" ht="74" customHeight="1">
      <x:c r="A296" s="104" t="str">
        <x:v>D2-Q10</x:v>
      </x:c>
      <x:c r="B296" s="104" t="str">
        <x:v>D2-Q10-S07</x:v>
      </x:c>
      <x:c r="C296" s="110" t="n">
        <x:v>7</x:v>
      </x:c>
      <x:c r="D296" s="104" t="str">
        <x:v>OBJECTIVE</x:v>
      </x:c>
      <x:c r="E296" s="104" t="str">
        <x:v>DEFEAT_ENEMY</x:v>
      </x:c>
      <x:c r="F296" s="104" t="str">
        <x:v>OBJECTIVE</x:v>
      </x:c>
      <x:c r="G296" s="104" t="str">
        <x:v>COMPLETE_ENCOUNTER</x:v>
      </x:c>
      <x:c r="H296" s="104" t="str">
        <x:v>TEAM</x:v>
      </x:c>
      <x:c r="I296" s="104" t="str">
        <x:v>place_day_2_porta_maggiore_aqua_claudia</x:v>
      </x:c>
      <x:c r="J296" s="104" t="str">
        <x:v>CP-QE-IDRA</x:v>
      </x:c>
      <x:c r="K296" s="104" t="str">
        <x:v>Idra dell’Aqua Claudia bekämpfen.</x:v>
      </x:c>
      <x:c r="L296" s="104" t="str">
        <x:v>combatState == WON</x:v>
      </x:c>
      <x:c r="M296" s="104" t="str">
        <x:v>encounterComplete=true</x:v>
      </x:c>
      <x:c r="N296" s="104" t="str">
        <x:v>Quest bleibt aktiv; nach Team-Wipe Wiederbelebungsregeln.</x:v>
      </x:c>
      <x:c r="O296" s="104" t="str">
        <x:v>REQUIRED</x:v>
      </x:c>
      <x:c r="P296" s="104" t="str">
        <x:v>synthesisComplete</x:v>
      </x:c>
      <x:c r="Q296" s="104" t="str">
        <x:v>COMBAT</x:v>
      </x:c>
      <x:c r="R296" s="104" t="str">
        <x:v>quest.combat.completed</x:v>
      </x:c>
      <x:c r="S296" s="104" t="str">
        <x:v>QUEST_ENEMY ist teambezogen; kein normaler Respawn.</x:v>
      </x:c>
    </x:row>
    <x:row r="297" ht="74" customHeight="1">
      <x:c r="A297" s="101" t="str">
        <x:v>D2-Q10</x:v>
      </x:c>
      <x:c r="B297" s="101" t="str">
        <x:v>D2-Q10-S08</x:v>
      </x:c>
      <x:c r="C297" s="109" t="n">
        <x:v>8</x:v>
      </x:c>
      <x:c r="D297" s="101" t="str">
        <x:v>COMPLETE</x:v>
      </x:c>
      <x:c r="E297" s="101" t="str">
        <x:v>TALK_TO_NPC</x:v>
      </x:c>
      <x:c r="F297" s="101" t="str">
        <x:v>OBJECTIVE</x:v>
      </x:c>
      <x:c r="G297" s="101" t="str">
        <x:v>COMPLETE_DIALOGUE</x:v>
      </x:c>
      <x:c r="H297" s="101" t="str">
        <x:v>TEAM</x:v>
      </x:c>
      <x:c r="I297" s="101" t="str">
        <x:v>place_day_2_porta_maggiore_aqua_claudia</x:v>
      </x:c>
      <x:c r="J297" s="101" t="str">
        <x:v>D2-Q10-COMPLETE</x:v>
      </x:c>
      <x:c r="K297" s="101" t="str">
        <x:v>Abschlussdialog und Konsequenz anzeigen.</x:v>
      </x:c>
      <x:c r="L297" s="101" t="str">
        <x:v>dialogSequenceComplete('D2-Q10-COMPLETE')</x:v>
      </x:c>
      <x:c r="M297" s="101" t="str">
        <x:v>state=REWARD</x:v>
      </x:c>
      <x:c r="N297" s="101" t="str">
        <x:v>Dialog erneut öffnen.</x:v>
      </x:c>
      <x:c r="O297" s="101" t="str">
        <x:v>REQUIRED</x:v>
      </x:c>
      <x:c r="P297" s="101" t="str">
        <x:v>allRequiredObjectivesComplete</x:v>
      </x:c>
      <x:c r="Q297" s="101" t="str">
        <x:v>DIALOGUE</x:v>
      </x:c>
      <x:c r="R297" s="101" t="str">
        <x:v>quest.completed</x:v>
      </x:c>
      <x:c r="S297" s="101" t="str">
        <x:v>Abschluss erst serverseitig nach allen Pflichtschritten.</x:v>
      </x:c>
    </x:row>
    <x:row r="298" ht="74" customHeight="1">
      <x:c r="A298" s="104" t="str">
        <x:v>D2-Q10</x:v>
      </x:c>
      <x:c r="B298" s="104" t="str">
        <x:v>D2-Q10-S09</x:v>
      </x:c>
      <x:c r="C298" s="110" t="n">
        <x:v>9</x:v>
      </x:c>
      <x:c r="D298" s="104" t="str">
        <x:v>REWARD</x:v>
      </x:c>
      <x:c r="E298" s="104" t="str">
        <x:v>GRANT_REWARD</x:v>
      </x:c>
      <x:c r="F298" s="104" t="str">
        <x:v>SYSTEM_ACTION</x:v>
      </x:c>
      <x:c r="G298" s="104" t="str"/>
      <x:c r="H298" s="104" t="str">
        <x:v>TEAM</x:v>
      </x:c>
      <x:c r="I298" s="104" t="str"/>
      <x:c r="J298" s="104" t="str">
        <x:v>D2-Q10</x:v>
      </x:c>
      <x:c r="K298" s="104" t="str">
        <x:v>Atomare Vergabe von Ruhm, Denaren, Loot und Variantenbonus.</x:v>
      </x:c>
      <x:c r="L298" s="104" t="str">
        <x:v>rewardTransactionCommitted</x:v>
      </x:c>
      <x:c r="M298" s="104" t="str">
        <x:v>state=COMPLETED</x:v>
      </x:c>
      <x:c r="N298" s="104" t="str">
        <x:v>Idempotenter Retry mit gleicher rewardTransactionId.</x:v>
      </x:c>
      <x:c r="O298" s="104" t="str">
        <x:v>REQUIRED</x:v>
      </x:c>
      <x:c r="P298" s="104" t="str">
        <x:v>questComplete</x:v>
      </x:c>
      <x:c r="Q298" s="104" t="str">
        <x:v>REWARD</x:v>
      </x:c>
      <x:c r="R298" s="104" t="str">
        <x:v>quest.reward.granted</x:v>
      </x:c>
      <x:c r="S298" s="104" t="str">
        <x:v>Arbeitswerte aus Quest Master; finales Balancing separat.</x:v>
      </x:c>
    </x:row>
    <x:row r="299" ht="74" customHeight="1">
      <x:c r="A299" s="101" t="str">
        <x:v>M-D1-01</x:v>
      </x:c>
      <x:c r="B299" s="101" t="str">
        <x:v>M-D1-01-S01</x:v>
      </x:c>
      <x:c r="C299" s="109" t="n">
        <x:v>1</x:v>
      </x:c>
      <x:c r="D299" s="101" t="str">
        <x:v>DISCOVER</x:v>
      </x:c>
      <x:c r="E299" s="101" t="str">
        <x:v>DISCOVER_NPC</x:v>
      </x:c>
      <x:c r="F299" s="101" t="str">
        <x:v>FLOW_ACTION</x:v>
      </x:c>
      <x:c r="G299" s="101" t="str"/>
      <x:c r="H299" s="101" t="str">
        <x:v>TEAM</x:v>
      </x:c>
      <x:c r="I299" s="101" t="str">
        <x:v>place_day_1_piazza_san_pietro</x:v>
      </x:c>
      <x:c r="J299" s="101" t="str">
        <x:v>npc_livia_lens</x:v>
      </x:c>
      <x:c r="K299" s="101" t="str">
        <x:v>Sonderquest Foto mit Schweizer Gardist entdecken.</x:v>
      </x:c>
      <x:c r="L299" s="101" t="str">
        <x:v>npcDiscovered &amp;&amp; interactionGateOpen</x:v>
      </x:c>
      <x:c r="M299" s="101" t="str">
        <x:v>state=DIALOGUE</x:v>
      </x:c>
      <x:c r="N299" s="101" t="str">
        <x:v>Trigger bleibt erneut verfügbar.</x:v>
      </x:c>
      <x:c r="O299" s="101" t="str">
        <x:v>REQUIRED</x:v>
      </x:c>
      <x:c r="P299" s="101" t="str"/>
      <x:c r="Q299" s="101" t="str">
        <x:v>MAP_OBJECT_SHEET</x:v>
      </x:c>
      <x:c r="R299" s="101" t="str">
        <x:v>quest.discovered</x:v>
      </x:c>
      <x:c r="S299" s="101" t="str">
        <x:v>Hidden ohne Slot; Medien/Boss mit separater Kapazität.</x:v>
      </x:c>
    </x:row>
    <x:row r="300" ht="74" customHeight="1">
      <x:c r="A300" s="104" t="str">
        <x:v>M-D1-01</x:v>
      </x:c>
      <x:c r="B300" s="104" t="str">
        <x:v>M-D1-01-S02</x:v>
      </x:c>
      <x:c r="C300" s="110" t="n">
        <x:v>2</x:v>
      </x:c>
      <x:c r="D300" s="104" t="str">
        <x:v>DIALOGUE</x:v>
      </x:c>
      <x:c r="E300" s="104" t="str">
        <x:v>TALK_TO_NPC</x:v>
      </x:c>
      <x:c r="F300" s="104" t="str">
        <x:v>OBJECTIVE</x:v>
      </x:c>
      <x:c r="G300" s="104" t="str">
        <x:v>COMPLETE_DIALOGUE</x:v>
      </x:c>
      <x:c r="H300" s="104" t="str">
        <x:v>TEAM</x:v>
      </x:c>
      <x:c r="I300" s="104" t="str">
        <x:v>place_day_1_piazza_san_pietro</x:v>
      </x:c>
      <x:c r="J300" s="104" t="str">
        <x:v>M-D1-01-OFFER</x:v>
      </x:c>
      <x:c r="K300" s="104" t="str">
        <x:v>Questangebot anzeigen.</x:v>
      </x:c>
      <x:c r="L300" s="104" t="str">
        <x:v>dialogSequenceComplete('M-D1-01-OFFER')</x:v>
      </x:c>
      <x:c r="M300" s="104" t="str">
        <x:v>state=ACCEPT</x:v>
      </x:c>
      <x:c r="N300" s="104" t="str">
        <x:v>Dialog wiederholbar.</x:v>
      </x:c>
      <x:c r="O300" s="104" t="str">
        <x:v>REQUIRED</x:v>
      </x:c>
      <x:c r="P300" s="104" t="str"/>
      <x:c r="Q300" s="104" t="str">
        <x:v>DIALOGUE</x:v>
      </x:c>
      <x:c r="R300" s="104" t="str">
        <x:v>quest.dialogue.offer</x:v>
      </x:c>
      <x:c r="S300" s="104" t="str"/>
    </x:row>
    <x:row r="301" ht="74" customHeight="1">
      <x:c r="A301" s="101" t="str">
        <x:v>M-D1-01</x:v>
      </x:c>
      <x:c r="B301" s="101" t="str">
        <x:v>M-D1-01-S03</x:v>
      </x:c>
      <x:c r="C301" s="109" t="n">
        <x:v>3</x:v>
      </x:c>
      <x:c r="D301" s="101" t="str">
        <x:v>ACCEPT</x:v>
      </x:c>
      <x:c r="E301" s="101" t="str">
        <x:v>ACCEPT_QUEST</x:v>
      </x:c>
      <x:c r="F301" s="101" t="str">
        <x:v>FLOW_ACTION</x:v>
      </x:c>
      <x:c r="G301" s="101" t="str"/>
      <x:c r="H301" s="101" t="str">
        <x:v>TEAM</x:v>
      </x:c>
      <x:c r="I301" s="101" t="str">
        <x:v>place_day_1_piazza_san_pietro</x:v>
      </x:c>
      <x:c r="J301" s="101" t="str">
        <x:v>M-D1-01</x:v>
      </x:c>
      <x:c r="K301" s="101" t="str">
        <x:v>Sonderquest annehmen beziehungsweise Bossbeitritt bestätigen.</x:v>
      </x:c>
      <x:c r="L301" s="101" t="str">
        <x:v>teamVoteResolved</x:v>
      </x:c>
      <x:c r="M301" s="101" t="str">
        <x:v>state=OBJECTIVE</x:v>
      </x:c>
      <x:c r="N301" s="101" t="str">
        <x:v>Keine reguläre Slotwirkung.</x:v>
      </x:c>
      <x:c r="O301" s="101" t="str">
        <x:v>REQUIRED</x:v>
      </x:c>
      <x:c r="P301" s="101" t="str"/>
      <x:c r="Q301" s="101" t="str">
        <x:v>QUEST_ACCEPT</x:v>
      </x:c>
      <x:c r="R301" s="101" t="str">
        <x:v>quest.accepted</x:v>
      </x:c>
      <x:c r="S301" s="101" t="str">
        <x:v>Hidden Quests zählen nicht zum regulären Limit.</x:v>
      </x:c>
    </x:row>
    <x:row r="302" ht="74" customHeight="1">
      <x:c r="A302" s="104" t="str">
        <x:v>M-D1-01</x:v>
      </x:c>
      <x:c r="B302" s="104" t="str">
        <x:v>M-D1-01-S04</x:v>
      </x:c>
      <x:c r="C302" s="110" t="n">
        <x:v>4</x:v>
      </x:c>
      <x:c r="D302" s="104" t="str">
        <x:v>OBJECTIVE</x:v>
      </x:c>
      <x:c r="E302" s="104" t="str">
        <x:v>REACH_LOCATION</x:v>
      </x:c>
      <x:c r="F302" s="104" t="str">
        <x:v>OBJECTIVE</x:v>
      </x:c>
      <x:c r="G302" s="104" t="str">
        <x:v>REACH_LOCATION</x:v>
      </x:c>
      <x:c r="H302" s="104" t="str">
        <x:v>TEAM</x:v>
      </x:c>
      <x:c r="I302" s="104" t="str">
        <x:v>place_day_1_piazza_san_pietro</x:v>
      </x:c>
      <x:c r="J302" s="104" t="str">
        <x:v>M-D1-01</x:v>
      </x:c>
      <x:c r="K302" s="104" t="str">
        <x:v>Mindestens zwei Teammitglieder betreten den 15-m-Pickup-Radius am Petersplatz.</x:v>
      </x:c>
      <x:c r="L302" s="104" t="str">
        <x:v>teamMembersInRadius &gt;= 2</x:v>
      </x:c>
      <x:c r="M302" s="104" t="str">
        <x:v>objectiveComplete=true</x:v>
      </x:c>
      <x:c r="N302" s="104" t="str">
        <x:v>Keine Strafe; Radius erneut betreten.</x:v>
      </x:c>
      <x:c r="O302" s="104" t="str">
        <x:v>REQUIRED</x:v>
      </x:c>
      <x:c r="P302" s="104" t="str">
        <x:v>previousStepComplete</x:v>
      </x:c>
      <x:c r="Q302" s="104" t="str">
        <x:v>QUEST_OBJECTIVE</x:v>
      </x:c>
      <x:c r="R302" s="104" t="str">
        <x:v>quest.objective.completed</x:v>
      </x:c>
      <x:c r="S302" s="104" t="str"/>
    </x:row>
    <x:row r="303" ht="74" customHeight="1">
      <x:c r="A303" s="101" t="str">
        <x:v>M-D1-01</x:v>
      </x:c>
      <x:c r="B303" s="101" t="str">
        <x:v>M-D1-01-S05</x:v>
      </x:c>
      <x:c r="C303" s="109" t="n">
        <x:v>5</x:v>
      </x:c>
      <x:c r="D303" s="101" t="str">
        <x:v>OBJECTIVE</x:v>
      </x:c>
      <x:c r="E303" s="101" t="str">
        <x:v>TAKE_PHOTO</x:v>
      </x:c>
      <x:c r="F303" s="101" t="str">
        <x:v>OBJECTIVE</x:v>
      </x:c>
      <x:c r="G303" s="101" t="str">
        <x:v>SUBMIT_MEDIA</x:v>
      </x:c>
      <x:c r="H303" s="101" t="str">
        <x:v>TEAM</x:v>
      </x:c>
      <x:c r="I303" s="101" t="str">
        <x:v>place_day_1_piazza_san_pietro</x:v>
      </x:c>
      <x:c r="J303" s="101" t="str">
        <x:v>M-D1-01</x:v>
      </x:c>
      <x:c r="K303" s="101" t="str">
        <x:v>Ein Teamfoto mit erkennbaren Klassenrollen und respektvollem Garde-/Ortsbezug aufnehmen.</x:v>
      </x:c>
      <x:c r="L303" s="101" t="str">
        <x:v>onePhoto &amp;&amp; allPresentRolesVisible &amp;&amp; safetyAcknowledged</x:v>
      </x:c>
      <x:c r="M303" s="101" t="str">
        <x:v>objectiveComplete=true</x:v>
      </x:c>
      <x:c r="N303" s="101" t="str">
        <x:v>Neuaufnahme möglich.</x:v>
      </x:c>
      <x:c r="O303" s="101" t="str">
        <x:v>REQUIRED</x:v>
      </x:c>
      <x:c r="P303" s="101" t="str">
        <x:v>previousStepComplete</x:v>
      </x:c>
      <x:c r="Q303" s="101" t="str">
        <x:v>MEDIA_CAPTURE</x:v>
      </x:c>
      <x:c r="R303" s="101" t="str">
        <x:v>quest.objective.completed</x:v>
      </x:c>
      <x:c r="S303" s="101" t="str"/>
    </x:row>
    <x:row r="304" ht="74" customHeight="1">
      <x:c r="A304" s="104" t="str">
        <x:v>M-D1-01</x:v>
      </x:c>
      <x:c r="B304" s="104" t="str">
        <x:v>M-D1-01-S06</x:v>
      </x:c>
      <x:c r="C304" s="110" t="n">
        <x:v>6</x:v>
      </x:c>
      <x:c r="D304" s="104" t="str">
        <x:v>OBJECTIVE</x:v>
      </x:c>
      <x:c r="E304" s="104" t="str">
        <x:v>UPLOAD_MEDIA</x:v>
      </x:c>
      <x:c r="F304" s="104" t="str">
        <x:v>OBJECTIVE</x:v>
      </x:c>
      <x:c r="G304" s="104" t="str">
        <x:v>SUBMIT_MEDIA</x:v>
      </x:c>
      <x:c r="H304" s="104" t="str">
        <x:v>TEAM</x:v>
      </x:c>
      <x:c r="I304" s="104" t="str">
        <x:v>place_day_1_piazza_san_pietro</x:v>
      </x:c>
      <x:c r="J304" s="104" t="str">
        <x:v>M-D1-01</x:v>
      </x:c>
      <x:c r="K304" s="104" t="str">
        <x:v>Foto innerhalb desselben 15-m-Radius hochladen.</x:v>
      </x:c>
      <x:c r="L304" s="104" t="str">
        <x:v>upload.locationVerified &amp;&amp; media.type == PHOTO</x:v>
      </x:c>
      <x:c r="M304" s="104" t="str">
        <x:v>objectiveComplete=true</x:v>
      </x:c>
      <x:c r="N304" s="104" t="str">
        <x:v>Upload bleibt lokal vorgemerkt; erneuter Versuch im Radius.</x:v>
      </x:c>
      <x:c r="O304" s="104" t="str">
        <x:v>REQUIRED</x:v>
      </x:c>
      <x:c r="P304" s="104" t="str">
        <x:v>previousStepComplete</x:v>
      </x:c>
      <x:c r="Q304" s="104" t="str">
        <x:v>MEDIA_CAPTURE</x:v>
      </x:c>
      <x:c r="R304" s="104" t="str">
        <x:v>quest.objective.completed</x:v>
      </x:c>
      <x:c r="S304" s="104" t="str"/>
    </x:row>
    <x:row r="305" ht="74" customHeight="1">
      <x:c r="A305" s="101" t="str">
        <x:v>M-D1-01</x:v>
      </x:c>
      <x:c r="B305" s="101" t="str">
        <x:v>M-D1-01-S07</x:v>
      </x:c>
      <x:c r="C305" s="109" t="n">
        <x:v>7</x:v>
      </x:c>
      <x:c r="D305" s="101" t="str">
        <x:v>COMPLETE</x:v>
      </x:c>
      <x:c r="E305" s="101" t="str">
        <x:v>TALK_TO_NPC</x:v>
      </x:c>
      <x:c r="F305" s="101" t="str">
        <x:v>OBJECTIVE</x:v>
      </x:c>
      <x:c r="G305" s="101" t="str">
        <x:v>COMPLETE_DIALOGUE</x:v>
      </x:c>
      <x:c r="H305" s="101" t="str">
        <x:v>TEAM</x:v>
      </x:c>
      <x:c r="I305" s="101" t="str">
        <x:v>place_day_1_piazza_san_pietro</x:v>
      </x:c>
      <x:c r="J305" s="101" t="str">
        <x:v>M-D1-01-COMPLETE</x:v>
      </x:c>
      <x:c r="K305" s="101" t="str">
        <x:v>Abschlussdialog beziehungsweise Eventresultat anzeigen.</x:v>
      </x:c>
      <x:c r="L305" s="101" t="str">
        <x:v>dialogSequenceComplete('M-D1-01-COMPLETE')</x:v>
      </x:c>
      <x:c r="M305" s="101" t="str">
        <x:v>state=REWARD</x:v>
      </x:c>
      <x:c r="N305" s="101" t="str">
        <x:v>Erneut anzeigen.</x:v>
      </x:c>
      <x:c r="O305" s="101" t="str">
        <x:v>REQUIRED</x:v>
      </x:c>
      <x:c r="P305" s="101" t="str">
        <x:v>allRequiredObjectivesComplete</x:v>
      </x:c>
      <x:c r="Q305" s="101" t="str">
        <x:v>DIALOGUE</x:v>
      </x:c>
      <x:c r="R305" s="101" t="str">
        <x:v>quest.completed</x:v>
      </x:c>
      <x:c r="S305" s="101" t="str"/>
    </x:row>
    <x:row r="306" ht="74" customHeight="1">
      <x:c r="A306" s="104" t="str">
        <x:v>M-D1-01</x:v>
      </x:c>
      <x:c r="B306" s="104" t="str">
        <x:v>M-D1-01-S08</x:v>
      </x:c>
      <x:c r="C306" s="110" t="n">
        <x:v>8</x:v>
      </x:c>
      <x:c r="D306" s="104" t="str">
        <x:v>REWARD</x:v>
      </x:c>
      <x:c r="E306" s="104" t="str">
        <x:v>GRANT_REWARD</x:v>
      </x:c>
      <x:c r="F306" s="104" t="str">
        <x:v>SYSTEM_ACTION</x:v>
      </x:c>
      <x:c r="G306" s="104" t="str"/>
      <x:c r="H306" s="104" t="str">
        <x:v>TEAM</x:v>
      </x:c>
      <x:c r="I306" s="104" t="str"/>
      <x:c r="J306" s="104" t="str">
        <x:v>M-D1-01</x:v>
      </x:c>
      <x:c r="K306" s="104" t="str">
        <x:v>Belohnung atomar vergeben; Medien-/Bosswertung gegebenenfalls als PENDING_REVIEW markieren.</x:v>
      </x:c>
      <x:c r="L306" s="104" t="str">
        <x:v>rewardTransactionCommitted || rewardStatus == PENDING_REVIEW</x:v>
      </x:c>
      <x:c r="M306" s="104" t="str">
        <x:v>state=COMPLETED</x:v>
      </x:c>
      <x:c r="N306" s="104" t="str">
        <x:v>Idempotenter Retry.</x:v>
      </x:c>
      <x:c r="O306" s="104" t="str">
        <x:v>REQUIRED</x:v>
      </x:c>
      <x:c r="P306" s="104" t="str">
        <x:v>questComplete</x:v>
      </x:c>
      <x:c r="Q306" s="104" t="str">
        <x:v>REWARD</x:v>
      </x:c>
      <x:c r="R306" s="104" t="str">
        <x:v>quest.reward.granted</x:v>
      </x:c>
      <x:c r="S306" s="104" t="str"/>
    </x:row>
    <x:row r="307" ht="74" customHeight="1">
      <x:c r="A307" s="101" t="str">
        <x:v>M-D1-02</x:v>
      </x:c>
      <x:c r="B307" s="101" t="str">
        <x:v>M-D1-02-S01</x:v>
      </x:c>
      <x:c r="C307" s="109" t="n">
        <x:v>1</x:v>
      </x:c>
      <x:c r="D307" s="101" t="str">
        <x:v>DISCOVER</x:v>
      </x:c>
      <x:c r="E307" s="101" t="str">
        <x:v>DISCOVER_NPC</x:v>
      </x:c>
      <x:c r="F307" s="101" t="str">
        <x:v>FLOW_ACTION</x:v>
      </x:c>
      <x:c r="G307" s="101" t="str"/>
      <x:c r="H307" s="101" t="str">
        <x:v>TEAM</x:v>
      </x:c>
      <x:c r="I307" s="101" t="str">
        <x:v>place_day_1_ponte_sant_angelo</x:v>
      </x:c>
      <x:c r="J307" s="101" t="str">
        <x:v>npc_livia_lens</x:v>
      </x:c>
      <x:c r="K307" s="101" t="str">
        <x:v>Sonderquest Wie ein Engel entdecken.</x:v>
      </x:c>
      <x:c r="L307" s="101" t="str">
        <x:v>npcDiscovered &amp;&amp; interactionGateOpen</x:v>
      </x:c>
      <x:c r="M307" s="101" t="str">
        <x:v>state=DIALOGUE</x:v>
      </x:c>
      <x:c r="N307" s="101" t="str">
        <x:v>Trigger bleibt erneut verfügbar.</x:v>
      </x:c>
      <x:c r="O307" s="101" t="str">
        <x:v>REQUIRED</x:v>
      </x:c>
      <x:c r="P307" s="101" t="str"/>
      <x:c r="Q307" s="101" t="str">
        <x:v>MAP_OBJECT_SHEET</x:v>
      </x:c>
      <x:c r="R307" s="101" t="str">
        <x:v>quest.discovered</x:v>
      </x:c>
      <x:c r="S307" s="101" t="str">
        <x:v>Hidden ohne Slot; Medien/Boss mit separater Kapazität.</x:v>
      </x:c>
    </x:row>
    <x:row r="308" ht="74" customHeight="1">
      <x:c r="A308" s="104" t="str">
        <x:v>M-D1-02</x:v>
      </x:c>
      <x:c r="B308" s="104" t="str">
        <x:v>M-D1-02-S02</x:v>
      </x:c>
      <x:c r="C308" s="110" t="n">
        <x:v>2</x:v>
      </x:c>
      <x:c r="D308" s="104" t="str">
        <x:v>DIALOGUE</x:v>
      </x:c>
      <x:c r="E308" s="104" t="str">
        <x:v>TALK_TO_NPC</x:v>
      </x:c>
      <x:c r="F308" s="104" t="str">
        <x:v>OBJECTIVE</x:v>
      </x:c>
      <x:c r="G308" s="104" t="str">
        <x:v>COMPLETE_DIALOGUE</x:v>
      </x:c>
      <x:c r="H308" s="104" t="str">
        <x:v>TEAM</x:v>
      </x:c>
      <x:c r="I308" s="104" t="str">
        <x:v>place_day_1_ponte_sant_angelo</x:v>
      </x:c>
      <x:c r="J308" s="104" t="str">
        <x:v>M-D1-02-OFFER</x:v>
      </x:c>
      <x:c r="K308" s="104" t="str">
        <x:v>Questangebot anzeigen.</x:v>
      </x:c>
      <x:c r="L308" s="104" t="str">
        <x:v>dialogSequenceComplete('M-D1-02-OFFER')</x:v>
      </x:c>
      <x:c r="M308" s="104" t="str">
        <x:v>state=ACCEPT</x:v>
      </x:c>
      <x:c r="N308" s="104" t="str">
        <x:v>Dialog wiederholbar.</x:v>
      </x:c>
      <x:c r="O308" s="104" t="str">
        <x:v>REQUIRED</x:v>
      </x:c>
      <x:c r="P308" s="104" t="str"/>
      <x:c r="Q308" s="104" t="str">
        <x:v>DIALOGUE</x:v>
      </x:c>
      <x:c r="R308" s="104" t="str">
        <x:v>quest.dialogue.offer</x:v>
      </x:c>
      <x:c r="S308" s="104" t="str"/>
    </x:row>
    <x:row r="309" ht="74" customHeight="1">
      <x:c r="A309" s="101" t="str">
        <x:v>M-D1-02</x:v>
      </x:c>
      <x:c r="B309" s="101" t="str">
        <x:v>M-D1-02-S03</x:v>
      </x:c>
      <x:c r="C309" s="109" t="n">
        <x:v>3</x:v>
      </x:c>
      <x:c r="D309" s="101" t="str">
        <x:v>ACCEPT</x:v>
      </x:c>
      <x:c r="E309" s="101" t="str">
        <x:v>ACCEPT_QUEST</x:v>
      </x:c>
      <x:c r="F309" s="101" t="str">
        <x:v>FLOW_ACTION</x:v>
      </x:c>
      <x:c r="G309" s="101" t="str"/>
      <x:c r="H309" s="101" t="str">
        <x:v>TEAM</x:v>
      </x:c>
      <x:c r="I309" s="101" t="str">
        <x:v>place_day_1_ponte_sant_angelo</x:v>
      </x:c>
      <x:c r="J309" s="101" t="str">
        <x:v>M-D1-02</x:v>
      </x:c>
      <x:c r="K309" s="101" t="str">
        <x:v>Sonderquest annehmen beziehungsweise Bossbeitritt bestätigen.</x:v>
      </x:c>
      <x:c r="L309" s="101" t="str">
        <x:v>teamVoteResolved</x:v>
      </x:c>
      <x:c r="M309" s="101" t="str">
        <x:v>state=OBJECTIVE</x:v>
      </x:c>
      <x:c r="N309" s="101" t="str">
        <x:v>Keine reguläre Slotwirkung.</x:v>
      </x:c>
      <x:c r="O309" s="101" t="str">
        <x:v>REQUIRED</x:v>
      </x:c>
      <x:c r="P309" s="101" t="str"/>
      <x:c r="Q309" s="101" t="str">
        <x:v>QUEST_ACCEPT</x:v>
      </x:c>
      <x:c r="R309" s="101" t="str">
        <x:v>quest.accepted</x:v>
      </x:c>
      <x:c r="S309" s="101" t="str">
        <x:v>Hidden Quests zählen nicht zum regulären Limit.</x:v>
      </x:c>
    </x:row>
    <x:row r="310" ht="74" customHeight="1">
      <x:c r="A310" s="104" t="str">
        <x:v>M-D1-02</x:v>
      </x:c>
      <x:c r="B310" s="104" t="str">
        <x:v>M-D1-02-S04</x:v>
      </x:c>
      <x:c r="C310" s="110" t="n">
        <x:v>4</x:v>
      </x:c>
      <x:c r="D310" s="104" t="str">
        <x:v>OBJECTIVE</x:v>
      </x:c>
      <x:c r="E310" s="104" t="str">
        <x:v>REACH_LOCATION</x:v>
      </x:c>
      <x:c r="F310" s="104" t="str">
        <x:v>OBJECTIVE</x:v>
      </x:c>
      <x:c r="G310" s="104" t="str">
        <x:v>REACH_LOCATION</x:v>
      </x:c>
      <x:c r="H310" s="104" t="str">
        <x:v>TEAM</x:v>
      </x:c>
      <x:c r="I310" s="104" t="str">
        <x:v>place_day_1_ponte_sant_angelo</x:v>
      </x:c>
      <x:c r="J310" s="104" t="str">
        <x:v>M-D1-02</x:v>
      </x:c>
      <x:c r="K310" s="104" t="str">
        <x:v>Das Team erreicht den 15-m-Pickup-Radius an der Engelsbrücke.</x:v>
      </x:c>
      <x:c r="L310" s="104" t="str">
        <x:v>teamMembersInRadius &gt;= 2</x:v>
      </x:c>
      <x:c r="M310" s="104" t="str">
        <x:v>objectiveComplete=true</x:v>
      </x:c>
      <x:c r="N310" s="104" t="str">
        <x:v>Erneut annähern.</x:v>
      </x:c>
      <x:c r="O310" s="104" t="str">
        <x:v>REQUIRED</x:v>
      </x:c>
      <x:c r="P310" s="104" t="str">
        <x:v>previousStepComplete</x:v>
      </x:c>
      <x:c r="Q310" s="104" t="str">
        <x:v>QUEST_OBJECTIVE</x:v>
      </x:c>
      <x:c r="R310" s="104" t="str">
        <x:v>quest.objective.completed</x:v>
      </x:c>
      <x:c r="S310" s="104" t="str"/>
    </x:row>
    <x:row r="311" ht="74" customHeight="1">
      <x:c r="A311" s="101" t="str">
        <x:v>M-D1-02</x:v>
      </x:c>
      <x:c r="B311" s="101" t="str">
        <x:v>M-D1-02-S05</x:v>
      </x:c>
      <x:c r="C311" s="109" t="n">
        <x:v>5</x:v>
      </x:c>
      <x:c r="D311" s="101" t="str">
        <x:v>OBJECTIVE</x:v>
      </x:c>
      <x:c r="E311" s="101" t="str">
        <x:v>TAKE_PHOTO</x:v>
      </x:c>
      <x:c r="F311" s="101" t="str">
        <x:v>OBJECTIVE</x:v>
      </x:c>
      <x:c r="G311" s="101" t="str">
        <x:v>SUBMIT_MEDIA</x:v>
      </x:c>
      <x:c r="H311" s="101" t="str">
        <x:v>TEAM</x:v>
      </x:c>
      <x:c r="I311" s="101" t="str">
        <x:v>place_day_1_ponte_sant_angelo</x:v>
      </x:c>
      <x:c r="J311" s="101" t="str">
        <x:v>M-D1-02</x:v>
      </x:c>
      <x:c r="K311" s="101" t="str">
        <x:v>Eine sichere kreative Teaminterpretation eines Brückenengels aufnehmen.</x:v>
      </x:c>
      <x:c r="L311" s="101" t="str">
        <x:v>onePhoto &amp;&amp; creativePose &amp;&amp; walkwayUnblocked</x:v>
      </x:c>
      <x:c r="M311" s="101" t="str">
        <x:v>objectiveComplete=true</x:v>
      </x:c>
      <x:c r="N311" s="101" t="str">
        <x:v>Neuaufnahme möglich.</x:v>
      </x:c>
      <x:c r="O311" s="101" t="str">
        <x:v>REQUIRED</x:v>
      </x:c>
      <x:c r="P311" s="101" t="str">
        <x:v>previousStepComplete</x:v>
      </x:c>
      <x:c r="Q311" s="101" t="str">
        <x:v>MEDIA_CAPTURE</x:v>
      </x:c>
      <x:c r="R311" s="101" t="str">
        <x:v>quest.objective.completed</x:v>
      </x:c>
      <x:c r="S311" s="101" t="str"/>
    </x:row>
    <x:row r="312" ht="74" customHeight="1">
      <x:c r="A312" s="104" t="str">
        <x:v>M-D1-02</x:v>
      </x:c>
      <x:c r="B312" s="104" t="str">
        <x:v>M-D1-02-S06</x:v>
      </x:c>
      <x:c r="C312" s="110" t="n">
        <x:v>6</x:v>
      </x:c>
      <x:c r="D312" s="104" t="str">
        <x:v>OBJECTIVE</x:v>
      </x:c>
      <x:c r="E312" s="104" t="str">
        <x:v>UPLOAD_MEDIA</x:v>
      </x:c>
      <x:c r="F312" s="104" t="str">
        <x:v>OBJECTIVE</x:v>
      </x:c>
      <x:c r="G312" s="104" t="str">
        <x:v>SUBMIT_MEDIA</x:v>
      </x:c>
      <x:c r="H312" s="104" t="str">
        <x:v>TEAM</x:v>
      </x:c>
      <x:c r="I312" s="104" t="str">
        <x:v>place_day_1_ponte_sant_angelo</x:v>
      </x:c>
      <x:c r="J312" s="104" t="str">
        <x:v>M-D1-02</x:v>
      </x:c>
      <x:c r="K312" s="104" t="str">
        <x:v>Foto im 15-m-Radius hochladen.</x:v>
      </x:c>
      <x:c r="L312" s="104" t="str">
        <x:v>upload.locationVerified &amp;&amp; media.type == PHOTO</x:v>
      </x:c>
      <x:c r="M312" s="104" t="str">
        <x:v>objectiveComplete=true</x:v>
      </x:c>
      <x:c r="N312" s="104" t="str">
        <x:v>Erneuter Upload möglich.</x:v>
      </x:c>
      <x:c r="O312" s="104" t="str">
        <x:v>REQUIRED</x:v>
      </x:c>
      <x:c r="P312" s="104" t="str">
        <x:v>previousStepComplete</x:v>
      </x:c>
      <x:c r="Q312" s="104" t="str">
        <x:v>MEDIA_CAPTURE</x:v>
      </x:c>
      <x:c r="R312" s="104" t="str">
        <x:v>quest.objective.completed</x:v>
      </x:c>
      <x:c r="S312" s="104" t="str"/>
    </x:row>
    <x:row r="313" ht="74" customHeight="1">
      <x:c r="A313" s="101" t="str">
        <x:v>M-D1-02</x:v>
      </x:c>
      <x:c r="B313" s="101" t="str">
        <x:v>M-D1-02-S07</x:v>
      </x:c>
      <x:c r="C313" s="109" t="n">
        <x:v>7</x:v>
      </x:c>
      <x:c r="D313" s="101" t="str">
        <x:v>COMPLETE</x:v>
      </x:c>
      <x:c r="E313" s="101" t="str">
        <x:v>TALK_TO_NPC</x:v>
      </x:c>
      <x:c r="F313" s="101" t="str">
        <x:v>OBJECTIVE</x:v>
      </x:c>
      <x:c r="G313" s="101" t="str">
        <x:v>COMPLETE_DIALOGUE</x:v>
      </x:c>
      <x:c r="H313" s="101" t="str">
        <x:v>TEAM</x:v>
      </x:c>
      <x:c r="I313" s="101" t="str">
        <x:v>place_day_1_ponte_sant_angelo</x:v>
      </x:c>
      <x:c r="J313" s="101" t="str">
        <x:v>M-D1-02-COMPLETE</x:v>
      </x:c>
      <x:c r="K313" s="101" t="str">
        <x:v>Abschlussdialog beziehungsweise Eventresultat anzeigen.</x:v>
      </x:c>
      <x:c r="L313" s="101" t="str">
        <x:v>dialogSequenceComplete('M-D1-02-COMPLETE')</x:v>
      </x:c>
      <x:c r="M313" s="101" t="str">
        <x:v>state=REWARD</x:v>
      </x:c>
      <x:c r="N313" s="101" t="str">
        <x:v>Erneut anzeigen.</x:v>
      </x:c>
      <x:c r="O313" s="101" t="str">
        <x:v>REQUIRED</x:v>
      </x:c>
      <x:c r="P313" s="101" t="str">
        <x:v>allRequiredObjectivesComplete</x:v>
      </x:c>
      <x:c r="Q313" s="101" t="str">
        <x:v>DIALOGUE</x:v>
      </x:c>
      <x:c r="R313" s="101" t="str">
        <x:v>quest.completed</x:v>
      </x:c>
      <x:c r="S313" s="101" t="str"/>
    </x:row>
    <x:row r="314" ht="74" customHeight="1">
      <x:c r="A314" s="104" t="str">
        <x:v>M-D1-02</x:v>
      </x:c>
      <x:c r="B314" s="104" t="str">
        <x:v>M-D1-02-S08</x:v>
      </x:c>
      <x:c r="C314" s="110" t="n">
        <x:v>8</x:v>
      </x:c>
      <x:c r="D314" s="104" t="str">
        <x:v>REWARD</x:v>
      </x:c>
      <x:c r="E314" s="104" t="str">
        <x:v>GRANT_REWARD</x:v>
      </x:c>
      <x:c r="F314" s="104" t="str">
        <x:v>SYSTEM_ACTION</x:v>
      </x:c>
      <x:c r="G314" s="104" t="str"/>
      <x:c r="H314" s="104" t="str">
        <x:v>TEAM</x:v>
      </x:c>
      <x:c r="I314" s="104" t="str"/>
      <x:c r="J314" s="104" t="str">
        <x:v>M-D1-02</x:v>
      </x:c>
      <x:c r="K314" s="104" t="str">
        <x:v>Belohnung atomar vergeben; Medien-/Bosswertung gegebenenfalls als PENDING_REVIEW markieren.</x:v>
      </x:c>
      <x:c r="L314" s="104" t="str">
        <x:v>rewardTransactionCommitted || rewardStatus == PENDING_REVIEW</x:v>
      </x:c>
      <x:c r="M314" s="104" t="str">
        <x:v>state=COMPLETED</x:v>
      </x:c>
      <x:c r="N314" s="104" t="str">
        <x:v>Idempotenter Retry.</x:v>
      </x:c>
      <x:c r="O314" s="104" t="str">
        <x:v>REQUIRED</x:v>
      </x:c>
      <x:c r="P314" s="104" t="str">
        <x:v>questComplete</x:v>
      </x:c>
      <x:c r="Q314" s="104" t="str">
        <x:v>REWARD</x:v>
      </x:c>
      <x:c r="R314" s="104" t="str">
        <x:v>quest.reward.granted</x:v>
      </x:c>
      <x:c r="S314" s="104" t="str"/>
    </x:row>
    <x:row r="315" ht="74" customHeight="1">
      <x:c r="A315" s="101" t="str">
        <x:v>M-D1-03</x:v>
      </x:c>
      <x:c r="B315" s="101" t="str">
        <x:v>M-D1-03-S01</x:v>
      </x:c>
      <x:c r="C315" s="109" t="n">
        <x:v>1</x:v>
      </x:c>
      <x:c r="D315" s="101" t="str">
        <x:v>DISCOVER</x:v>
      </x:c>
      <x:c r="E315" s="101" t="str">
        <x:v>DISCOVER_NPC</x:v>
      </x:c>
      <x:c r="F315" s="101" t="str">
        <x:v>FLOW_ACTION</x:v>
      </x:c>
      <x:c r="G315" s="101" t="str"/>
      <x:c r="H315" s="101" t="str">
        <x:v>TEAM</x:v>
      </x:c>
      <x:c r="I315" s="101" t="str">
        <x:v>place_day_1_piazza_navona</x:v>
      </x:c>
      <x:c r="J315" s="101" t="str">
        <x:v>npc_livia_lens</x:v>
      </x:c>
      <x:c r="K315" s="101" t="str">
        <x:v>Sonderquest Drei Brunnen, drei Figuren entdecken.</x:v>
      </x:c>
      <x:c r="L315" s="101" t="str">
        <x:v>npcDiscovered &amp;&amp; interactionGateOpen</x:v>
      </x:c>
      <x:c r="M315" s="101" t="str">
        <x:v>state=DIALOGUE</x:v>
      </x:c>
      <x:c r="N315" s="101" t="str">
        <x:v>Trigger bleibt erneut verfügbar.</x:v>
      </x:c>
      <x:c r="O315" s="101" t="str">
        <x:v>REQUIRED</x:v>
      </x:c>
      <x:c r="P315" s="101" t="str"/>
      <x:c r="Q315" s="101" t="str">
        <x:v>MAP_OBJECT_SHEET</x:v>
      </x:c>
      <x:c r="R315" s="101" t="str">
        <x:v>quest.discovered</x:v>
      </x:c>
      <x:c r="S315" s="101" t="str">
        <x:v>Hidden ohne Slot; Medien/Boss mit separater Kapazität.</x:v>
      </x:c>
    </x:row>
    <x:row r="316" ht="74" customHeight="1">
      <x:c r="A316" s="104" t="str">
        <x:v>M-D1-03</x:v>
      </x:c>
      <x:c r="B316" s="104" t="str">
        <x:v>M-D1-03-S02</x:v>
      </x:c>
      <x:c r="C316" s="110" t="n">
        <x:v>2</x:v>
      </x:c>
      <x:c r="D316" s="104" t="str">
        <x:v>DIALOGUE</x:v>
      </x:c>
      <x:c r="E316" s="104" t="str">
        <x:v>TALK_TO_NPC</x:v>
      </x:c>
      <x:c r="F316" s="104" t="str">
        <x:v>OBJECTIVE</x:v>
      </x:c>
      <x:c r="G316" s="104" t="str">
        <x:v>COMPLETE_DIALOGUE</x:v>
      </x:c>
      <x:c r="H316" s="104" t="str">
        <x:v>TEAM</x:v>
      </x:c>
      <x:c r="I316" s="104" t="str">
        <x:v>place_day_1_piazza_navona</x:v>
      </x:c>
      <x:c r="J316" s="104" t="str">
        <x:v>M-D1-03-OFFER</x:v>
      </x:c>
      <x:c r="K316" s="104" t="str">
        <x:v>Questangebot anzeigen.</x:v>
      </x:c>
      <x:c r="L316" s="104" t="str">
        <x:v>dialogSequenceComplete('M-D1-03-OFFER')</x:v>
      </x:c>
      <x:c r="M316" s="104" t="str">
        <x:v>state=ACCEPT</x:v>
      </x:c>
      <x:c r="N316" s="104" t="str">
        <x:v>Dialog wiederholbar.</x:v>
      </x:c>
      <x:c r="O316" s="104" t="str">
        <x:v>REQUIRED</x:v>
      </x:c>
      <x:c r="P316" s="104" t="str"/>
      <x:c r="Q316" s="104" t="str">
        <x:v>DIALOGUE</x:v>
      </x:c>
      <x:c r="R316" s="104" t="str">
        <x:v>quest.dialogue.offer</x:v>
      </x:c>
      <x:c r="S316" s="104" t="str"/>
    </x:row>
    <x:row r="317" ht="74" customHeight="1">
      <x:c r="A317" s="101" t="str">
        <x:v>M-D1-03</x:v>
      </x:c>
      <x:c r="B317" s="101" t="str">
        <x:v>M-D1-03-S03</x:v>
      </x:c>
      <x:c r="C317" s="109" t="n">
        <x:v>3</x:v>
      </x:c>
      <x:c r="D317" s="101" t="str">
        <x:v>ACCEPT</x:v>
      </x:c>
      <x:c r="E317" s="101" t="str">
        <x:v>ACCEPT_QUEST</x:v>
      </x:c>
      <x:c r="F317" s="101" t="str">
        <x:v>FLOW_ACTION</x:v>
      </x:c>
      <x:c r="G317" s="101" t="str"/>
      <x:c r="H317" s="101" t="str">
        <x:v>TEAM</x:v>
      </x:c>
      <x:c r="I317" s="101" t="str">
        <x:v>place_day_1_piazza_navona</x:v>
      </x:c>
      <x:c r="J317" s="101" t="str">
        <x:v>M-D1-03</x:v>
      </x:c>
      <x:c r="K317" s="101" t="str">
        <x:v>Sonderquest annehmen beziehungsweise Bossbeitritt bestätigen.</x:v>
      </x:c>
      <x:c r="L317" s="101" t="str">
        <x:v>teamVoteResolved</x:v>
      </x:c>
      <x:c r="M317" s="101" t="str">
        <x:v>state=OBJECTIVE</x:v>
      </x:c>
      <x:c r="N317" s="101" t="str">
        <x:v>Keine reguläre Slotwirkung.</x:v>
      </x:c>
      <x:c r="O317" s="101" t="str">
        <x:v>REQUIRED</x:v>
      </x:c>
      <x:c r="P317" s="101" t="str"/>
      <x:c r="Q317" s="101" t="str">
        <x:v>QUEST_ACCEPT</x:v>
      </x:c>
      <x:c r="R317" s="101" t="str">
        <x:v>quest.accepted</x:v>
      </x:c>
      <x:c r="S317" s="101" t="str">
        <x:v>Hidden Quests zählen nicht zum regulären Limit.</x:v>
      </x:c>
    </x:row>
    <x:row r="318" ht="74" customHeight="1">
      <x:c r="A318" s="104" t="str">
        <x:v>M-D1-03</x:v>
      </x:c>
      <x:c r="B318" s="104" t="str">
        <x:v>M-D1-03-S04</x:v>
      </x:c>
      <x:c r="C318" s="110" t="n">
        <x:v>4</x:v>
      </x:c>
      <x:c r="D318" s="104" t="str">
        <x:v>OBJECTIVE</x:v>
      </x:c>
      <x:c r="E318" s="104" t="str">
        <x:v>VISIT_MULTIPLE_LOCATIONS</x:v>
      </x:c>
      <x:c r="F318" s="104" t="str">
        <x:v>OBJECTIVE</x:v>
      </x:c>
      <x:c r="G318" s="104" t="str">
        <x:v>REACH_LOCATION</x:v>
      </x:c>
      <x:c r="H318" s="104" t="str">
        <x:v>TEAM</x:v>
      </x:c>
      <x:c r="I318" s="104" t="str">
        <x:v>place_day_1_piazza_navona</x:v>
      </x:c>
      <x:c r="J318" s="104" t="str">
        <x:v>M-D1-03</x:v>
      </x:c>
      <x:c r="K318" s="104" t="str">
        <x:v>Piazza Navona, Neptunsbrunnen und Mohrenbrunnen besuchen.</x:v>
      </x:c>
      <x:c r="L318" s="104" t="str">
        <x:v>visitedLocationIds == 3</x:v>
      </x:c>
      <x:c r="M318" s="104" t="str">
        <x:v>objectiveComplete=true</x:v>
      </x:c>
      <x:c r="N318" s="104" t="str">
        <x:v>Fehlende Station bleibt offen.</x:v>
      </x:c>
      <x:c r="O318" s="104" t="str">
        <x:v>REQUIRED</x:v>
      </x:c>
      <x:c r="P318" s="104" t="str">
        <x:v>previousStepComplete</x:v>
      </x:c>
      <x:c r="Q318" s="104" t="str">
        <x:v>QUEST_OBJECTIVE</x:v>
      </x:c>
      <x:c r="R318" s="104" t="str">
        <x:v>quest.objective.completed</x:v>
      </x:c>
      <x:c r="S318" s="104" t="str"/>
    </x:row>
    <x:row r="319" ht="74" customHeight="1">
      <x:c r="A319" s="101" t="str">
        <x:v>M-D1-03</x:v>
      </x:c>
      <x:c r="B319" s="101" t="str">
        <x:v>M-D1-03-S05</x:v>
      </x:c>
      <x:c r="C319" s="109" t="n">
        <x:v>5</x:v>
      </x:c>
      <x:c r="D319" s="101" t="str">
        <x:v>OBJECTIVE</x:v>
      </x:c>
      <x:c r="E319" s="101" t="str">
        <x:v>TAKE_PHOTO</x:v>
      </x:c>
      <x:c r="F319" s="101" t="str">
        <x:v>OBJECTIVE</x:v>
      </x:c>
      <x:c r="G319" s="101" t="str">
        <x:v>SUBMIT_MEDIA</x:v>
      </x:c>
      <x:c r="H319" s="101" t="str">
        <x:v>TEAM</x:v>
      </x:c>
      <x:c r="I319" s="101" t="str">
        <x:v>place_day_1_piazza_navona</x:v>
      </x:c>
      <x:c r="J319" s="101" t="str">
        <x:v>M-D1-03</x:v>
      </x:c>
      <x:c r="K319" s="101" t="str">
        <x:v>Je Station eine andere große Figurenpose nachstellen.</x:v>
      </x:c>
      <x:c r="L319" s="101" t="str">
        <x:v>photoCount == 3 &amp;&amp; uniqueStationIds == 3</x:v>
      </x:c>
      <x:c r="M319" s="101" t="str">
        <x:v>objectiveComplete=true</x:v>
      </x:c>
      <x:c r="N319" s="101" t="str">
        <x:v>Betroffenes Bild neu aufnehmen.</x:v>
      </x:c>
      <x:c r="O319" s="101" t="str">
        <x:v>REQUIRED</x:v>
      </x:c>
      <x:c r="P319" s="101" t="str">
        <x:v>previousStepComplete</x:v>
      </x:c>
      <x:c r="Q319" s="101" t="str">
        <x:v>MEDIA_CAPTURE</x:v>
      </x:c>
      <x:c r="R319" s="101" t="str">
        <x:v>quest.objective.completed</x:v>
      </x:c>
      <x:c r="S319" s="101" t="str"/>
    </x:row>
    <x:row r="320" ht="74" customHeight="1">
      <x:c r="A320" s="104" t="str">
        <x:v>M-D1-03</x:v>
      </x:c>
      <x:c r="B320" s="104" t="str">
        <x:v>M-D1-03-S06</x:v>
      </x:c>
      <x:c r="C320" s="110" t="n">
        <x:v>6</x:v>
      </x:c>
      <x:c r="D320" s="104" t="str">
        <x:v>OBJECTIVE</x:v>
      </x:c>
      <x:c r="E320" s="104" t="str">
        <x:v>UPLOAD_MEDIA</x:v>
      </x:c>
      <x:c r="F320" s="104" t="str">
        <x:v>OBJECTIVE</x:v>
      </x:c>
      <x:c r="G320" s="104" t="str">
        <x:v>SUBMIT_MEDIA</x:v>
      </x:c>
      <x:c r="H320" s="104" t="str">
        <x:v>TEAM</x:v>
      </x:c>
      <x:c r="I320" s="104" t="str">
        <x:v>place_day_1_piazza_navona</x:v>
      </x:c>
      <x:c r="J320" s="104" t="str">
        <x:v>M-D1-03</x:v>
      </x:c>
      <x:c r="K320" s="104" t="str">
        <x:v>Jedes Bild im 15-m-Radius seiner Station hochladen.</x:v>
      </x:c>
      <x:c r="L320" s="104" t="str">
        <x:v>allUploads.locationVerified</x:v>
      </x:c>
      <x:c r="M320" s="104" t="str">
        <x:v>objectiveComplete=true</x:v>
      </x:c>
      <x:c r="N320" s="104" t="str">
        <x:v>Nur nicht verifizierte Uploads wiederholen.</x:v>
      </x:c>
      <x:c r="O320" s="104" t="str">
        <x:v>REQUIRED</x:v>
      </x:c>
      <x:c r="P320" s="104" t="str">
        <x:v>previousStepComplete</x:v>
      </x:c>
      <x:c r="Q320" s="104" t="str">
        <x:v>MEDIA_CAPTURE</x:v>
      </x:c>
      <x:c r="R320" s="104" t="str">
        <x:v>quest.objective.completed</x:v>
      </x:c>
      <x:c r="S320" s="104" t="str"/>
    </x:row>
    <x:row r="321" ht="74" customHeight="1">
      <x:c r="A321" s="101" t="str">
        <x:v>M-D1-03</x:v>
      </x:c>
      <x:c r="B321" s="101" t="str">
        <x:v>M-D1-03-S07</x:v>
      </x:c>
      <x:c r="C321" s="109" t="n">
        <x:v>7</x:v>
      </x:c>
      <x:c r="D321" s="101" t="str">
        <x:v>COMPLETE</x:v>
      </x:c>
      <x:c r="E321" s="101" t="str">
        <x:v>TALK_TO_NPC</x:v>
      </x:c>
      <x:c r="F321" s="101" t="str">
        <x:v>OBJECTIVE</x:v>
      </x:c>
      <x:c r="G321" s="101" t="str">
        <x:v>COMPLETE_DIALOGUE</x:v>
      </x:c>
      <x:c r="H321" s="101" t="str">
        <x:v>TEAM</x:v>
      </x:c>
      <x:c r="I321" s="101" t="str">
        <x:v>place_day_1_piazza_navona</x:v>
      </x:c>
      <x:c r="J321" s="101" t="str">
        <x:v>M-D1-03-COMPLETE</x:v>
      </x:c>
      <x:c r="K321" s="101" t="str">
        <x:v>Abschlussdialog beziehungsweise Eventresultat anzeigen.</x:v>
      </x:c>
      <x:c r="L321" s="101" t="str">
        <x:v>dialogSequenceComplete('M-D1-03-COMPLETE')</x:v>
      </x:c>
      <x:c r="M321" s="101" t="str">
        <x:v>state=REWARD</x:v>
      </x:c>
      <x:c r="N321" s="101" t="str">
        <x:v>Erneut anzeigen.</x:v>
      </x:c>
      <x:c r="O321" s="101" t="str">
        <x:v>REQUIRED</x:v>
      </x:c>
      <x:c r="P321" s="101" t="str">
        <x:v>allRequiredObjectivesComplete</x:v>
      </x:c>
      <x:c r="Q321" s="101" t="str">
        <x:v>DIALOGUE</x:v>
      </x:c>
      <x:c r="R321" s="101" t="str">
        <x:v>quest.completed</x:v>
      </x:c>
      <x:c r="S321" s="101" t="str"/>
    </x:row>
    <x:row r="322" ht="74" customHeight="1">
      <x:c r="A322" s="104" t="str">
        <x:v>M-D1-03</x:v>
      </x:c>
      <x:c r="B322" s="104" t="str">
        <x:v>M-D1-03-S08</x:v>
      </x:c>
      <x:c r="C322" s="110" t="n">
        <x:v>8</x:v>
      </x:c>
      <x:c r="D322" s="104" t="str">
        <x:v>REWARD</x:v>
      </x:c>
      <x:c r="E322" s="104" t="str">
        <x:v>GRANT_REWARD</x:v>
      </x:c>
      <x:c r="F322" s="104" t="str">
        <x:v>SYSTEM_ACTION</x:v>
      </x:c>
      <x:c r="G322" s="104" t="str"/>
      <x:c r="H322" s="104" t="str">
        <x:v>TEAM</x:v>
      </x:c>
      <x:c r="I322" s="104" t="str"/>
      <x:c r="J322" s="104" t="str">
        <x:v>M-D1-03</x:v>
      </x:c>
      <x:c r="K322" s="104" t="str">
        <x:v>Belohnung atomar vergeben; Medien-/Bosswertung gegebenenfalls als PENDING_REVIEW markieren.</x:v>
      </x:c>
      <x:c r="L322" s="104" t="str">
        <x:v>rewardTransactionCommitted || rewardStatus == PENDING_REVIEW</x:v>
      </x:c>
      <x:c r="M322" s="104" t="str">
        <x:v>state=COMPLETED</x:v>
      </x:c>
      <x:c r="N322" s="104" t="str">
        <x:v>Idempotenter Retry.</x:v>
      </x:c>
      <x:c r="O322" s="104" t="str">
        <x:v>REQUIRED</x:v>
      </x:c>
      <x:c r="P322" s="104" t="str">
        <x:v>questComplete</x:v>
      </x:c>
      <x:c r="Q322" s="104" t="str">
        <x:v>REWARD</x:v>
      </x:c>
      <x:c r="R322" s="104" t="str">
        <x:v>quest.reward.granted</x:v>
      </x:c>
      <x:c r="S322" s="104" t="str"/>
    </x:row>
    <x:row r="323" ht="74" customHeight="1">
      <x:c r="A323" s="101" t="str">
        <x:v>M-LT-01</x:v>
      </x:c>
      <x:c r="B323" s="101" t="str">
        <x:v>M-LT-01-S01</x:v>
      </x:c>
      <x:c r="C323" s="109" t="n">
        <x:v>1</x:v>
      </x:c>
      <x:c r="D323" s="101" t="str">
        <x:v>DISCOVER</x:v>
      </x:c>
      <x:c r="E323" s="101" t="str">
        <x:v>DISCOVER_NPC</x:v>
      </x:c>
      <x:c r="F323" s="101" t="str">
        <x:v>FLOW_ACTION</x:v>
      </x:c>
      <x:c r="G323" s="101" t="str"/>
      <x:c r="H323" s="101" t="str">
        <x:v>TEAM</x:v>
      </x:c>
      <x:c r="I323" s="101" t="str">
        <x:v>place_day_1_teatro_di_marcello</x:v>
      </x:c>
      <x:c r="J323" s="101" t="str">
        <x:v>npc_livia_lens</x:v>
      </x:c>
      <x:c r="K323" s="101" t="str">
        <x:v>Sonderquest Roma in zwölf Bildern entdecken.</x:v>
      </x:c>
      <x:c r="L323" s="101" t="str">
        <x:v>npcDiscovered &amp;&amp; interactionGateOpen</x:v>
      </x:c>
      <x:c r="M323" s="101" t="str">
        <x:v>state=DIALOGUE</x:v>
      </x:c>
      <x:c r="N323" s="101" t="str">
        <x:v>Trigger bleibt erneut verfügbar.</x:v>
      </x:c>
      <x:c r="O323" s="101" t="str">
        <x:v>REQUIRED</x:v>
      </x:c>
      <x:c r="P323" s="101" t="str"/>
      <x:c r="Q323" s="101" t="str">
        <x:v>MAP_OBJECT_SHEET</x:v>
      </x:c>
      <x:c r="R323" s="101" t="str">
        <x:v>quest.discovered</x:v>
      </x:c>
      <x:c r="S323" s="101" t="str">
        <x:v>Hidden ohne Slot; Medien/Boss mit separater Kapazität.</x:v>
      </x:c>
    </x:row>
    <x:row r="324" ht="74" customHeight="1">
      <x:c r="A324" s="104" t="str">
        <x:v>M-LT-01</x:v>
      </x:c>
      <x:c r="B324" s="104" t="str">
        <x:v>M-LT-01-S02</x:v>
      </x:c>
      <x:c r="C324" s="110" t="n">
        <x:v>2</x:v>
      </x:c>
      <x:c r="D324" s="104" t="str">
        <x:v>DIALOGUE</x:v>
      </x:c>
      <x:c r="E324" s="104" t="str">
        <x:v>TALK_TO_NPC</x:v>
      </x:c>
      <x:c r="F324" s="104" t="str">
        <x:v>OBJECTIVE</x:v>
      </x:c>
      <x:c r="G324" s="104" t="str">
        <x:v>COMPLETE_DIALOGUE</x:v>
      </x:c>
      <x:c r="H324" s="104" t="str">
        <x:v>TEAM</x:v>
      </x:c>
      <x:c r="I324" s="104" t="str">
        <x:v>place_day_1_teatro_di_marcello</x:v>
      </x:c>
      <x:c r="J324" s="104" t="str">
        <x:v>M-LT-01-OFFER</x:v>
      </x:c>
      <x:c r="K324" s="104" t="str">
        <x:v>Questangebot anzeigen.</x:v>
      </x:c>
      <x:c r="L324" s="104" t="str">
        <x:v>dialogSequenceComplete('M-LT-01-OFFER')</x:v>
      </x:c>
      <x:c r="M324" s="104" t="str">
        <x:v>state=ACCEPT</x:v>
      </x:c>
      <x:c r="N324" s="104" t="str">
        <x:v>Dialog wiederholbar.</x:v>
      </x:c>
      <x:c r="O324" s="104" t="str">
        <x:v>REQUIRED</x:v>
      </x:c>
      <x:c r="P324" s="104" t="str"/>
      <x:c r="Q324" s="104" t="str">
        <x:v>DIALOGUE</x:v>
      </x:c>
      <x:c r="R324" s="104" t="str">
        <x:v>quest.dialogue.offer</x:v>
      </x:c>
      <x:c r="S324" s="104" t="str"/>
    </x:row>
    <x:row r="325" ht="74" customHeight="1">
      <x:c r="A325" s="101" t="str">
        <x:v>M-LT-01</x:v>
      </x:c>
      <x:c r="B325" s="101" t="str">
        <x:v>M-LT-01-S03</x:v>
      </x:c>
      <x:c r="C325" s="109" t="n">
        <x:v>3</x:v>
      </x:c>
      <x:c r="D325" s="101" t="str">
        <x:v>ACCEPT</x:v>
      </x:c>
      <x:c r="E325" s="101" t="str">
        <x:v>ACCEPT_QUEST</x:v>
      </x:c>
      <x:c r="F325" s="101" t="str">
        <x:v>FLOW_ACTION</x:v>
      </x:c>
      <x:c r="G325" s="101" t="str"/>
      <x:c r="H325" s="101" t="str">
        <x:v>TEAM</x:v>
      </x:c>
      <x:c r="I325" s="101" t="str">
        <x:v>place_day_1_teatro_di_marcello</x:v>
      </x:c>
      <x:c r="J325" s="101" t="str">
        <x:v>M-LT-01</x:v>
      </x:c>
      <x:c r="K325" s="101" t="str">
        <x:v>Sonderquest annehmen beziehungsweise Bossbeitritt bestätigen.</x:v>
      </x:c>
      <x:c r="L325" s="101" t="str">
        <x:v>teamVoteResolved</x:v>
      </x:c>
      <x:c r="M325" s="101" t="str">
        <x:v>state=OBJECTIVE</x:v>
      </x:c>
      <x:c r="N325" s="101" t="str">
        <x:v>Keine reguläre Slotwirkung.</x:v>
      </x:c>
      <x:c r="O325" s="101" t="str">
        <x:v>REQUIRED</x:v>
      </x:c>
      <x:c r="P325" s="101" t="str"/>
      <x:c r="Q325" s="101" t="str">
        <x:v>QUEST_ACCEPT</x:v>
      </x:c>
      <x:c r="R325" s="101" t="str">
        <x:v>quest.accepted</x:v>
      </x:c>
      <x:c r="S325" s="101" t="str">
        <x:v>Hidden Quests zählen nicht zum regulären Limit.</x:v>
      </x:c>
    </x:row>
    <x:row r="326" ht="74" customHeight="1">
      <x:c r="A326" s="104" t="str">
        <x:v>M-LT-01</x:v>
      </x:c>
      <x:c r="B326" s="104" t="str">
        <x:v>M-LT-01-S04</x:v>
      </x:c>
      <x:c r="C326" s="110" t="n">
        <x:v>4</x:v>
      </x:c>
      <x:c r="D326" s="104" t="str">
        <x:v>OBJECTIVE</x:v>
      </x:c>
      <x:c r="E326" s="104" t="str">
        <x:v>REACH_LOCATION</x:v>
      </x:c>
      <x:c r="F326" s="104" t="str">
        <x:v>OBJECTIVE</x:v>
      </x:c>
      <x:c r="G326" s="104" t="str">
        <x:v>REACH_LOCATION</x:v>
      </x:c>
      <x:c r="H326" s="104" t="str">
        <x:v>TEAM</x:v>
      </x:c>
      <x:c r="I326" s="104" t="str">
        <x:v>place_day_1_teatro_di_marcello</x:v>
      </x:c>
      <x:c r="J326" s="104" t="str">
        <x:v>M-LT-01</x:v>
      </x:c>
      <x:c r="K326" s="104" t="str">
        <x:v>Chronik am öffentlichen Außenpunkt des Marcellustheaters aufnehmen.</x:v>
      </x:c>
      <x:c r="L326" s="104" t="str">
        <x:v>teamMembersInRadius &gt;= 2</x:v>
      </x:c>
      <x:c r="M326" s="104" t="str">
        <x:v>objectiveComplete=true</x:v>
      </x:c>
      <x:c r="N326" s="104" t="str">
        <x:v>Pickup später erneut möglich.</x:v>
      </x:c>
      <x:c r="O326" s="104" t="str">
        <x:v>REQUIRED</x:v>
      </x:c>
      <x:c r="P326" s="104" t="str">
        <x:v>previousStepComplete</x:v>
      </x:c>
      <x:c r="Q326" s="104" t="str">
        <x:v>QUEST_OBJECTIVE</x:v>
      </x:c>
      <x:c r="R326" s="104" t="str">
        <x:v>quest.objective.completed</x:v>
      </x:c>
      <x:c r="S326" s="104" t="str"/>
    </x:row>
    <x:row r="327" ht="74" customHeight="1">
      <x:c r="A327" s="101" t="str">
        <x:v>M-LT-01</x:v>
      </x:c>
      <x:c r="B327" s="101" t="str">
        <x:v>M-LT-01-S05</x:v>
      </x:c>
      <x:c r="C327" s="109" t="n">
        <x:v>5</x:v>
      </x:c>
      <x:c r="D327" s="101" t="str">
        <x:v>OBJECTIVE</x:v>
      </x:c>
      <x:c r="E327" s="101" t="str">
        <x:v>COLLECT_MEDIA</x:v>
      </x:c>
      <x:c r="F327" s="101" t="str">
        <x:v>OBJECTIVE</x:v>
      </x:c>
      <x:c r="G327" s="101" t="str">
        <x:v>SUBMIT_MEDIA</x:v>
      </x:c>
      <x:c r="H327" s="101" t="str">
        <x:v>TEAM</x:v>
      </x:c>
      <x:c r="I327" s="101" t="str">
        <x:v>place_day_1_teatro_di_marcello</x:v>
      </x:c>
      <x:c r="J327" s="101" t="str">
        <x:v>M-LT-01</x:v>
      </x:c>
      <x:c r="K327" s="101" t="str">
        <x:v>Über beide Tage 6–12 Fotos sammeln; jede vorhandene Klasse übernimmt mindestens eine erkennbare Handlung.</x:v>
      </x:c>
      <x:c r="L327" s="101" t="str">
        <x:v>photoCount &gt;= 6 &amp;&amp; photoCount &lt;= 12 &amp;&amp; representedClasses == teamClasses</x:v>
      </x:c>
      <x:c r="M327" s="101" t="str">
        <x:v>objectiveComplete=true</x:v>
      </x:c>
      <x:c r="N327" s="101" t="str">
        <x:v>Bis Abgabeschluss bearbeitbar.</x:v>
      </x:c>
      <x:c r="O327" s="101" t="str">
        <x:v>REQUIRED</x:v>
      </x:c>
      <x:c r="P327" s="101" t="str">
        <x:v>previousStepComplete</x:v>
      </x:c>
      <x:c r="Q327" s="101" t="str">
        <x:v>MEDIA_CAPTURE</x:v>
      </x:c>
      <x:c r="R327" s="101" t="str">
        <x:v>quest.objective.completed</x:v>
      </x:c>
      <x:c r="S327" s="101" t="str"/>
    </x:row>
    <x:row r="328" ht="74" customHeight="1">
      <x:c r="A328" s="104" t="str">
        <x:v>M-LT-01</x:v>
      </x:c>
      <x:c r="B328" s="104" t="str">
        <x:v>M-LT-01-S06</x:v>
      </x:c>
      <x:c r="C328" s="110" t="n">
        <x:v>6</x:v>
      </x:c>
      <x:c r="D328" s="104" t="str">
        <x:v>OBJECTIVE</x:v>
      </x:c>
      <x:c r="E328" s="104" t="str">
        <x:v>SUBMIT_FOR_REVIEW</x:v>
      </x:c>
      <x:c r="F328" s="104" t="str">
        <x:v>OBJECTIVE</x:v>
      </x:c>
      <x:c r="G328" s="104" t="str">
        <x:v>SUBMIT_MEDIA</x:v>
      </x:c>
      <x:c r="H328" s="104" t="str">
        <x:v>TEAM</x:v>
      </x:c>
      <x:c r="I328" s="104" t="str">
        <x:v>place_day_1_teatro_di_marcello</x:v>
      </x:c>
      <x:c r="J328" s="104" t="str">
        <x:v>M-LT-01</x:v>
      </x:c>
      <x:c r="K328" s="104" t="str">
        <x:v>Bilderfolge mit festgelegter Reihenfolge zur GM-Prüfung einreichen.</x:v>
      </x:c>
      <x:c r="L328" s="104" t="str">
        <x:v>gmReview.status == APPROVED</x:v>
      </x:c>
      <x:c r="M328" s="104" t="str">
        <x:v>objectiveComplete=true</x:v>
      </x:c>
      <x:c r="N328" s="104" t="str">
        <x:v>Einmalige Revision vor Frist möglich.</x:v>
      </x:c>
      <x:c r="O328" s="104" t="str">
        <x:v>REQUIRED</x:v>
      </x:c>
      <x:c r="P328" s="104" t="str">
        <x:v>previousStepComplete</x:v>
      </x:c>
      <x:c r="Q328" s="104" t="str">
        <x:v>QUEST_OBJECTIVE</x:v>
      </x:c>
      <x:c r="R328" s="104" t="str">
        <x:v>quest.objective.completed</x:v>
      </x:c>
      <x:c r="S328" s="104" t="str"/>
    </x:row>
    <x:row r="329" ht="74" customHeight="1">
      <x:c r="A329" s="101" t="str">
        <x:v>M-LT-01</x:v>
      </x:c>
      <x:c r="B329" s="101" t="str">
        <x:v>M-LT-01-S07</x:v>
      </x:c>
      <x:c r="C329" s="109" t="n">
        <x:v>7</x:v>
      </x:c>
      <x:c r="D329" s="101" t="str">
        <x:v>COMPLETE</x:v>
      </x:c>
      <x:c r="E329" s="101" t="str">
        <x:v>TALK_TO_NPC</x:v>
      </x:c>
      <x:c r="F329" s="101" t="str">
        <x:v>OBJECTIVE</x:v>
      </x:c>
      <x:c r="G329" s="101" t="str">
        <x:v>COMPLETE_DIALOGUE</x:v>
      </x:c>
      <x:c r="H329" s="101" t="str">
        <x:v>TEAM</x:v>
      </x:c>
      <x:c r="I329" s="101" t="str">
        <x:v>place_day_1_teatro_di_marcello</x:v>
      </x:c>
      <x:c r="J329" s="101" t="str">
        <x:v>M-LT-01-COMPLETE</x:v>
      </x:c>
      <x:c r="K329" s="101" t="str">
        <x:v>Abschlussdialog beziehungsweise Eventresultat anzeigen.</x:v>
      </x:c>
      <x:c r="L329" s="101" t="str">
        <x:v>dialogSequenceComplete('M-LT-01-COMPLETE')</x:v>
      </x:c>
      <x:c r="M329" s="101" t="str">
        <x:v>state=REWARD</x:v>
      </x:c>
      <x:c r="N329" s="101" t="str">
        <x:v>Erneut anzeigen.</x:v>
      </x:c>
      <x:c r="O329" s="101" t="str">
        <x:v>REQUIRED</x:v>
      </x:c>
      <x:c r="P329" s="101" t="str">
        <x:v>allRequiredObjectivesComplete</x:v>
      </x:c>
      <x:c r="Q329" s="101" t="str">
        <x:v>DIALOGUE</x:v>
      </x:c>
      <x:c r="R329" s="101" t="str">
        <x:v>quest.completed</x:v>
      </x:c>
      <x:c r="S329" s="101" t="str"/>
    </x:row>
    <x:row r="330" ht="74" customHeight="1">
      <x:c r="A330" s="104" t="str">
        <x:v>M-LT-01</x:v>
      </x:c>
      <x:c r="B330" s="104" t="str">
        <x:v>M-LT-01-S08</x:v>
      </x:c>
      <x:c r="C330" s="110" t="n">
        <x:v>8</x:v>
      </x:c>
      <x:c r="D330" s="104" t="str">
        <x:v>REWARD</x:v>
      </x:c>
      <x:c r="E330" s="104" t="str">
        <x:v>GRANT_REWARD</x:v>
      </x:c>
      <x:c r="F330" s="104" t="str">
        <x:v>SYSTEM_ACTION</x:v>
      </x:c>
      <x:c r="G330" s="104" t="str"/>
      <x:c r="H330" s="104" t="str">
        <x:v>TEAM</x:v>
      </x:c>
      <x:c r="I330" s="104" t="str"/>
      <x:c r="J330" s="104" t="str">
        <x:v>M-LT-01</x:v>
      </x:c>
      <x:c r="K330" s="104" t="str">
        <x:v>Belohnung atomar vergeben; Medien-/Bosswertung gegebenenfalls als PENDING_REVIEW markieren.</x:v>
      </x:c>
      <x:c r="L330" s="104" t="str">
        <x:v>rewardTransactionCommitted || rewardStatus == PENDING_REVIEW</x:v>
      </x:c>
      <x:c r="M330" s="104" t="str">
        <x:v>state=COMPLETED</x:v>
      </x:c>
      <x:c r="N330" s="104" t="str">
        <x:v>Idempotenter Retry.</x:v>
      </x:c>
      <x:c r="O330" s="104" t="str">
        <x:v>REQUIRED</x:v>
      </x:c>
      <x:c r="P330" s="104" t="str">
        <x:v>questComplete</x:v>
      </x:c>
      <x:c r="Q330" s="104" t="str">
        <x:v>REWARD</x:v>
      </x:c>
      <x:c r="R330" s="104" t="str">
        <x:v>quest.reward.granted</x:v>
      </x:c>
      <x:c r="S330" s="104" t="str"/>
    </x:row>
    <x:row r="331" ht="74" customHeight="1">
      <x:c r="A331" s="101" t="str">
        <x:v>M-D2-01</x:v>
      </x:c>
      <x:c r="B331" s="101" t="str">
        <x:v>M-D2-01-S01</x:v>
      </x:c>
      <x:c r="C331" s="109" t="n">
        <x:v>1</x:v>
      </x:c>
      <x:c r="D331" s="101" t="str">
        <x:v>DISCOVER</x:v>
      </x:c>
      <x:c r="E331" s="101" t="str">
        <x:v>DISCOVER_NPC</x:v>
      </x:c>
      <x:c r="F331" s="101" t="str">
        <x:v>FLOW_ACTION</x:v>
      </x:c>
      <x:c r="G331" s="101" t="str"/>
      <x:c r="H331" s="101" t="str">
        <x:v>TEAM</x:v>
      </x:c>
      <x:c r="I331" s="101" t="str">
        <x:v>place_day_2_circo_massimo</x:v>
      </x:c>
      <x:c r="J331" s="101" t="str">
        <x:v>npc_auriga_quinta</x:v>
      </x:c>
      <x:c r="K331" s="101" t="str">
        <x:v>Sonderquest Streitwagenrennen entdecken.</x:v>
      </x:c>
      <x:c r="L331" s="101" t="str">
        <x:v>npcDiscovered &amp;&amp; interactionGateOpen</x:v>
      </x:c>
      <x:c r="M331" s="101" t="str">
        <x:v>state=DIALOGUE</x:v>
      </x:c>
      <x:c r="N331" s="101" t="str">
        <x:v>Trigger bleibt erneut verfügbar.</x:v>
      </x:c>
      <x:c r="O331" s="101" t="str">
        <x:v>REQUIRED</x:v>
      </x:c>
      <x:c r="P331" s="101" t="str"/>
      <x:c r="Q331" s="101" t="str">
        <x:v>MAP_OBJECT_SHEET</x:v>
      </x:c>
      <x:c r="R331" s="101" t="str">
        <x:v>quest.discovered</x:v>
      </x:c>
      <x:c r="S331" s="101" t="str">
        <x:v>Hidden ohne Slot; Medien/Boss mit separater Kapazität.</x:v>
      </x:c>
    </x:row>
    <x:row r="332" ht="74" customHeight="1">
      <x:c r="A332" s="104" t="str">
        <x:v>M-D2-01</x:v>
      </x:c>
      <x:c r="B332" s="104" t="str">
        <x:v>M-D2-01-S02</x:v>
      </x:c>
      <x:c r="C332" s="110" t="n">
        <x:v>2</x:v>
      </x:c>
      <x:c r="D332" s="104" t="str">
        <x:v>DIALOGUE</x:v>
      </x:c>
      <x:c r="E332" s="104" t="str">
        <x:v>TALK_TO_NPC</x:v>
      </x:c>
      <x:c r="F332" s="104" t="str">
        <x:v>OBJECTIVE</x:v>
      </x:c>
      <x:c r="G332" s="104" t="str">
        <x:v>COMPLETE_DIALOGUE</x:v>
      </x:c>
      <x:c r="H332" s="104" t="str">
        <x:v>TEAM</x:v>
      </x:c>
      <x:c r="I332" s="104" t="str">
        <x:v>place_day_2_circo_massimo</x:v>
      </x:c>
      <x:c r="J332" s="104" t="str">
        <x:v>M-D2-01-OFFER</x:v>
      </x:c>
      <x:c r="K332" s="104" t="str">
        <x:v>Questangebot anzeigen.</x:v>
      </x:c>
      <x:c r="L332" s="104" t="str">
        <x:v>dialogSequenceComplete('M-D2-01-OFFER')</x:v>
      </x:c>
      <x:c r="M332" s="104" t="str">
        <x:v>state=ACCEPT</x:v>
      </x:c>
      <x:c r="N332" s="104" t="str">
        <x:v>Dialog wiederholbar.</x:v>
      </x:c>
      <x:c r="O332" s="104" t="str">
        <x:v>REQUIRED</x:v>
      </x:c>
      <x:c r="P332" s="104" t="str"/>
      <x:c r="Q332" s="104" t="str">
        <x:v>DIALOGUE</x:v>
      </x:c>
      <x:c r="R332" s="104" t="str">
        <x:v>quest.dialogue.offer</x:v>
      </x:c>
      <x:c r="S332" s="104" t="str"/>
    </x:row>
    <x:row r="333" ht="74" customHeight="1">
      <x:c r="A333" s="101" t="str">
        <x:v>M-D2-01</x:v>
      </x:c>
      <x:c r="B333" s="101" t="str">
        <x:v>M-D2-01-S03</x:v>
      </x:c>
      <x:c r="C333" s="109" t="n">
        <x:v>3</x:v>
      </x:c>
      <x:c r="D333" s="101" t="str">
        <x:v>ACCEPT</x:v>
      </x:c>
      <x:c r="E333" s="101" t="str">
        <x:v>ACCEPT_QUEST</x:v>
      </x:c>
      <x:c r="F333" s="101" t="str">
        <x:v>FLOW_ACTION</x:v>
      </x:c>
      <x:c r="G333" s="101" t="str"/>
      <x:c r="H333" s="101" t="str">
        <x:v>TEAM</x:v>
      </x:c>
      <x:c r="I333" s="101" t="str">
        <x:v>place_day_2_circo_massimo</x:v>
      </x:c>
      <x:c r="J333" s="101" t="str">
        <x:v>M-D2-01</x:v>
      </x:c>
      <x:c r="K333" s="101" t="str">
        <x:v>Sonderquest annehmen beziehungsweise Bossbeitritt bestätigen.</x:v>
      </x:c>
      <x:c r="L333" s="101" t="str">
        <x:v>teamVoteResolved</x:v>
      </x:c>
      <x:c r="M333" s="101" t="str">
        <x:v>state=OBJECTIVE</x:v>
      </x:c>
      <x:c r="N333" s="101" t="str">
        <x:v>Keine reguläre Slotwirkung.</x:v>
      </x:c>
      <x:c r="O333" s="101" t="str">
        <x:v>REQUIRED</x:v>
      </x:c>
      <x:c r="P333" s="101" t="str"/>
      <x:c r="Q333" s="101" t="str">
        <x:v>QUEST_ACCEPT</x:v>
      </x:c>
      <x:c r="R333" s="101" t="str">
        <x:v>quest.accepted</x:v>
      </x:c>
      <x:c r="S333" s="101" t="str">
        <x:v>Hidden Quests zählen nicht zum regulären Limit.</x:v>
      </x:c>
    </x:row>
    <x:row r="334" ht="74" customHeight="1">
      <x:c r="A334" s="104" t="str">
        <x:v>M-D2-01</x:v>
      </x:c>
      <x:c r="B334" s="104" t="str">
        <x:v>M-D2-01-S04</x:v>
      </x:c>
      <x:c r="C334" s="110" t="n">
        <x:v>4</x:v>
      </x:c>
      <x:c r="D334" s="104" t="str">
        <x:v>OBJECTIVE</x:v>
      </x:c>
      <x:c r="E334" s="104" t="str">
        <x:v>REACH_LOCATION</x:v>
      </x:c>
      <x:c r="F334" s="104" t="str">
        <x:v>OBJECTIVE</x:v>
      </x:c>
      <x:c r="G334" s="104" t="str">
        <x:v>REACH_LOCATION</x:v>
      </x:c>
      <x:c r="H334" s="104" t="str">
        <x:v>TEAM</x:v>
      </x:c>
      <x:c r="I334" s="104" t="str">
        <x:v>place_day_2_circo_massimo</x:v>
      </x:c>
      <x:c r="J334" s="104" t="str">
        <x:v>M-D2-01</x:v>
      </x:c>
      <x:c r="K334" s="104" t="str">
        <x:v>Sicheren Medienkorridor am Circus Maximus betreten.</x:v>
      </x:c>
      <x:c r="L334" s="104" t="str">
        <x:v>teamMembersInRadius &gt;= 2 &amp;&amp; corridorStatus == OPEN</x:v>
      </x:c>
      <x:c r="M334" s="104" t="str">
        <x:v>objectiveComplete=true</x:v>
      </x:c>
      <x:c r="N334" s="104" t="str">
        <x:v>Quest pausiert bei gesperrtem Korridor.</x:v>
      </x:c>
      <x:c r="O334" s="104" t="str">
        <x:v>REQUIRED</x:v>
      </x:c>
      <x:c r="P334" s="104" t="str">
        <x:v>previousStepComplete</x:v>
      </x:c>
      <x:c r="Q334" s="104" t="str">
        <x:v>QUEST_OBJECTIVE</x:v>
      </x:c>
      <x:c r="R334" s="104" t="str">
        <x:v>quest.objective.completed</x:v>
      </x:c>
      <x:c r="S334" s="104" t="str"/>
    </x:row>
    <x:row r="335" ht="74" customHeight="1">
      <x:c r="A335" s="101" t="str">
        <x:v>M-D2-01</x:v>
      </x:c>
      <x:c r="B335" s="101" t="str">
        <x:v>M-D2-01-S05</x:v>
      </x:c>
      <x:c r="C335" s="109" t="n">
        <x:v>5</x:v>
      </x:c>
      <x:c r="D335" s="101" t="str">
        <x:v>OBJECTIVE</x:v>
      </x:c>
      <x:c r="E335" s="101" t="str">
        <x:v>TAKE_PHOTO</x:v>
      </x:c>
      <x:c r="F335" s="101" t="str">
        <x:v>OBJECTIVE</x:v>
      </x:c>
      <x:c r="G335" s="101" t="str">
        <x:v>SUBMIT_MEDIA</x:v>
      </x:c>
      <x:c r="H335" s="101" t="str">
        <x:v>TEAM</x:v>
      </x:c>
      <x:c r="I335" s="101" t="str">
        <x:v>place_day_2_circo_massimo</x:v>
      </x:c>
      <x:c r="J335" s="101" t="str">
        <x:v>M-D2-01</x:v>
      </x:c>
      <x:c r="K335" s="101" t="str">
        <x:v>Exakt fünf Bilder in der Reihenfolge Start–Angriff–Wendung–Beinahe-Sturz–Sieg aufnehmen.</x:v>
      </x:c>
      <x:c r="L335" s="101" t="str">
        <x:v>photoCount == 5 &amp;&amp; orderedActs == 5</x:v>
      </x:c>
      <x:c r="M335" s="101" t="str">
        <x:v>objectiveComplete=true</x:v>
      </x:c>
      <x:c r="N335" s="101" t="str">
        <x:v>Einzelbilder ersetzbar.</x:v>
      </x:c>
      <x:c r="O335" s="101" t="str">
        <x:v>REQUIRED</x:v>
      </x:c>
      <x:c r="P335" s="101" t="str">
        <x:v>previousStepComplete</x:v>
      </x:c>
      <x:c r="Q335" s="101" t="str">
        <x:v>MEDIA_CAPTURE</x:v>
      </x:c>
      <x:c r="R335" s="101" t="str">
        <x:v>quest.objective.completed</x:v>
      </x:c>
      <x:c r="S335" s="101" t="str"/>
    </x:row>
    <x:row r="336" ht="74" customHeight="1">
      <x:c r="A336" s="104" t="str">
        <x:v>M-D2-01</x:v>
      </x:c>
      <x:c r="B336" s="104" t="str">
        <x:v>M-D2-01-S06</x:v>
      </x:c>
      <x:c r="C336" s="110" t="n">
        <x:v>6</x:v>
      </x:c>
      <x:c r="D336" s="104" t="str">
        <x:v>OBJECTIVE</x:v>
      </x:c>
      <x:c r="E336" s="104" t="str">
        <x:v>UPLOAD_MEDIA</x:v>
      </x:c>
      <x:c r="F336" s="104" t="str">
        <x:v>OBJECTIVE</x:v>
      </x:c>
      <x:c r="G336" s="104" t="str">
        <x:v>SUBMIT_MEDIA</x:v>
      </x:c>
      <x:c r="H336" s="104" t="str">
        <x:v>TEAM</x:v>
      </x:c>
      <x:c r="I336" s="104" t="str">
        <x:v>place_day_2_circo_massimo</x:v>
      </x:c>
      <x:c r="J336" s="104" t="str">
        <x:v>M-D2-01</x:v>
      </x:c>
      <x:c r="K336" s="104" t="str">
        <x:v>Alle fünf Bilder im 15-m-Abgaberadius hochladen.</x:v>
      </x:c>
      <x:c r="L336" s="104" t="str">
        <x:v>allUploads.locationVerified</x:v>
      </x:c>
      <x:c r="M336" s="104" t="str">
        <x:v>objectiveComplete=true</x:v>
      </x:c>
      <x:c r="N336" s="104" t="str">
        <x:v>Erneuter Upload möglich.</x:v>
      </x:c>
      <x:c r="O336" s="104" t="str">
        <x:v>REQUIRED</x:v>
      </x:c>
      <x:c r="P336" s="104" t="str">
        <x:v>previousStepComplete</x:v>
      </x:c>
      <x:c r="Q336" s="104" t="str">
        <x:v>MEDIA_CAPTURE</x:v>
      </x:c>
      <x:c r="R336" s="104" t="str">
        <x:v>quest.objective.completed</x:v>
      </x:c>
      <x:c r="S336" s="104" t="str"/>
    </x:row>
    <x:row r="337" ht="74" customHeight="1">
      <x:c r="A337" s="101" t="str">
        <x:v>M-D2-01</x:v>
      </x:c>
      <x:c r="B337" s="101" t="str">
        <x:v>M-D2-01-S07</x:v>
      </x:c>
      <x:c r="C337" s="109" t="n">
        <x:v>7</x:v>
      </x:c>
      <x:c r="D337" s="101" t="str">
        <x:v>COMPLETE</x:v>
      </x:c>
      <x:c r="E337" s="101" t="str">
        <x:v>TALK_TO_NPC</x:v>
      </x:c>
      <x:c r="F337" s="101" t="str">
        <x:v>OBJECTIVE</x:v>
      </x:c>
      <x:c r="G337" s="101" t="str">
        <x:v>COMPLETE_DIALOGUE</x:v>
      </x:c>
      <x:c r="H337" s="101" t="str">
        <x:v>TEAM</x:v>
      </x:c>
      <x:c r="I337" s="101" t="str">
        <x:v>place_day_2_circo_massimo</x:v>
      </x:c>
      <x:c r="J337" s="101" t="str">
        <x:v>M-D2-01-COMPLETE</x:v>
      </x:c>
      <x:c r="K337" s="101" t="str">
        <x:v>Abschlussdialog beziehungsweise Eventresultat anzeigen.</x:v>
      </x:c>
      <x:c r="L337" s="101" t="str">
        <x:v>dialogSequenceComplete('M-D2-01-COMPLETE')</x:v>
      </x:c>
      <x:c r="M337" s="101" t="str">
        <x:v>state=REWARD</x:v>
      </x:c>
      <x:c r="N337" s="101" t="str">
        <x:v>Erneut anzeigen.</x:v>
      </x:c>
      <x:c r="O337" s="101" t="str">
        <x:v>REQUIRED</x:v>
      </x:c>
      <x:c r="P337" s="101" t="str">
        <x:v>allRequiredObjectivesComplete</x:v>
      </x:c>
      <x:c r="Q337" s="101" t="str">
        <x:v>DIALOGUE</x:v>
      </x:c>
      <x:c r="R337" s="101" t="str">
        <x:v>quest.completed</x:v>
      </x:c>
      <x:c r="S337" s="101" t="str"/>
    </x:row>
    <x:row r="338" ht="74" customHeight="1">
      <x:c r="A338" s="104" t="str">
        <x:v>M-D2-01</x:v>
      </x:c>
      <x:c r="B338" s="104" t="str">
        <x:v>M-D2-01-S08</x:v>
      </x:c>
      <x:c r="C338" s="110" t="n">
        <x:v>8</x:v>
      </x:c>
      <x:c r="D338" s="104" t="str">
        <x:v>REWARD</x:v>
      </x:c>
      <x:c r="E338" s="104" t="str">
        <x:v>GRANT_REWARD</x:v>
      </x:c>
      <x:c r="F338" s="104" t="str">
        <x:v>SYSTEM_ACTION</x:v>
      </x:c>
      <x:c r="G338" s="104" t="str"/>
      <x:c r="H338" s="104" t="str">
        <x:v>TEAM</x:v>
      </x:c>
      <x:c r="I338" s="104" t="str"/>
      <x:c r="J338" s="104" t="str">
        <x:v>M-D2-01</x:v>
      </x:c>
      <x:c r="K338" s="104" t="str">
        <x:v>Belohnung atomar vergeben; Medien-/Bosswertung gegebenenfalls als PENDING_REVIEW markieren.</x:v>
      </x:c>
      <x:c r="L338" s="104" t="str">
        <x:v>rewardTransactionCommitted || rewardStatus == PENDING_REVIEW</x:v>
      </x:c>
      <x:c r="M338" s="104" t="str">
        <x:v>state=COMPLETED</x:v>
      </x:c>
      <x:c r="N338" s="104" t="str">
        <x:v>Idempotenter Retry.</x:v>
      </x:c>
      <x:c r="O338" s="104" t="str">
        <x:v>REQUIRED</x:v>
      </x:c>
      <x:c r="P338" s="104" t="str">
        <x:v>questComplete</x:v>
      </x:c>
      <x:c r="Q338" s="104" t="str">
        <x:v>REWARD</x:v>
      </x:c>
      <x:c r="R338" s="104" t="str">
        <x:v>quest.reward.granted</x:v>
      </x:c>
      <x:c r="S338" s="104" t="str"/>
    </x:row>
    <x:row r="339" ht="74" customHeight="1">
      <x:c r="A339" s="101" t="str">
        <x:v>M-D2-02</x:v>
      </x:c>
      <x:c r="B339" s="101" t="str">
        <x:v>M-D2-02-S01</x:v>
      </x:c>
      <x:c r="C339" s="109" t="n">
        <x:v>1</x:v>
      </x:c>
      <x:c r="D339" s="101" t="str">
        <x:v>DISCOVER</x:v>
      </x:c>
      <x:c r="E339" s="101" t="str">
        <x:v>DISCOVER_NPC</x:v>
      </x:c>
      <x:c r="F339" s="101" t="str">
        <x:v>FLOW_ACTION</x:v>
      </x:c>
      <x:c r="G339" s="101" t="str"/>
      <x:c r="H339" s="101" t="str">
        <x:v>TEAM</x:v>
      </x:c>
      <x:c r="I339" s="101" t="str">
        <x:v>place_day_2_colosseo</x:v>
      </x:c>
      <x:c r="J339" s="101" t="str">
        <x:v>npc_lanista_felix</x:v>
      </x:c>
      <x:c r="K339" s="101" t="str">
        <x:v>Sonderquest Gladiatorenkampf entdecken.</x:v>
      </x:c>
      <x:c r="L339" s="101" t="str">
        <x:v>npcDiscovered &amp;&amp; interactionGateOpen</x:v>
      </x:c>
      <x:c r="M339" s="101" t="str">
        <x:v>state=DIALOGUE</x:v>
      </x:c>
      <x:c r="N339" s="101" t="str">
        <x:v>Trigger bleibt erneut verfügbar.</x:v>
      </x:c>
      <x:c r="O339" s="101" t="str">
        <x:v>REQUIRED</x:v>
      </x:c>
      <x:c r="P339" s="101" t="str"/>
      <x:c r="Q339" s="101" t="str">
        <x:v>MAP_OBJECT_SHEET</x:v>
      </x:c>
      <x:c r="R339" s="101" t="str">
        <x:v>quest.discovered</x:v>
      </x:c>
      <x:c r="S339" s="101" t="str">
        <x:v>Hidden ohne Slot; Medien/Boss mit separater Kapazität.</x:v>
      </x:c>
    </x:row>
    <x:row r="340" ht="74" customHeight="1">
      <x:c r="A340" s="104" t="str">
        <x:v>M-D2-02</x:v>
      </x:c>
      <x:c r="B340" s="104" t="str">
        <x:v>M-D2-02-S02</x:v>
      </x:c>
      <x:c r="C340" s="110" t="n">
        <x:v>2</x:v>
      </x:c>
      <x:c r="D340" s="104" t="str">
        <x:v>DIALOGUE</x:v>
      </x:c>
      <x:c r="E340" s="104" t="str">
        <x:v>TALK_TO_NPC</x:v>
      </x:c>
      <x:c r="F340" s="104" t="str">
        <x:v>OBJECTIVE</x:v>
      </x:c>
      <x:c r="G340" s="104" t="str">
        <x:v>COMPLETE_DIALOGUE</x:v>
      </x:c>
      <x:c r="H340" s="104" t="str">
        <x:v>TEAM</x:v>
      </x:c>
      <x:c r="I340" s="104" t="str">
        <x:v>place_day_2_colosseo</x:v>
      </x:c>
      <x:c r="J340" s="104" t="str">
        <x:v>M-D2-02-OFFER</x:v>
      </x:c>
      <x:c r="K340" s="104" t="str">
        <x:v>Questangebot anzeigen.</x:v>
      </x:c>
      <x:c r="L340" s="104" t="str">
        <x:v>dialogSequenceComplete('M-D2-02-OFFER')</x:v>
      </x:c>
      <x:c r="M340" s="104" t="str">
        <x:v>state=ACCEPT</x:v>
      </x:c>
      <x:c r="N340" s="104" t="str">
        <x:v>Dialog wiederholbar.</x:v>
      </x:c>
      <x:c r="O340" s="104" t="str">
        <x:v>REQUIRED</x:v>
      </x:c>
      <x:c r="P340" s="104" t="str"/>
      <x:c r="Q340" s="104" t="str">
        <x:v>DIALOGUE</x:v>
      </x:c>
      <x:c r="R340" s="104" t="str">
        <x:v>quest.dialogue.offer</x:v>
      </x:c>
      <x:c r="S340" s="104" t="str"/>
    </x:row>
    <x:row r="341" ht="74" customHeight="1">
      <x:c r="A341" s="101" t="str">
        <x:v>M-D2-02</x:v>
      </x:c>
      <x:c r="B341" s="101" t="str">
        <x:v>M-D2-02-S03</x:v>
      </x:c>
      <x:c r="C341" s="109" t="n">
        <x:v>3</x:v>
      </x:c>
      <x:c r="D341" s="101" t="str">
        <x:v>ACCEPT</x:v>
      </x:c>
      <x:c r="E341" s="101" t="str">
        <x:v>ACCEPT_QUEST</x:v>
      </x:c>
      <x:c r="F341" s="101" t="str">
        <x:v>FLOW_ACTION</x:v>
      </x:c>
      <x:c r="G341" s="101" t="str"/>
      <x:c r="H341" s="101" t="str">
        <x:v>TEAM</x:v>
      </x:c>
      <x:c r="I341" s="101" t="str">
        <x:v>place_day_2_colosseo</x:v>
      </x:c>
      <x:c r="J341" s="101" t="str">
        <x:v>M-D2-02</x:v>
      </x:c>
      <x:c r="K341" s="101" t="str">
        <x:v>Sonderquest annehmen beziehungsweise Bossbeitritt bestätigen.</x:v>
      </x:c>
      <x:c r="L341" s="101" t="str">
        <x:v>teamVoteResolved</x:v>
      </x:c>
      <x:c r="M341" s="101" t="str">
        <x:v>state=OBJECTIVE</x:v>
      </x:c>
      <x:c r="N341" s="101" t="str">
        <x:v>Keine reguläre Slotwirkung.</x:v>
      </x:c>
      <x:c r="O341" s="101" t="str">
        <x:v>REQUIRED</x:v>
      </x:c>
      <x:c r="P341" s="101" t="str"/>
      <x:c r="Q341" s="101" t="str">
        <x:v>QUEST_ACCEPT</x:v>
      </x:c>
      <x:c r="R341" s="101" t="str">
        <x:v>quest.accepted</x:v>
      </x:c>
      <x:c r="S341" s="101" t="str">
        <x:v>Hidden Quests zählen nicht zum regulären Limit.</x:v>
      </x:c>
    </x:row>
    <x:row r="342" ht="74" customHeight="1">
      <x:c r="A342" s="104" t="str">
        <x:v>M-D2-02</x:v>
      </x:c>
      <x:c r="B342" s="104" t="str">
        <x:v>M-D2-02-S04</x:v>
      </x:c>
      <x:c r="C342" s="110" t="n">
        <x:v>4</x:v>
      </x:c>
      <x:c r="D342" s="104" t="str">
        <x:v>OBJECTIVE</x:v>
      </x:c>
      <x:c r="E342" s="104" t="str">
        <x:v>REACH_LOCATION</x:v>
      </x:c>
      <x:c r="F342" s="104" t="str">
        <x:v>OBJECTIVE</x:v>
      </x:c>
      <x:c r="G342" s="104" t="str">
        <x:v>REACH_LOCATION</x:v>
      </x:c>
      <x:c r="H342" s="104" t="str">
        <x:v>TEAM</x:v>
      </x:c>
      <x:c r="I342" s="104" t="str">
        <x:v>place_day_2_colosseo</x:v>
      </x:c>
      <x:c r="J342" s="104" t="str">
        <x:v>M-D2-02</x:v>
      </x:c>
      <x:c r="K342" s="104" t="str">
        <x:v>Öffentlichen Kolosseum-Außenpunkt erreichen.</x:v>
      </x:c>
      <x:c r="L342" s="104" t="str">
        <x:v>teamMembersInRadius &gt;= 2</x:v>
      </x:c>
      <x:c r="M342" s="104" t="str">
        <x:v>objectiveComplete=true</x:v>
      </x:c>
      <x:c r="N342" s="104" t="str">
        <x:v>Erneut annähern.</x:v>
      </x:c>
      <x:c r="O342" s="104" t="str">
        <x:v>REQUIRED</x:v>
      </x:c>
      <x:c r="P342" s="104" t="str">
        <x:v>previousStepComplete</x:v>
      </x:c>
      <x:c r="Q342" s="104" t="str">
        <x:v>QUEST_OBJECTIVE</x:v>
      </x:c>
      <x:c r="R342" s="104" t="str">
        <x:v>quest.objective.completed</x:v>
      </x:c>
      <x:c r="S342" s="104" t="str"/>
    </x:row>
    <x:row r="343" ht="74" customHeight="1">
      <x:c r="A343" s="101" t="str">
        <x:v>M-D2-02</x:v>
      </x:c>
      <x:c r="B343" s="101" t="str">
        <x:v>M-D2-02-S05</x:v>
      </x:c>
      <x:c r="C343" s="109" t="n">
        <x:v>5</x:v>
      </x:c>
      <x:c r="D343" s="101" t="str">
        <x:v>OBJECTIVE</x:v>
      </x:c>
      <x:c r="E343" s="101" t="str">
        <x:v>TAKE_PHOTO</x:v>
      </x:c>
      <x:c r="F343" s="101" t="str">
        <x:v>OBJECTIVE</x:v>
      </x:c>
      <x:c r="G343" s="101" t="str">
        <x:v>SUBMIT_MEDIA</x:v>
      </x:c>
      <x:c r="H343" s="101" t="str">
        <x:v>TEAM</x:v>
      </x:c>
      <x:c r="I343" s="101" t="str">
        <x:v>place_day_2_colosseo</x:v>
      </x:c>
      <x:c r="J343" s="101" t="str">
        <x:v>M-D2-02</x:v>
      </x:c>
      <x:c r="K343" s="101" t="str">
        <x:v>Drei statische Bilder: Herausforderung, Wendepunkt, Gnade.</x:v>
      </x:c>
      <x:c r="L343" s="101" t="str">
        <x:v>photoCount == 3 &amp;&amp; safetyAcknowledged</x:v>
      </x:c>
      <x:c r="M343" s="101" t="str">
        <x:v>objectiveComplete=true</x:v>
      </x:c>
      <x:c r="N343" s="101" t="str">
        <x:v>Neuaufnahme möglich.</x:v>
      </x:c>
      <x:c r="O343" s="101" t="str">
        <x:v>REQUIRED</x:v>
      </x:c>
      <x:c r="P343" s="101" t="str">
        <x:v>previousStepComplete</x:v>
      </x:c>
      <x:c r="Q343" s="101" t="str">
        <x:v>MEDIA_CAPTURE</x:v>
      </x:c>
      <x:c r="R343" s="101" t="str">
        <x:v>quest.objective.completed</x:v>
      </x:c>
      <x:c r="S343" s="101" t="str"/>
    </x:row>
    <x:row r="344" ht="74" customHeight="1">
      <x:c r="A344" s="104" t="str">
        <x:v>M-D2-02</x:v>
      </x:c>
      <x:c r="B344" s="104" t="str">
        <x:v>M-D2-02-S06</x:v>
      </x:c>
      <x:c r="C344" s="110" t="n">
        <x:v>6</x:v>
      </x:c>
      <x:c r="D344" s="104" t="str">
        <x:v>OBJECTIVE</x:v>
      </x:c>
      <x:c r="E344" s="104" t="str">
        <x:v>UPLOAD_MEDIA</x:v>
      </x:c>
      <x:c r="F344" s="104" t="str">
        <x:v>OBJECTIVE</x:v>
      </x:c>
      <x:c r="G344" s="104" t="str">
        <x:v>SUBMIT_MEDIA</x:v>
      </x:c>
      <x:c r="H344" s="104" t="str">
        <x:v>TEAM</x:v>
      </x:c>
      <x:c r="I344" s="104" t="str">
        <x:v>place_day_2_colosseo</x:v>
      </x:c>
      <x:c r="J344" s="104" t="str">
        <x:v>M-D2-02</x:v>
      </x:c>
      <x:c r="K344" s="104" t="str">
        <x:v>Bildserie im 15-m-Radius hochladen.</x:v>
      </x:c>
      <x:c r="L344" s="104" t="str">
        <x:v>allUploads.locationVerified</x:v>
      </x:c>
      <x:c r="M344" s="104" t="str">
        <x:v>objectiveComplete=true</x:v>
      </x:c>
      <x:c r="N344" s="104" t="str">
        <x:v>Erneut hochladen.</x:v>
      </x:c>
      <x:c r="O344" s="104" t="str">
        <x:v>REQUIRED</x:v>
      </x:c>
      <x:c r="P344" s="104" t="str">
        <x:v>previousStepComplete</x:v>
      </x:c>
      <x:c r="Q344" s="104" t="str">
        <x:v>MEDIA_CAPTURE</x:v>
      </x:c>
      <x:c r="R344" s="104" t="str">
        <x:v>quest.objective.completed</x:v>
      </x:c>
      <x:c r="S344" s="104" t="str"/>
    </x:row>
    <x:row r="345" ht="74" customHeight="1">
      <x:c r="A345" s="101" t="str">
        <x:v>M-D2-02</x:v>
      </x:c>
      <x:c r="B345" s="101" t="str">
        <x:v>M-D2-02-S07</x:v>
      </x:c>
      <x:c r="C345" s="109" t="n">
        <x:v>7</x:v>
      </x:c>
      <x:c r="D345" s="101" t="str">
        <x:v>COMPLETE</x:v>
      </x:c>
      <x:c r="E345" s="101" t="str">
        <x:v>TALK_TO_NPC</x:v>
      </x:c>
      <x:c r="F345" s="101" t="str">
        <x:v>OBJECTIVE</x:v>
      </x:c>
      <x:c r="G345" s="101" t="str">
        <x:v>COMPLETE_DIALOGUE</x:v>
      </x:c>
      <x:c r="H345" s="101" t="str">
        <x:v>TEAM</x:v>
      </x:c>
      <x:c r="I345" s="101" t="str">
        <x:v>place_day_2_colosseo</x:v>
      </x:c>
      <x:c r="J345" s="101" t="str">
        <x:v>M-D2-02-COMPLETE</x:v>
      </x:c>
      <x:c r="K345" s="101" t="str">
        <x:v>Abschlussdialog beziehungsweise Eventresultat anzeigen.</x:v>
      </x:c>
      <x:c r="L345" s="101" t="str">
        <x:v>dialogSequenceComplete('M-D2-02-COMPLETE')</x:v>
      </x:c>
      <x:c r="M345" s="101" t="str">
        <x:v>state=REWARD</x:v>
      </x:c>
      <x:c r="N345" s="101" t="str">
        <x:v>Erneut anzeigen.</x:v>
      </x:c>
      <x:c r="O345" s="101" t="str">
        <x:v>REQUIRED</x:v>
      </x:c>
      <x:c r="P345" s="101" t="str">
        <x:v>allRequiredObjectivesComplete</x:v>
      </x:c>
      <x:c r="Q345" s="101" t="str">
        <x:v>DIALOGUE</x:v>
      </x:c>
      <x:c r="R345" s="101" t="str">
        <x:v>quest.completed</x:v>
      </x:c>
      <x:c r="S345" s="101" t="str"/>
    </x:row>
    <x:row r="346" ht="74" customHeight="1">
      <x:c r="A346" s="104" t="str">
        <x:v>M-D2-02</x:v>
      </x:c>
      <x:c r="B346" s="104" t="str">
        <x:v>M-D2-02-S08</x:v>
      </x:c>
      <x:c r="C346" s="110" t="n">
        <x:v>8</x:v>
      </x:c>
      <x:c r="D346" s="104" t="str">
        <x:v>REWARD</x:v>
      </x:c>
      <x:c r="E346" s="104" t="str">
        <x:v>GRANT_REWARD</x:v>
      </x:c>
      <x:c r="F346" s="104" t="str">
        <x:v>SYSTEM_ACTION</x:v>
      </x:c>
      <x:c r="G346" s="104" t="str"/>
      <x:c r="H346" s="104" t="str">
        <x:v>TEAM</x:v>
      </x:c>
      <x:c r="I346" s="104" t="str"/>
      <x:c r="J346" s="104" t="str">
        <x:v>M-D2-02</x:v>
      </x:c>
      <x:c r="K346" s="104" t="str">
        <x:v>Belohnung atomar vergeben; Medien-/Bosswertung gegebenenfalls als PENDING_REVIEW markieren.</x:v>
      </x:c>
      <x:c r="L346" s="104" t="str">
        <x:v>rewardTransactionCommitted || rewardStatus == PENDING_REVIEW</x:v>
      </x:c>
      <x:c r="M346" s="104" t="str">
        <x:v>state=COMPLETED</x:v>
      </x:c>
      <x:c r="N346" s="104" t="str">
        <x:v>Idempotenter Retry.</x:v>
      </x:c>
      <x:c r="O346" s="104" t="str">
        <x:v>REQUIRED</x:v>
      </x:c>
      <x:c r="P346" s="104" t="str">
        <x:v>questComplete</x:v>
      </x:c>
      <x:c r="Q346" s="104" t="str">
        <x:v>REWARD</x:v>
      </x:c>
      <x:c r="R346" s="104" t="str">
        <x:v>quest.reward.granted</x:v>
      </x:c>
      <x:c r="S346" s="104" t="str"/>
    </x:row>
    <x:row r="347" ht="74" customHeight="1">
      <x:c r="A347" s="101" t="str">
        <x:v>M-D2-03</x:v>
      </x:c>
      <x:c r="B347" s="101" t="str">
        <x:v>M-D2-03-S01</x:v>
      </x:c>
      <x:c r="C347" s="109" t="n">
        <x:v>1</x:v>
      </x:c>
      <x:c r="D347" s="101" t="str">
        <x:v>DISCOVER</x:v>
      </x:c>
      <x:c r="E347" s="101" t="str">
        <x:v>DISCOVER_NPC</x:v>
      </x:c>
      <x:c r="F347" s="101" t="str">
        <x:v>FLOW_ACTION</x:v>
      </x:c>
      <x:c r="G347" s="101" t="str"/>
      <x:c r="H347" s="101" t="str">
        <x:v>TEAM</x:v>
      </x:c>
      <x:c r="I347" s="101" t="str">
        <x:v>place_day_2_mercati_di_traiano</x:v>
      </x:c>
      <x:c r="J347" s="101" t="str">
        <x:v>npc_mercator_minimus</x:v>
      </x:c>
      <x:c r="K347" s="101" t="str">
        <x:v>Sonderquest Souvenirreview entdecken.</x:v>
      </x:c>
      <x:c r="L347" s="101" t="str">
        <x:v>npcDiscovered &amp;&amp; interactionGateOpen</x:v>
      </x:c>
      <x:c r="M347" s="101" t="str">
        <x:v>state=DIALOGUE</x:v>
      </x:c>
      <x:c r="N347" s="101" t="str">
        <x:v>Trigger bleibt erneut verfügbar.</x:v>
      </x:c>
      <x:c r="O347" s="101" t="str">
        <x:v>REQUIRED</x:v>
      </x:c>
      <x:c r="P347" s="101" t="str"/>
      <x:c r="Q347" s="101" t="str">
        <x:v>MAP_OBJECT_SHEET</x:v>
      </x:c>
      <x:c r="R347" s="101" t="str">
        <x:v>quest.discovered</x:v>
      </x:c>
      <x:c r="S347" s="101" t="str">
        <x:v>Hidden ohne Slot; Medien/Boss mit separater Kapazität.</x:v>
      </x:c>
    </x:row>
    <x:row r="348" ht="74" customHeight="1">
      <x:c r="A348" s="104" t="str">
        <x:v>M-D2-03</x:v>
      </x:c>
      <x:c r="B348" s="104" t="str">
        <x:v>M-D2-03-S02</x:v>
      </x:c>
      <x:c r="C348" s="110" t="n">
        <x:v>2</x:v>
      </x:c>
      <x:c r="D348" s="104" t="str">
        <x:v>DIALOGUE</x:v>
      </x:c>
      <x:c r="E348" s="104" t="str">
        <x:v>TALK_TO_NPC</x:v>
      </x:c>
      <x:c r="F348" s="104" t="str">
        <x:v>OBJECTIVE</x:v>
      </x:c>
      <x:c r="G348" s="104" t="str">
        <x:v>COMPLETE_DIALOGUE</x:v>
      </x:c>
      <x:c r="H348" s="104" t="str">
        <x:v>TEAM</x:v>
      </x:c>
      <x:c r="I348" s="104" t="str">
        <x:v>place_day_2_mercati_di_traiano</x:v>
      </x:c>
      <x:c r="J348" s="104" t="str">
        <x:v>M-D2-03-OFFER</x:v>
      </x:c>
      <x:c r="K348" s="104" t="str">
        <x:v>Questangebot anzeigen.</x:v>
      </x:c>
      <x:c r="L348" s="104" t="str">
        <x:v>dialogSequenceComplete('M-D2-03-OFFER')</x:v>
      </x:c>
      <x:c r="M348" s="104" t="str">
        <x:v>state=ACCEPT</x:v>
      </x:c>
      <x:c r="N348" s="104" t="str">
        <x:v>Dialog wiederholbar.</x:v>
      </x:c>
      <x:c r="O348" s="104" t="str">
        <x:v>REQUIRED</x:v>
      </x:c>
      <x:c r="P348" s="104" t="str"/>
      <x:c r="Q348" s="104" t="str">
        <x:v>DIALOGUE</x:v>
      </x:c>
      <x:c r="R348" s="104" t="str">
        <x:v>quest.dialogue.offer</x:v>
      </x:c>
      <x:c r="S348" s="104" t="str"/>
    </x:row>
    <x:row r="349" ht="74" customHeight="1">
      <x:c r="A349" s="101" t="str">
        <x:v>M-D2-03</x:v>
      </x:c>
      <x:c r="B349" s="101" t="str">
        <x:v>M-D2-03-S03</x:v>
      </x:c>
      <x:c r="C349" s="109" t="n">
        <x:v>3</x:v>
      </x:c>
      <x:c r="D349" s="101" t="str">
        <x:v>ACCEPT</x:v>
      </x:c>
      <x:c r="E349" s="101" t="str">
        <x:v>ACCEPT_QUEST</x:v>
      </x:c>
      <x:c r="F349" s="101" t="str">
        <x:v>FLOW_ACTION</x:v>
      </x:c>
      <x:c r="G349" s="101" t="str"/>
      <x:c r="H349" s="101" t="str">
        <x:v>TEAM</x:v>
      </x:c>
      <x:c r="I349" s="101" t="str">
        <x:v>place_day_2_mercati_di_traiano</x:v>
      </x:c>
      <x:c r="J349" s="101" t="str">
        <x:v>M-D2-03</x:v>
      </x:c>
      <x:c r="K349" s="101" t="str">
        <x:v>Sonderquest annehmen; Etappen-Timer 60 s, Startbedingung und Ablaufwirkung vor Bestätigung anzeigen.</x:v>
      </x:c>
      <x:c r="L349" s="101" t="str">
        <x:v>teamVoteResolved</x:v>
      </x:c>
      <x:c r="M349" s="101" t="str">
        <x:v>state=OBJECTIVE</x:v>
      </x:c>
      <x:c r="N349" s="101" t="str">
        <x:v>Keine reguläre Slotwirkung.</x:v>
      </x:c>
      <x:c r="O349" s="101" t="str">
        <x:v>REQUIRED</x:v>
      </x:c>
      <x:c r="P349" s="101" t="str"/>
      <x:c r="Q349" s="101" t="str">
        <x:v>QUEST_ACCEPT</x:v>
      </x:c>
      <x:c r="R349" s="101" t="str">
        <x:v>quest.accepted</x:v>
      </x:c>
      <x:c r="S349" s="101" t="str">
        <x:v>timerRef=TMR-M-D2-03-S05; Start gemäß Timer.StartsWhen.</x:v>
      </x:c>
    </x:row>
    <x:row r="350" ht="74" customHeight="1">
      <x:c r="A350" s="104" t="str">
        <x:v>M-D2-03</x:v>
      </x:c>
      <x:c r="B350" s="104" t="str">
        <x:v>M-D2-03-S04</x:v>
      </x:c>
      <x:c r="C350" s="110" t="n">
        <x:v>4</x:v>
      </x:c>
      <x:c r="D350" s="104" t="str">
        <x:v>OBJECTIVE</x:v>
      </x:c>
      <x:c r="E350" s="104" t="str">
        <x:v>REACH_LOCATION</x:v>
      </x:c>
      <x:c r="F350" s="104" t="str">
        <x:v>OBJECTIVE</x:v>
      </x:c>
      <x:c r="G350" s="104" t="str">
        <x:v>REACH_LOCATION</x:v>
      </x:c>
      <x:c r="H350" s="104" t="str">
        <x:v>TEAM</x:v>
      </x:c>
      <x:c r="I350" s="104" t="str">
        <x:v>place_day_2_mercati_di_traiano</x:v>
      </x:c>
      <x:c r="J350" s="104" t="str">
        <x:v>M-D2-03</x:v>
      </x:c>
      <x:c r="K350" s="104" t="str">
        <x:v>Öffentlichen Außenpunkt der Trajansmärkte erreichen.</x:v>
      </x:c>
      <x:c r="L350" s="104" t="str">
        <x:v>teamMembersInRadius &gt;= 2</x:v>
      </x:c>
      <x:c r="M350" s="104" t="str">
        <x:v>objectiveComplete=true</x:v>
      </x:c>
      <x:c r="N350" s="104" t="str">
        <x:v>Erneut annähern.</x:v>
      </x:c>
      <x:c r="O350" s="104" t="str">
        <x:v>REQUIRED</x:v>
      </x:c>
      <x:c r="P350" s="104" t="str">
        <x:v>previousStepComplete</x:v>
      </x:c>
      <x:c r="Q350" s="104" t="str">
        <x:v>QUEST_OBJECTIVE</x:v>
      </x:c>
      <x:c r="R350" s="104" t="str">
        <x:v>quest.objective.completed</x:v>
      </x:c>
      <x:c r="S350" s="104" t="str"/>
    </x:row>
    <x:row r="351" ht="74" customHeight="1">
      <x:c r="A351" s="101" t="str">
        <x:v>M-D2-03</x:v>
      </x:c>
      <x:c r="B351" s="101" t="str">
        <x:v>M-D2-03-S05</x:v>
      </x:c>
      <x:c r="C351" s="109" t="n">
        <x:v>5</x:v>
      </x:c>
      <x:c r="D351" s="101" t="str">
        <x:v>OBJECTIVE</x:v>
      </x:c>
      <x:c r="E351" s="101" t="str">
        <x:v>TAKE_VIDEO</x:v>
      </x:c>
      <x:c r="F351" s="101" t="str">
        <x:v>OBJECTIVE</x:v>
      </x:c>
      <x:c r="G351" s="101" t="str">
        <x:v>SUBMIT_MEDIA</x:v>
      </x:c>
      <x:c r="H351" s="101" t="str">
        <x:v>TEAM</x:v>
      </x:c>
      <x:c r="I351" s="101" t="str">
        <x:v>place_day_2_mercati_di_traiano</x:v>
      </x:c>
      <x:c r="J351" s="101" t="str">
        <x:v>M-D2-03</x:v>
      </x:c>
      <x:c r="K351" s="101" t="str">
        <x:v>Startet die Aufnahme bewusst und nehmt ein 30–60 Sekunden langes Review eines Souvenirs bis maximal 5 EUR auf.</x:v>
      </x:c>
      <x:c r="L351" s="101" t="str">
        <x:v>durationSec &gt;= 30 &amp;&amp; durationSec &lt;= 60 &amp;&amp; declaredPriceEur &lt;= 5</x:v>
      </x:c>
      <x:c r="M351" s="101" t="str">
        <x:v>objectiveComplete=true; timerState=COMPLETED</x:v>
      </x:c>
      <x:c r="N351" s="101" t="str">
        <x:v>Bei 60 s Auto-Stopp; bei weniger als 30 s oder Abbruch Neuaufnahme mit neuer attemptId möglich.</x:v>
      </x:c>
      <x:c r="O351" s="101" t="str">
        <x:v>REQUIRED</x:v>
      </x:c>
      <x:c r="P351" s="101" t="str">
        <x:v>previousStepComplete</x:v>
      </x:c>
      <x:c r="Q351" s="101" t="str">
        <x:v>MEDIA_CAPTURE</x:v>
      </x:c>
      <x:c r="R351" s="101" t="str">
        <x:v>quest.objective.completed</x:v>
      </x:c>
      <x:c r="S351" s="101" t="str">
        <x:v>timerRef=TMR-M-D2-03-S05; serverTime/deadlineAt; Upload ist separater, wiederholbarer Schritt.</x:v>
      </x:c>
    </x:row>
    <x:row r="352" ht="74" customHeight="1">
      <x:c r="A352" s="104" t="str">
        <x:v>M-D2-03</x:v>
      </x:c>
      <x:c r="B352" s="104" t="str">
        <x:v>M-D2-03-S06</x:v>
      </x:c>
      <x:c r="C352" s="110" t="n">
        <x:v>6</x:v>
      </x:c>
      <x:c r="D352" s="104" t="str">
        <x:v>OBJECTIVE</x:v>
      </x:c>
      <x:c r="E352" s="104" t="str">
        <x:v>UPLOAD_MEDIA</x:v>
      </x:c>
      <x:c r="F352" s="104" t="str">
        <x:v>OBJECTIVE</x:v>
      </x:c>
      <x:c r="G352" s="104" t="str">
        <x:v>SUBMIT_MEDIA</x:v>
      </x:c>
      <x:c r="H352" s="104" t="str">
        <x:v>TEAM</x:v>
      </x:c>
      <x:c r="I352" s="104" t="str">
        <x:v>place_day_2_mercati_di_traiano</x:v>
      </x:c>
      <x:c r="J352" s="104" t="str">
        <x:v>M-D2-03</x:v>
      </x:c>
      <x:c r="K352" s="104" t="str">
        <x:v>Video im 15-m-Radius hochladen.</x:v>
      </x:c>
      <x:c r="L352" s="104" t="str">
        <x:v>upload.locationVerified &amp;&amp; media.type == VIDEO</x:v>
      </x:c>
      <x:c r="M352" s="104" t="str">
        <x:v>objectiveComplete=true</x:v>
      </x:c>
      <x:c r="N352" s="104" t="str">
        <x:v>Erneuter Upload möglich.</x:v>
      </x:c>
      <x:c r="O352" s="104" t="str">
        <x:v>REQUIRED</x:v>
      </x:c>
      <x:c r="P352" s="104" t="str">
        <x:v>previousStepComplete</x:v>
      </x:c>
      <x:c r="Q352" s="104" t="str">
        <x:v>MEDIA_CAPTURE</x:v>
      </x:c>
      <x:c r="R352" s="104" t="str">
        <x:v>quest.objective.completed</x:v>
      </x:c>
      <x:c r="S352" s="104" t="str"/>
    </x:row>
    <x:row r="353" ht="74" customHeight="1">
      <x:c r="A353" s="101" t="str">
        <x:v>M-D2-03</x:v>
      </x:c>
      <x:c r="B353" s="101" t="str">
        <x:v>M-D2-03-S07</x:v>
      </x:c>
      <x:c r="C353" s="109" t="n">
        <x:v>7</x:v>
      </x:c>
      <x:c r="D353" s="101" t="str">
        <x:v>COMPLETE</x:v>
      </x:c>
      <x:c r="E353" s="101" t="str">
        <x:v>TALK_TO_NPC</x:v>
      </x:c>
      <x:c r="F353" s="101" t="str">
        <x:v>OBJECTIVE</x:v>
      </x:c>
      <x:c r="G353" s="101" t="str">
        <x:v>COMPLETE_DIALOGUE</x:v>
      </x:c>
      <x:c r="H353" s="101" t="str">
        <x:v>TEAM</x:v>
      </x:c>
      <x:c r="I353" s="101" t="str">
        <x:v>place_day_2_mercati_di_traiano</x:v>
      </x:c>
      <x:c r="J353" s="101" t="str">
        <x:v>M-D2-03-COMPLETE</x:v>
      </x:c>
      <x:c r="K353" s="101" t="str">
        <x:v>Abschlussdialog beziehungsweise Eventresultat anzeigen.</x:v>
      </x:c>
      <x:c r="L353" s="101" t="str">
        <x:v>dialogSequenceComplete('M-D2-03-COMPLETE')</x:v>
      </x:c>
      <x:c r="M353" s="101" t="str">
        <x:v>state=REWARD</x:v>
      </x:c>
      <x:c r="N353" s="101" t="str">
        <x:v>Erneut anzeigen.</x:v>
      </x:c>
      <x:c r="O353" s="101" t="str">
        <x:v>REQUIRED</x:v>
      </x:c>
      <x:c r="P353" s="101" t="str">
        <x:v>allRequiredObjectivesComplete</x:v>
      </x:c>
      <x:c r="Q353" s="101" t="str">
        <x:v>DIALOGUE</x:v>
      </x:c>
      <x:c r="R353" s="101" t="str">
        <x:v>quest.completed</x:v>
      </x:c>
      <x:c r="S353" s="101" t="str"/>
    </x:row>
    <x:row r="354" ht="74" customHeight="1">
      <x:c r="A354" s="104" t="str">
        <x:v>M-D2-03</x:v>
      </x:c>
      <x:c r="B354" s="104" t="str">
        <x:v>M-D2-03-S08</x:v>
      </x:c>
      <x:c r="C354" s="110" t="n">
        <x:v>8</x:v>
      </x:c>
      <x:c r="D354" s="104" t="str">
        <x:v>REWARD</x:v>
      </x:c>
      <x:c r="E354" s="104" t="str">
        <x:v>GRANT_REWARD</x:v>
      </x:c>
      <x:c r="F354" s="104" t="str">
        <x:v>SYSTEM_ACTION</x:v>
      </x:c>
      <x:c r="G354" s="104" t="str"/>
      <x:c r="H354" s="104" t="str">
        <x:v>TEAM</x:v>
      </x:c>
      <x:c r="I354" s="104" t="str"/>
      <x:c r="J354" s="104" t="str">
        <x:v>M-D2-03</x:v>
      </x:c>
      <x:c r="K354" s="104" t="str">
        <x:v>Belohnung atomar vergeben; Medien-/Bosswertung gegebenenfalls als PENDING_REVIEW markieren.</x:v>
      </x:c>
      <x:c r="L354" s="104" t="str">
        <x:v>rewardTransactionCommitted || rewardStatus == PENDING_REVIEW</x:v>
      </x:c>
      <x:c r="M354" s="104" t="str">
        <x:v>state=COMPLETED</x:v>
      </x:c>
      <x:c r="N354" s="104" t="str">
        <x:v>Idempotenter Retry.</x:v>
      </x:c>
      <x:c r="O354" s="104" t="str">
        <x:v>REQUIRED</x:v>
      </x:c>
      <x:c r="P354" s="104" t="str">
        <x:v>questComplete</x:v>
      </x:c>
      <x:c r="Q354" s="104" t="str">
        <x:v>REWARD</x:v>
      </x:c>
      <x:c r="R354" s="104" t="str">
        <x:v>quest.reward.granted</x:v>
      </x:c>
      <x:c r="S354" s="104" t="str"/>
    </x:row>
    <x:row r="355" ht="74" customHeight="1">
      <x:c r="A355" s="101" t="str">
        <x:v>H-D1-01</x:v>
      </x:c>
      <x:c r="B355" s="101" t="str">
        <x:v>H-D1-01-S01</x:v>
      </x:c>
      <x:c r="C355" s="109" t="n">
        <x:v>1</x:v>
      </x:c>
      <x:c r="D355" s="101" t="str">
        <x:v>DISCOVER</x:v>
      </x:c>
      <x:c r="E355" s="101" t="str">
        <x:v>DISCOVER_NPC</x:v>
      </x:c>
      <x:c r="F355" s="101" t="str">
        <x:v>FLOW_ACTION</x:v>
      </x:c>
      <x:c r="G355" s="101" t="str"/>
      <x:c r="H355" s="101" t="str">
        <x:v>TEAM</x:v>
      </x:c>
      <x:c r="I355" s="101" t="str">
        <x:v>place_day_1_fontana_delle_tartarughe</x:v>
      </x:c>
      <x:c r="J355" s="101" t="str">
        <x:v>npc_tartaruga_quarta</x:v>
      </x:c>
      <x:c r="K355" s="101" t="str">
        <x:v>Sonderquest Die Schildkröten wachen entdecken.</x:v>
      </x:c>
      <x:c r="L355" s="101" t="str">
        <x:v>npcDiscovered &amp;&amp; interactionGateOpen</x:v>
      </x:c>
      <x:c r="M355" s="101" t="str">
        <x:v>state=DIALOGUE</x:v>
      </x:c>
      <x:c r="N355" s="101" t="str">
        <x:v>Trigger bleibt erneut verfügbar.</x:v>
      </x:c>
      <x:c r="O355" s="101" t="str">
        <x:v>REQUIRED</x:v>
      </x:c>
      <x:c r="P355" s="101" t="str"/>
      <x:c r="Q355" s="101" t="str">
        <x:v>MAP_OBJECT_SHEET</x:v>
      </x:c>
      <x:c r="R355" s="101" t="str">
        <x:v>quest.discovered</x:v>
      </x:c>
      <x:c r="S355" s="101" t="str">
        <x:v>Hidden ohne Slot; Medien/Boss mit separater Kapazität.</x:v>
      </x:c>
    </x:row>
    <x:row r="356" ht="74" customHeight="1">
      <x:c r="A356" s="104" t="str">
        <x:v>H-D1-01</x:v>
      </x:c>
      <x:c r="B356" s="104" t="str">
        <x:v>H-D1-01-S02</x:v>
      </x:c>
      <x:c r="C356" s="110" t="n">
        <x:v>2</x:v>
      </x:c>
      <x:c r="D356" s="104" t="str">
        <x:v>DIALOGUE</x:v>
      </x:c>
      <x:c r="E356" s="104" t="str">
        <x:v>TALK_TO_NPC</x:v>
      </x:c>
      <x:c r="F356" s="104" t="str">
        <x:v>OBJECTIVE</x:v>
      </x:c>
      <x:c r="G356" s="104" t="str">
        <x:v>COMPLETE_DIALOGUE</x:v>
      </x:c>
      <x:c r="H356" s="104" t="str">
        <x:v>TEAM</x:v>
      </x:c>
      <x:c r="I356" s="104" t="str">
        <x:v>place_day_1_fontana_delle_tartarughe</x:v>
      </x:c>
      <x:c r="J356" s="104" t="str">
        <x:v>H-D1-01-OFFER</x:v>
      </x:c>
      <x:c r="K356" s="104" t="str">
        <x:v>Questangebot anzeigen.</x:v>
      </x:c>
      <x:c r="L356" s="104" t="str">
        <x:v>dialogSequenceComplete('H-D1-01-OFFER')</x:v>
      </x:c>
      <x:c r="M356" s="104" t="str">
        <x:v>state=ACCEPT</x:v>
      </x:c>
      <x:c r="N356" s="104" t="str">
        <x:v>Dialog wiederholbar.</x:v>
      </x:c>
      <x:c r="O356" s="104" t="str">
        <x:v>REQUIRED</x:v>
      </x:c>
      <x:c r="P356" s="104" t="str"/>
      <x:c r="Q356" s="104" t="str">
        <x:v>DIALOGUE</x:v>
      </x:c>
      <x:c r="R356" s="104" t="str">
        <x:v>quest.dialogue.offer</x:v>
      </x:c>
      <x:c r="S356" s="104" t="str"/>
    </x:row>
    <x:row r="357" ht="74" customHeight="1">
      <x:c r="A357" s="101" t="str">
        <x:v>H-D1-01</x:v>
      </x:c>
      <x:c r="B357" s="101" t="str">
        <x:v>H-D1-01-S03</x:v>
      </x:c>
      <x:c r="C357" s="109" t="n">
        <x:v>3</x:v>
      </x:c>
      <x:c r="D357" s="101" t="str">
        <x:v>ACCEPT</x:v>
      </x:c>
      <x:c r="E357" s="101" t="str">
        <x:v>ACCEPT_QUEST</x:v>
      </x:c>
      <x:c r="F357" s="101" t="str">
        <x:v>FLOW_ACTION</x:v>
      </x:c>
      <x:c r="G357" s="101" t="str"/>
      <x:c r="H357" s="101" t="str">
        <x:v>TEAM</x:v>
      </x:c>
      <x:c r="I357" s="101" t="str">
        <x:v>place_day_1_fontana_delle_tartarughe</x:v>
      </x:c>
      <x:c r="J357" s="101" t="str">
        <x:v>H-D1-01</x:v>
      </x:c>
      <x:c r="K357" s="101" t="str">
        <x:v>Sonderquest annehmen beziehungsweise Bossbeitritt bestätigen.</x:v>
      </x:c>
      <x:c r="L357" s="101" t="str">
        <x:v>teamVoteResolved</x:v>
      </x:c>
      <x:c r="M357" s="101" t="str">
        <x:v>state=OBJECTIVE</x:v>
      </x:c>
      <x:c r="N357" s="101" t="str">
        <x:v>Keine reguläre Slotwirkung.</x:v>
      </x:c>
      <x:c r="O357" s="101" t="str">
        <x:v>REQUIRED</x:v>
      </x:c>
      <x:c r="P357" s="101" t="str"/>
      <x:c r="Q357" s="101" t="str">
        <x:v>QUEST_ACCEPT</x:v>
      </x:c>
      <x:c r="R357" s="101" t="str">
        <x:v>quest.accepted</x:v>
      </x:c>
      <x:c r="S357" s="101" t="str">
        <x:v>Hidden Quests zählen nicht zum regulären Limit.</x:v>
      </x:c>
    </x:row>
    <x:row r="358" ht="74" customHeight="1">
      <x:c r="A358" s="104" t="str">
        <x:v>H-D1-01</x:v>
      </x:c>
      <x:c r="B358" s="104" t="str">
        <x:v>H-D1-01-S04</x:v>
      </x:c>
      <x:c r="C358" s="110" t="n">
        <x:v>4</x:v>
      </x:c>
      <x:c r="D358" s="104" t="str">
        <x:v>OBJECTIVE</x:v>
      </x:c>
      <x:c r="E358" s="104" t="str">
        <x:v>SOLVE_PUZZLE</x:v>
      </x:c>
      <x:c r="F358" s="104" t="str">
        <x:v>OBJECTIVE</x:v>
      </x:c>
      <x:c r="G358" s="104" t="str">
        <x:v>SUBMIT_ANSWER</x:v>
      </x:c>
      <x:c r="H358" s="104" t="str">
        <x:v>TEAM</x:v>
      </x:c>
      <x:c r="I358" s="104" t="str">
        <x:v>place_day_1_fontana_delle_tartarughe</x:v>
      </x:c>
      <x:c r="J358" s="104" t="str">
        <x:v>PZ-H-D1-01</x:v>
      </x:c>
      <x:c r="K358" s="104" t="str">
        <x:v>Wie viele Schildkröten klettern zum oberen Becken?</x:v>
      </x:c>
      <x:c r="L358" s="104" t="str">
        <x:v>puzzleResult == CORRECT</x:v>
      </x:c>
      <x:c r="M358" s="104" t="str">
        <x:v>puzzleComplete=true</x:v>
      </x:c>
      <x:c r="N358" s="104" t="str">
        <x:v>Vier Positionen antippen.</x:v>
      </x:c>
      <x:c r="O358" s="104" t="str">
        <x:v>REQUIRED</x:v>
      </x:c>
      <x:c r="P358" s="104" t="str">
        <x:v>questAccepted</x:v>
      </x:c>
      <x:c r="Q358" s="104" t="str">
        <x:v>PUZZLE</x:v>
      </x:c>
      <x:c r="R358" s="104" t="str">
        <x:v>quest.puzzle.solved</x:v>
      </x:c>
      <x:c r="S358" s="104" t="str">
        <x:v>Penalty: Kein Erstschlagbonus</x:v>
      </x:c>
    </x:row>
    <x:row r="359" ht="74" customHeight="1">
      <x:c r="A359" s="101" t="str">
        <x:v>H-D1-01</x:v>
      </x:c>
      <x:c r="B359" s="101" t="str">
        <x:v>H-D1-01-S05</x:v>
      </x:c>
      <x:c r="C359" s="109" t="n">
        <x:v>5</x:v>
      </x:c>
      <x:c r="D359" s="101" t="str">
        <x:v>OBJECTIVE</x:v>
      </x:c>
      <x:c r="E359" s="101" t="str">
        <x:v>DEFEAT_ENEMY</x:v>
      </x:c>
      <x:c r="F359" s="101" t="str">
        <x:v>OBJECTIVE</x:v>
      </x:c>
      <x:c r="G359" s="101" t="str">
        <x:v>COMPLETE_ENCOUNTER</x:v>
      </x:c>
      <x:c r="H359" s="101" t="str">
        <x:v>TEAM</x:v>
      </x:c>
      <x:c r="I359" s="101" t="str">
        <x:v>place_day_1_fontana_delle_tartarughe</x:v>
      </x:c>
      <x:c r="J359" s="101" t="str">
        <x:v>CP-QE-TARTARUGHE</x:v>
      </x:c>
      <x:c r="K359" s="101" t="str">
        <x:v>Custode delle Tartarughe in der teambezogenen Instanz besiegen.</x:v>
      </x:c>
      <x:c r="L359" s="101" t="str">
        <x:v>combatState == WON</x:v>
      </x:c>
      <x:c r="M359" s="101" t="str">
        <x:v>encounterComplete=true</x:v>
      </x:c>
      <x:c r="N359" s="101" t="str">
        <x:v>Hidden Quest bleibt aktiv; Wiederbelebungsregeln gelten.</x:v>
      </x:c>
      <x:c r="O359" s="101" t="str">
        <x:v>REQUIRED</x:v>
      </x:c>
      <x:c r="P359" s="101" t="str">
        <x:v>puzzleComplete</x:v>
      </x:c>
      <x:c r="Q359" s="101" t="str">
        <x:v>COMBAT</x:v>
      </x:c>
      <x:c r="R359" s="101" t="str">
        <x:v>quest.combat.completed</x:v>
      </x:c>
      <x:c r="S359" s="101" t="str">
        <x:v>Kein normaler Respawn.</x:v>
      </x:c>
    </x:row>
    <x:row r="360" ht="74" customHeight="1">
      <x:c r="A360" s="104" t="str">
        <x:v>H-D1-01</x:v>
      </x:c>
      <x:c r="B360" s="104" t="str">
        <x:v>H-D1-01-S06</x:v>
      </x:c>
      <x:c r="C360" s="110" t="n">
        <x:v>6</x:v>
      </x:c>
      <x:c r="D360" s="104" t="str">
        <x:v>COMPLETE</x:v>
      </x:c>
      <x:c r="E360" s="104" t="str">
        <x:v>TALK_TO_NPC</x:v>
      </x:c>
      <x:c r="F360" s="104" t="str">
        <x:v>OBJECTIVE</x:v>
      </x:c>
      <x:c r="G360" s="104" t="str">
        <x:v>COMPLETE_DIALOGUE</x:v>
      </x:c>
      <x:c r="H360" s="104" t="str">
        <x:v>TEAM</x:v>
      </x:c>
      <x:c r="I360" s="104" t="str">
        <x:v>place_day_1_fontana_delle_tartarughe</x:v>
      </x:c>
      <x:c r="J360" s="104" t="str">
        <x:v>H-D1-01-COMPLETE</x:v>
      </x:c>
      <x:c r="K360" s="104" t="str">
        <x:v>Abschlussdialog beziehungsweise Eventresultat anzeigen.</x:v>
      </x:c>
      <x:c r="L360" s="104" t="str">
        <x:v>dialogSequenceComplete('H-D1-01-COMPLETE')</x:v>
      </x:c>
      <x:c r="M360" s="104" t="str">
        <x:v>state=REWARD</x:v>
      </x:c>
      <x:c r="N360" s="104" t="str">
        <x:v>Erneut anzeigen.</x:v>
      </x:c>
      <x:c r="O360" s="104" t="str">
        <x:v>REQUIRED</x:v>
      </x:c>
      <x:c r="P360" s="104" t="str">
        <x:v>allRequiredObjectivesComplete</x:v>
      </x:c>
      <x:c r="Q360" s="104" t="str">
        <x:v>DIALOGUE</x:v>
      </x:c>
      <x:c r="R360" s="104" t="str">
        <x:v>quest.completed</x:v>
      </x:c>
      <x:c r="S360" s="104" t="str"/>
    </x:row>
    <x:row r="361" ht="74" customHeight="1">
      <x:c r="A361" s="101" t="str">
        <x:v>H-D1-01</x:v>
      </x:c>
      <x:c r="B361" s="101" t="str">
        <x:v>H-D1-01-S07</x:v>
      </x:c>
      <x:c r="C361" s="109" t="n">
        <x:v>7</x:v>
      </x:c>
      <x:c r="D361" s="101" t="str">
        <x:v>REWARD</x:v>
      </x:c>
      <x:c r="E361" s="101" t="str">
        <x:v>GRANT_REWARD</x:v>
      </x:c>
      <x:c r="F361" s="101" t="str">
        <x:v>SYSTEM_ACTION</x:v>
      </x:c>
      <x:c r="G361" s="101" t="str"/>
      <x:c r="H361" s="101" t="str">
        <x:v>TEAM</x:v>
      </x:c>
      <x:c r="I361" s="101" t="str"/>
      <x:c r="J361" s="101" t="str">
        <x:v>H-D1-01</x:v>
      </x:c>
      <x:c r="K361" s="101" t="str">
        <x:v>Belohnung atomar vergeben; Medien-/Bosswertung gegebenenfalls als PENDING_REVIEW markieren.</x:v>
      </x:c>
      <x:c r="L361" s="101" t="str">
        <x:v>rewardTransactionCommitted || rewardStatus == PENDING_REVIEW</x:v>
      </x:c>
      <x:c r="M361" s="101" t="str">
        <x:v>state=COMPLETED</x:v>
      </x:c>
      <x:c r="N361" s="101" t="str">
        <x:v>Idempotenter Retry.</x:v>
      </x:c>
      <x:c r="O361" s="101" t="str">
        <x:v>REQUIRED</x:v>
      </x:c>
      <x:c r="P361" s="101" t="str">
        <x:v>questComplete</x:v>
      </x:c>
      <x:c r="Q361" s="101" t="str">
        <x:v>REWARD</x:v>
      </x:c>
      <x:c r="R361" s="101" t="str">
        <x:v>quest.reward.granted</x:v>
      </x:c>
      <x:c r="S361" s="101" t="str"/>
    </x:row>
    <x:row r="362" ht="74" customHeight="1">
      <x:c r="A362" s="104" t="str">
        <x:v>H-D1-02</x:v>
      </x:c>
      <x:c r="B362" s="104" t="str">
        <x:v>H-D1-02-S01</x:v>
      </x:c>
      <x:c r="C362" s="110" t="n">
        <x:v>1</x:v>
      </x:c>
      <x:c r="D362" s="104" t="str">
        <x:v>DISCOVER</x:v>
      </x:c>
      <x:c r="E362" s="104" t="str">
        <x:v>DISCOVER_NPC</x:v>
      </x:c>
      <x:c r="F362" s="104" t="str">
        <x:v>FLOW_ACTION</x:v>
      </x:c>
      <x:c r="G362" s="104" t="str"/>
      <x:c r="H362" s="104" t="str">
        <x:v>TEAM</x:v>
      </x:c>
      <x:c r="I362" s="104" t="str">
        <x:v>place_day_1_acquedotto_vergine</x:v>
      </x:c>
      <x:c r="J362" s="104" t="str">
        <x:v>npc_rattus_virgo</x:v>
      </x:c>
      <x:c r="K362" s="104" t="str">
        <x:v>Sonderquest Ratte des Aquädukts entdecken.</x:v>
      </x:c>
      <x:c r="L362" s="104" t="str">
        <x:v>npcDiscovered &amp;&amp; interactionGateOpen</x:v>
      </x:c>
      <x:c r="M362" s="104" t="str">
        <x:v>state=DIALOGUE</x:v>
      </x:c>
      <x:c r="N362" s="104" t="str">
        <x:v>Trigger bleibt erneut verfügbar.</x:v>
      </x:c>
      <x:c r="O362" s="104" t="str">
        <x:v>REQUIRED</x:v>
      </x:c>
      <x:c r="P362" s="104" t="str"/>
      <x:c r="Q362" s="104" t="str">
        <x:v>MAP_OBJECT_SHEET</x:v>
      </x:c>
      <x:c r="R362" s="104" t="str">
        <x:v>quest.discovered</x:v>
      </x:c>
      <x:c r="S362" s="104" t="str">
        <x:v>Hidden ohne Slot; Medien/Boss mit separater Kapazität.</x:v>
      </x:c>
    </x:row>
    <x:row r="363" ht="74" customHeight="1">
      <x:c r="A363" s="101" t="str">
        <x:v>H-D1-02</x:v>
      </x:c>
      <x:c r="B363" s="101" t="str">
        <x:v>H-D1-02-S02</x:v>
      </x:c>
      <x:c r="C363" s="109" t="n">
        <x:v>2</x:v>
      </x:c>
      <x:c r="D363" s="101" t="str">
        <x:v>DIALOGUE</x:v>
      </x:c>
      <x:c r="E363" s="101" t="str">
        <x:v>TALK_TO_NPC</x:v>
      </x:c>
      <x:c r="F363" s="101" t="str">
        <x:v>OBJECTIVE</x:v>
      </x:c>
      <x:c r="G363" s="101" t="str">
        <x:v>COMPLETE_DIALOGUE</x:v>
      </x:c>
      <x:c r="H363" s="101" t="str">
        <x:v>TEAM</x:v>
      </x:c>
      <x:c r="I363" s="101" t="str">
        <x:v>place_day_1_acquedotto_vergine</x:v>
      </x:c>
      <x:c r="J363" s="101" t="str">
        <x:v>H-D1-02-OFFER</x:v>
      </x:c>
      <x:c r="K363" s="101" t="str">
        <x:v>Questangebot anzeigen.</x:v>
      </x:c>
      <x:c r="L363" s="101" t="str">
        <x:v>dialogSequenceComplete('H-D1-02-OFFER')</x:v>
      </x:c>
      <x:c r="M363" s="101" t="str">
        <x:v>state=ACCEPT</x:v>
      </x:c>
      <x:c r="N363" s="101" t="str">
        <x:v>Dialog wiederholbar.</x:v>
      </x:c>
      <x:c r="O363" s="101" t="str">
        <x:v>REQUIRED</x:v>
      </x:c>
      <x:c r="P363" s="101" t="str"/>
      <x:c r="Q363" s="101" t="str">
        <x:v>DIALOGUE</x:v>
      </x:c>
      <x:c r="R363" s="101" t="str">
        <x:v>quest.dialogue.offer</x:v>
      </x:c>
      <x:c r="S363" s="101" t="str"/>
    </x:row>
    <x:row r="364" ht="74" customHeight="1">
      <x:c r="A364" s="104" t="str">
        <x:v>H-D1-02</x:v>
      </x:c>
      <x:c r="B364" s="104" t="str">
        <x:v>H-D1-02-S03</x:v>
      </x:c>
      <x:c r="C364" s="110" t="n">
        <x:v>3</x:v>
      </x:c>
      <x:c r="D364" s="104" t="str">
        <x:v>ACCEPT</x:v>
      </x:c>
      <x:c r="E364" s="104" t="str">
        <x:v>ACCEPT_QUEST</x:v>
      </x:c>
      <x:c r="F364" s="104" t="str">
        <x:v>FLOW_ACTION</x:v>
      </x:c>
      <x:c r="G364" s="104" t="str"/>
      <x:c r="H364" s="104" t="str">
        <x:v>TEAM</x:v>
      </x:c>
      <x:c r="I364" s="104" t="str">
        <x:v>place_day_1_acquedotto_vergine</x:v>
      </x:c>
      <x:c r="J364" s="104" t="str">
        <x:v>H-D1-02</x:v>
      </x:c>
      <x:c r="K364" s="104" t="str">
        <x:v>Sonderquest annehmen beziehungsweise Bossbeitritt bestätigen.</x:v>
      </x:c>
      <x:c r="L364" s="104" t="str">
        <x:v>teamVoteResolved</x:v>
      </x:c>
      <x:c r="M364" s="104" t="str">
        <x:v>state=OBJECTIVE</x:v>
      </x:c>
      <x:c r="N364" s="104" t="str">
        <x:v>Keine reguläre Slotwirkung.</x:v>
      </x:c>
      <x:c r="O364" s="104" t="str">
        <x:v>REQUIRED</x:v>
      </x:c>
      <x:c r="P364" s="104" t="str"/>
      <x:c r="Q364" s="104" t="str">
        <x:v>QUEST_ACCEPT</x:v>
      </x:c>
      <x:c r="R364" s="104" t="str">
        <x:v>quest.accepted</x:v>
      </x:c>
      <x:c r="S364" s="104" t="str">
        <x:v>Hidden Quests zählen nicht zum regulären Limit.</x:v>
      </x:c>
    </x:row>
    <x:row r="365" ht="74" customHeight="1">
      <x:c r="A365" s="101" t="str">
        <x:v>H-D1-02</x:v>
      </x:c>
      <x:c r="B365" s="101" t="str">
        <x:v>H-D1-02-S04</x:v>
      </x:c>
      <x:c r="C365" s="109" t="n">
        <x:v>4</x:v>
      </x:c>
      <x:c r="D365" s="101" t="str">
        <x:v>OBJECTIVE</x:v>
      </x:c>
      <x:c r="E365" s="101" t="str">
        <x:v>SOLVE_PUZZLE</x:v>
      </x:c>
      <x:c r="F365" s="101" t="str">
        <x:v>OBJECTIVE</x:v>
      </x:c>
      <x:c r="G365" s="101" t="str">
        <x:v>SUBMIT_ANSWER</x:v>
      </x:c>
      <x:c r="H365" s="101" t="str">
        <x:v>TEAM</x:v>
      </x:c>
      <x:c r="I365" s="101" t="str">
        <x:v>place_day_1_acquedotto_vergine</x:v>
      </x:c>
      <x:c r="J365" s="101" t="str">
        <x:v>PZ-H-D1-02</x:v>
      </x:c>
      <x:c r="K365" s="101" t="str">
        <x:v>Wie viele kleinere antike Arkaden sind nebeneinander erhalten?</x:v>
      </x:c>
      <x:c r="L365" s="101" t="str">
        <x:v>puzzleResult == CORRECT</x:v>
      </x:c>
      <x:c r="M365" s="101" t="str">
        <x:v>puzzleComplete=true</x:v>
      </x:c>
      <x:c r="N365" s="101" t="str">
        <x:v>Materialfrage statt Zählung.</x:v>
      </x:c>
      <x:c r="O365" s="101" t="str">
        <x:v>REQUIRED</x:v>
      </x:c>
      <x:c r="P365" s="101" t="str">
        <x:v>questAccepted</x:v>
      </x:c>
      <x:c r="Q365" s="101" t="str">
        <x:v>PUZZLE</x:v>
      </x:c>
      <x:c r="R365" s="101" t="str">
        <x:v>quest.puzzle.solved</x:v>
      </x:c>
      <x:c r="S365" s="101" t="str">
        <x:v>Penalty: Ratte behält Ausweichen</x:v>
      </x:c>
    </x:row>
    <x:row r="366" ht="74" customHeight="1">
      <x:c r="A366" s="104" t="str">
        <x:v>H-D1-02</x:v>
      </x:c>
      <x:c r="B366" s="104" t="str">
        <x:v>H-D1-02-S05</x:v>
      </x:c>
      <x:c r="C366" s="110" t="n">
        <x:v>5</x:v>
      </x:c>
      <x:c r="D366" s="104" t="str">
        <x:v>OBJECTIVE</x:v>
      </x:c>
      <x:c r="E366" s="104" t="str">
        <x:v>DEFEAT_ENEMY</x:v>
      </x:c>
      <x:c r="F366" s="104" t="str">
        <x:v>OBJECTIVE</x:v>
      </x:c>
      <x:c r="G366" s="104" t="str">
        <x:v>COMPLETE_ENCOUNTER</x:v>
      </x:c>
      <x:c r="H366" s="104" t="str">
        <x:v>TEAM</x:v>
      </x:c>
      <x:c r="I366" s="104" t="str">
        <x:v>place_day_1_acquedotto_vergine</x:v>
      </x:c>
      <x:c r="J366" s="104" t="str">
        <x:v>CP-QE-RATTO</x:v>
      </x:c>
      <x:c r="K366" s="104" t="str">
        <x:v>Ratto dell’Acqua Virgo in der teambezogenen Instanz besiegen.</x:v>
      </x:c>
      <x:c r="L366" s="104" t="str">
        <x:v>combatState == WON</x:v>
      </x:c>
      <x:c r="M366" s="104" t="str">
        <x:v>encounterComplete=true</x:v>
      </x:c>
      <x:c r="N366" s="104" t="str">
        <x:v>Hidden Quest bleibt aktiv; Wiederbelebungsregeln gelten.</x:v>
      </x:c>
      <x:c r="O366" s="104" t="str">
        <x:v>REQUIRED</x:v>
      </x:c>
      <x:c r="P366" s="104" t="str">
        <x:v>puzzleComplete</x:v>
      </x:c>
      <x:c r="Q366" s="104" t="str">
        <x:v>COMBAT</x:v>
      </x:c>
      <x:c r="R366" s="104" t="str">
        <x:v>quest.combat.completed</x:v>
      </x:c>
      <x:c r="S366" s="104" t="str">
        <x:v>Kein normaler Respawn.</x:v>
      </x:c>
    </x:row>
    <x:row r="367" ht="74" customHeight="1">
      <x:c r="A367" s="101" t="str">
        <x:v>H-D1-02</x:v>
      </x:c>
      <x:c r="B367" s="101" t="str">
        <x:v>H-D1-02-S06</x:v>
      </x:c>
      <x:c r="C367" s="109" t="n">
        <x:v>6</x:v>
      </x:c>
      <x:c r="D367" s="101" t="str">
        <x:v>COMPLETE</x:v>
      </x:c>
      <x:c r="E367" s="101" t="str">
        <x:v>TALK_TO_NPC</x:v>
      </x:c>
      <x:c r="F367" s="101" t="str">
        <x:v>OBJECTIVE</x:v>
      </x:c>
      <x:c r="G367" s="101" t="str">
        <x:v>COMPLETE_DIALOGUE</x:v>
      </x:c>
      <x:c r="H367" s="101" t="str">
        <x:v>TEAM</x:v>
      </x:c>
      <x:c r="I367" s="101" t="str">
        <x:v>place_day_1_acquedotto_vergine</x:v>
      </x:c>
      <x:c r="J367" s="101" t="str">
        <x:v>H-D1-02-COMPLETE</x:v>
      </x:c>
      <x:c r="K367" s="101" t="str">
        <x:v>Abschlussdialog beziehungsweise Eventresultat anzeigen.</x:v>
      </x:c>
      <x:c r="L367" s="101" t="str">
        <x:v>dialogSequenceComplete('H-D1-02-COMPLETE')</x:v>
      </x:c>
      <x:c r="M367" s="101" t="str">
        <x:v>state=REWARD</x:v>
      </x:c>
      <x:c r="N367" s="101" t="str">
        <x:v>Erneut anzeigen.</x:v>
      </x:c>
      <x:c r="O367" s="101" t="str">
        <x:v>REQUIRED</x:v>
      </x:c>
      <x:c r="P367" s="101" t="str">
        <x:v>allRequiredObjectivesComplete</x:v>
      </x:c>
      <x:c r="Q367" s="101" t="str">
        <x:v>DIALOGUE</x:v>
      </x:c>
      <x:c r="R367" s="101" t="str">
        <x:v>quest.completed</x:v>
      </x:c>
      <x:c r="S367" s="101" t="str"/>
    </x:row>
    <x:row r="368" ht="74" customHeight="1">
      <x:c r="A368" s="104" t="str">
        <x:v>H-D1-02</x:v>
      </x:c>
      <x:c r="B368" s="104" t="str">
        <x:v>H-D1-02-S07</x:v>
      </x:c>
      <x:c r="C368" s="110" t="n">
        <x:v>7</x:v>
      </x:c>
      <x:c r="D368" s="104" t="str">
        <x:v>REWARD</x:v>
      </x:c>
      <x:c r="E368" s="104" t="str">
        <x:v>GRANT_REWARD</x:v>
      </x:c>
      <x:c r="F368" s="104" t="str">
        <x:v>SYSTEM_ACTION</x:v>
      </x:c>
      <x:c r="G368" s="104" t="str"/>
      <x:c r="H368" s="104" t="str">
        <x:v>TEAM</x:v>
      </x:c>
      <x:c r="I368" s="104" t="str"/>
      <x:c r="J368" s="104" t="str">
        <x:v>H-D1-02</x:v>
      </x:c>
      <x:c r="K368" s="104" t="str">
        <x:v>Belohnung atomar vergeben; Medien-/Bosswertung gegebenenfalls als PENDING_REVIEW markieren.</x:v>
      </x:c>
      <x:c r="L368" s="104" t="str">
        <x:v>rewardTransactionCommitted || rewardStatus == PENDING_REVIEW</x:v>
      </x:c>
      <x:c r="M368" s="104" t="str">
        <x:v>state=COMPLETED</x:v>
      </x:c>
      <x:c r="N368" s="104" t="str">
        <x:v>Idempotenter Retry.</x:v>
      </x:c>
      <x:c r="O368" s="104" t="str">
        <x:v>REQUIRED</x:v>
      </x:c>
      <x:c r="P368" s="104" t="str">
        <x:v>questComplete</x:v>
      </x:c>
      <x:c r="Q368" s="104" t="str">
        <x:v>REWARD</x:v>
      </x:c>
      <x:c r="R368" s="104" t="str">
        <x:v>quest.reward.granted</x:v>
      </x:c>
      <x:c r="S368" s="104" t="str"/>
    </x:row>
    <x:row r="369" ht="74" customHeight="1">
      <x:c r="A369" s="101" t="str">
        <x:v>H-D1-03</x:v>
      </x:c>
      <x:c r="B369" s="101" t="str">
        <x:v>H-D1-03-S01</x:v>
      </x:c>
      <x:c r="C369" s="109" t="n">
        <x:v>1</x:v>
      </x:c>
      <x:c r="D369" s="101" t="str">
        <x:v>DISCOVER</x:v>
      </x:c>
      <x:c r="E369" s="101" t="str">
        <x:v>DISCOVER_NPC</x:v>
      </x:c>
      <x:c r="F369" s="101" t="str">
        <x:v>FLOW_ACTION</x:v>
      </x:c>
      <x:c r="G369" s="101" t="str"/>
      <x:c r="H369" s="101" t="str">
        <x:v>TEAM</x:v>
      </x:c>
      <x:c r="I369" s="101" t="str">
        <x:v>place_day_1_fontana_dei_satirelli</x:v>
      </x:c>
      <x:c r="J369" s="101" t="str">
        <x:v>npc_satirelli_gemelli</x:v>
      </x:c>
      <x:c r="K369" s="101" t="str">
        <x:v>Sonderquest Die Satirelli entdecken.</x:v>
      </x:c>
      <x:c r="L369" s="101" t="str">
        <x:v>npcDiscovered &amp;&amp; interactionGateOpen</x:v>
      </x:c>
      <x:c r="M369" s="101" t="str">
        <x:v>state=DIALOGUE</x:v>
      </x:c>
      <x:c r="N369" s="101" t="str">
        <x:v>Trigger bleibt erneut verfügbar.</x:v>
      </x:c>
      <x:c r="O369" s="101" t="str">
        <x:v>REQUIRED</x:v>
      </x:c>
      <x:c r="P369" s="101" t="str"/>
      <x:c r="Q369" s="101" t="str">
        <x:v>MAP_OBJECT_SHEET</x:v>
      </x:c>
      <x:c r="R369" s="101" t="str">
        <x:v>quest.discovered</x:v>
      </x:c>
      <x:c r="S369" s="101" t="str">
        <x:v>Hidden ohne Slot; Medien/Boss mit separater Kapazität.</x:v>
      </x:c>
    </x:row>
    <x:row r="370" ht="74" customHeight="1">
      <x:c r="A370" s="104" t="str">
        <x:v>H-D1-03</x:v>
      </x:c>
      <x:c r="B370" s="104" t="str">
        <x:v>H-D1-03-S02</x:v>
      </x:c>
      <x:c r="C370" s="110" t="n">
        <x:v>2</x:v>
      </x:c>
      <x:c r="D370" s="104" t="str">
        <x:v>DIALOGUE</x:v>
      </x:c>
      <x:c r="E370" s="104" t="str">
        <x:v>TALK_TO_NPC</x:v>
      </x:c>
      <x:c r="F370" s="104" t="str">
        <x:v>OBJECTIVE</x:v>
      </x:c>
      <x:c r="G370" s="104" t="str">
        <x:v>COMPLETE_DIALOGUE</x:v>
      </x:c>
      <x:c r="H370" s="104" t="str">
        <x:v>TEAM</x:v>
      </x:c>
      <x:c r="I370" s="104" t="str">
        <x:v>place_day_1_fontana_dei_satirelli</x:v>
      </x:c>
      <x:c r="J370" s="104" t="str">
        <x:v>H-D1-03-OFFER</x:v>
      </x:c>
      <x:c r="K370" s="104" t="str">
        <x:v>Questangebot anzeigen.</x:v>
      </x:c>
      <x:c r="L370" s="104" t="str">
        <x:v>dialogSequenceComplete('H-D1-03-OFFER')</x:v>
      </x:c>
      <x:c r="M370" s="104" t="str">
        <x:v>state=ACCEPT</x:v>
      </x:c>
      <x:c r="N370" s="104" t="str">
        <x:v>Dialog wiederholbar.</x:v>
      </x:c>
      <x:c r="O370" s="104" t="str">
        <x:v>REQUIRED</x:v>
      </x:c>
      <x:c r="P370" s="104" t="str"/>
      <x:c r="Q370" s="104" t="str">
        <x:v>DIALOGUE</x:v>
      </x:c>
      <x:c r="R370" s="104" t="str">
        <x:v>quest.dialogue.offer</x:v>
      </x:c>
      <x:c r="S370" s="104" t="str"/>
    </x:row>
    <x:row r="371" ht="74" customHeight="1">
      <x:c r="A371" s="101" t="str">
        <x:v>H-D1-03</x:v>
      </x:c>
      <x:c r="B371" s="101" t="str">
        <x:v>H-D1-03-S03</x:v>
      </x:c>
      <x:c r="C371" s="109" t="n">
        <x:v>3</x:v>
      </x:c>
      <x:c r="D371" s="101" t="str">
        <x:v>ACCEPT</x:v>
      </x:c>
      <x:c r="E371" s="101" t="str">
        <x:v>ACCEPT_QUEST</x:v>
      </x:c>
      <x:c r="F371" s="101" t="str">
        <x:v>FLOW_ACTION</x:v>
      </x:c>
      <x:c r="G371" s="101" t="str"/>
      <x:c r="H371" s="101" t="str">
        <x:v>TEAM</x:v>
      </x:c>
      <x:c r="I371" s="101" t="str">
        <x:v>place_day_1_fontana_dei_satirelli</x:v>
      </x:c>
      <x:c r="J371" s="101" t="str">
        <x:v>H-D1-03</x:v>
      </x:c>
      <x:c r="K371" s="101" t="str">
        <x:v>Sonderquest annehmen beziehungsweise Bossbeitritt bestätigen.</x:v>
      </x:c>
      <x:c r="L371" s="101" t="str">
        <x:v>teamVoteResolved</x:v>
      </x:c>
      <x:c r="M371" s="101" t="str">
        <x:v>state=OBJECTIVE</x:v>
      </x:c>
      <x:c r="N371" s="101" t="str">
        <x:v>Keine reguläre Slotwirkung.</x:v>
      </x:c>
      <x:c r="O371" s="101" t="str">
        <x:v>REQUIRED</x:v>
      </x:c>
      <x:c r="P371" s="101" t="str"/>
      <x:c r="Q371" s="101" t="str">
        <x:v>QUEST_ACCEPT</x:v>
      </x:c>
      <x:c r="R371" s="101" t="str">
        <x:v>quest.accepted</x:v>
      </x:c>
      <x:c r="S371" s="101" t="str">
        <x:v>Hidden Quests zählen nicht zum regulären Limit.</x:v>
      </x:c>
    </x:row>
    <x:row r="372" ht="74" customHeight="1">
      <x:c r="A372" s="104" t="str">
        <x:v>H-D1-03</x:v>
      </x:c>
      <x:c r="B372" s="104" t="str">
        <x:v>H-D1-03-S04</x:v>
      </x:c>
      <x:c r="C372" s="110" t="n">
        <x:v>4</x:v>
      </x:c>
      <x:c r="D372" s="104" t="str">
        <x:v>OBJECTIVE</x:v>
      </x:c>
      <x:c r="E372" s="104" t="str">
        <x:v>SOLVE_PUZZLE</x:v>
      </x:c>
      <x:c r="F372" s="104" t="str">
        <x:v>OBJECTIVE</x:v>
      </x:c>
      <x:c r="G372" s="104" t="str">
        <x:v>SUBMIT_ANSWER</x:v>
      </x:c>
      <x:c r="H372" s="104" t="str">
        <x:v>TEAM</x:v>
      </x:c>
      <x:c r="I372" s="104" t="str">
        <x:v>place_day_1_fontana_dei_satirelli</x:v>
      </x:c>
      <x:c r="J372" s="104" t="str">
        <x:v>PZ-H-D1-03</x:v>
      </x:c>
      <x:c r="K372" s="104" t="str">
        <x:v>Ordnet Flöte und Traubenranke den beiden markierten Satyrpositionen zu.</x:v>
      </x:c>
      <x:c r="L372" s="104" t="str">
        <x:v>puzzleResult == CORRECT</x:v>
      </x:c>
      <x:c r="M372" s="104" t="str">
        <x:v>puzzleComplete=true</x:v>
      </x:c>
      <x:c r="N372" s="104" t="str">
        <x:v>Welche mythologischen Wesen seht ihr? Satyrn.</x:v>
      </x:c>
      <x:c r="O372" s="104" t="str">
        <x:v>REQUIRED</x:v>
      </x:c>
      <x:c r="P372" s="104" t="str">
        <x:v>questAccepted</x:v>
      </x:c>
      <x:c r="Q372" s="104" t="str">
        <x:v>PUZZLE</x:v>
      </x:c>
      <x:c r="R372" s="104" t="str">
        <x:v>quest.puzzle.solved</x:v>
      </x:c>
      <x:c r="S372" s="104" t="str">
        <x:v>Penalty: Kampf startet ohne Verwirrungsdebuff</x:v>
      </x:c>
    </x:row>
    <x:row r="373" ht="74" customHeight="1">
      <x:c r="A373" s="101" t="str">
        <x:v>H-D1-03</x:v>
      </x:c>
      <x:c r="B373" s="101" t="str">
        <x:v>H-D1-03-S05</x:v>
      </x:c>
      <x:c r="C373" s="109" t="n">
        <x:v>5</x:v>
      </x:c>
      <x:c r="D373" s="101" t="str">
        <x:v>OBJECTIVE</x:v>
      </x:c>
      <x:c r="E373" s="101" t="str">
        <x:v>DEFEAT_ENEMY</x:v>
      </x:c>
      <x:c r="F373" s="101" t="str">
        <x:v>OBJECTIVE</x:v>
      </x:c>
      <x:c r="G373" s="101" t="str">
        <x:v>COMPLETE_ENCOUNTER</x:v>
      </x:c>
      <x:c r="H373" s="101" t="str">
        <x:v>TEAM</x:v>
      </x:c>
      <x:c r="I373" s="101" t="str">
        <x:v>place_day_1_fontana_dei_satirelli</x:v>
      </x:c>
      <x:c r="J373" s="101" t="str">
        <x:v>CP-QE-SATIRELLI</x:v>
      </x:c>
      <x:c r="K373" s="101" t="str">
        <x:v>I Satirelli Gemelli in der teambezogenen Instanz besiegen.</x:v>
      </x:c>
      <x:c r="L373" s="101" t="str">
        <x:v>combatState == WON</x:v>
      </x:c>
      <x:c r="M373" s="101" t="str">
        <x:v>encounterComplete=true</x:v>
      </x:c>
      <x:c r="N373" s="101" t="str">
        <x:v>Hidden Quest bleibt aktiv; Wiederbelebungsregeln gelten.</x:v>
      </x:c>
      <x:c r="O373" s="101" t="str">
        <x:v>REQUIRED</x:v>
      </x:c>
      <x:c r="P373" s="101" t="str">
        <x:v>puzzleComplete</x:v>
      </x:c>
      <x:c r="Q373" s="101" t="str">
        <x:v>COMBAT</x:v>
      </x:c>
      <x:c r="R373" s="101" t="str">
        <x:v>quest.combat.completed</x:v>
      </x:c>
      <x:c r="S373" s="101" t="str">
        <x:v>Kein normaler Respawn.</x:v>
      </x:c>
    </x:row>
    <x:row r="374" ht="74" customHeight="1">
      <x:c r="A374" s="104" t="str">
        <x:v>H-D1-03</x:v>
      </x:c>
      <x:c r="B374" s="104" t="str">
        <x:v>H-D1-03-S06</x:v>
      </x:c>
      <x:c r="C374" s="110" t="n">
        <x:v>6</x:v>
      </x:c>
      <x:c r="D374" s="104" t="str">
        <x:v>COMPLETE</x:v>
      </x:c>
      <x:c r="E374" s="104" t="str">
        <x:v>TALK_TO_NPC</x:v>
      </x:c>
      <x:c r="F374" s="104" t="str">
        <x:v>OBJECTIVE</x:v>
      </x:c>
      <x:c r="G374" s="104" t="str">
        <x:v>COMPLETE_DIALOGUE</x:v>
      </x:c>
      <x:c r="H374" s="104" t="str">
        <x:v>TEAM</x:v>
      </x:c>
      <x:c r="I374" s="104" t="str">
        <x:v>place_day_1_fontana_dei_satirelli</x:v>
      </x:c>
      <x:c r="J374" s="104" t="str">
        <x:v>H-D1-03-COMPLETE</x:v>
      </x:c>
      <x:c r="K374" s="104" t="str">
        <x:v>Abschlussdialog beziehungsweise Eventresultat anzeigen.</x:v>
      </x:c>
      <x:c r="L374" s="104" t="str">
        <x:v>dialogSequenceComplete('H-D1-03-COMPLETE')</x:v>
      </x:c>
      <x:c r="M374" s="104" t="str">
        <x:v>state=REWARD</x:v>
      </x:c>
      <x:c r="N374" s="104" t="str">
        <x:v>Erneut anzeigen.</x:v>
      </x:c>
      <x:c r="O374" s="104" t="str">
        <x:v>REQUIRED</x:v>
      </x:c>
      <x:c r="P374" s="104" t="str">
        <x:v>allRequiredObjectivesComplete</x:v>
      </x:c>
      <x:c r="Q374" s="104" t="str">
        <x:v>DIALOGUE</x:v>
      </x:c>
      <x:c r="R374" s="104" t="str">
        <x:v>quest.completed</x:v>
      </x:c>
      <x:c r="S374" s="104" t="str"/>
    </x:row>
    <x:row r="375" ht="74" customHeight="1">
      <x:c r="A375" s="101" t="str">
        <x:v>H-D1-03</x:v>
      </x:c>
      <x:c r="B375" s="101" t="str">
        <x:v>H-D1-03-S07</x:v>
      </x:c>
      <x:c r="C375" s="109" t="n">
        <x:v>7</x:v>
      </x:c>
      <x:c r="D375" s="101" t="str">
        <x:v>REWARD</x:v>
      </x:c>
      <x:c r="E375" s="101" t="str">
        <x:v>GRANT_REWARD</x:v>
      </x:c>
      <x:c r="F375" s="101" t="str">
        <x:v>SYSTEM_ACTION</x:v>
      </x:c>
      <x:c r="G375" s="101" t="str"/>
      <x:c r="H375" s="101" t="str">
        <x:v>TEAM</x:v>
      </x:c>
      <x:c r="I375" s="101" t="str"/>
      <x:c r="J375" s="101" t="str">
        <x:v>H-D1-03</x:v>
      </x:c>
      <x:c r="K375" s="101" t="str">
        <x:v>Belohnung atomar vergeben; Medien-/Bosswertung gegebenenfalls als PENDING_REVIEW markieren.</x:v>
      </x:c>
      <x:c r="L375" s="101" t="str">
        <x:v>rewardTransactionCommitted || rewardStatus == PENDING_REVIEW</x:v>
      </x:c>
      <x:c r="M375" s="101" t="str">
        <x:v>state=COMPLETED</x:v>
      </x:c>
      <x:c r="N375" s="101" t="str">
        <x:v>Idempotenter Retry.</x:v>
      </x:c>
      <x:c r="O375" s="101" t="str">
        <x:v>REQUIRED</x:v>
      </x:c>
      <x:c r="P375" s="101" t="str">
        <x:v>questComplete</x:v>
      </x:c>
      <x:c r="Q375" s="101" t="str">
        <x:v>REWARD</x:v>
      </x:c>
      <x:c r="R375" s="101" t="str">
        <x:v>quest.reward.granted</x:v>
      </x:c>
      <x:c r="S375" s="101" t="str"/>
    </x:row>
    <x:row r="376" ht="74" customHeight="1">
      <x:c r="A376" s="104" t="str">
        <x:v>H-D2-01</x:v>
      </x:c>
      <x:c r="B376" s="104" t="str">
        <x:v>H-D2-01-S01</x:v>
      </x:c>
      <x:c r="C376" s="110" t="n">
        <x:v>1</x:v>
      </x:c>
      <x:c r="D376" s="104" t="str">
        <x:v>DISCOVER</x:v>
      </x:c>
      <x:c r="E376" s="104" t="str">
        <x:v>DISCOVER_NPC</x:v>
      </x:c>
      <x:c r="F376" s="104" t="str">
        <x:v>FLOW_ACTION</x:v>
      </x:c>
      <x:c r="G376" s="104" t="str"/>
      <x:c r="H376" s="104" t="str">
        <x:v>TEAM</x:v>
      </x:c>
      <x:c r="I376" s="104" t="str">
        <x:v>place_day_2_piazza_vittorio_emanuele_secondo</x:v>
      </x:c>
      <x:c r="J376" s="104" t="str">
        <x:v>npc_porta_alchemica</x:v>
      </x:c>
      <x:c r="K376" s="104" t="str">
        <x:v>Sonderquest Wächter der Porta Magica entdecken.</x:v>
      </x:c>
      <x:c r="L376" s="104" t="str">
        <x:v>npcDiscovered &amp;&amp; interactionGateOpen</x:v>
      </x:c>
      <x:c r="M376" s="104" t="str">
        <x:v>state=DIALOGUE</x:v>
      </x:c>
      <x:c r="N376" s="104" t="str">
        <x:v>Trigger bleibt erneut verfügbar.</x:v>
      </x:c>
      <x:c r="O376" s="104" t="str">
        <x:v>REQUIRED</x:v>
      </x:c>
      <x:c r="P376" s="104" t="str"/>
      <x:c r="Q376" s="104" t="str">
        <x:v>MAP_OBJECT_SHEET</x:v>
      </x:c>
      <x:c r="R376" s="104" t="str">
        <x:v>quest.discovered</x:v>
      </x:c>
      <x:c r="S376" s="104" t="str">
        <x:v>Hidden ohne Slot; Medien/Boss mit separater Kapazität.</x:v>
      </x:c>
    </x:row>
    <x:row r="377" ht="74" customHeight="1">
      <x:c r="A377" s="101" t="str">
        <x:v>H-D2-01</x:v>
      </x:c>
      <x:c r="B377" s="101" t="str">
        <x:v>H-D2-01-S02</x:v>
      </x:c>
      <x:c r="C377" s="109" t="n">
        <x:v>2</x:v>
      </x:c>
      <x:c r="D377" s="101" t="str">
        <x:v>DIALOGUE</x:v>
      </x:c>
      <x:c r="E377" s="101" t="str">
        <x:v>TALK_TO_NPC</x:v>
      </x:c>
      <x:c r="F377" s="101" t="str">
        <x:v>OBJECTIVE</x:v>
      </x:c>
      <x:c r="G377" s="101" t="str">
        <x:v>COMPLETE_DIALOGUE</x:v>
      </x:c>
      <x:c r="H377" s="101" t="str">
        <x:v>TEAM</x:v>
      </x:c>
      <x:c r="I377" s="101" t="str">
        <x:v>place_day_2_piazza_vittorio_emanuele_secondo</x:v>
      </x:c>
      <x:c r="J377" s="101" t="str">
        <x:v>H-D2-01-OFFER</x:v>
      </x:c>
      <x:c r="K377" s="101" t="str">
        <x:v>Questangebot anzeigen.</x:v>
      </x:c>
      <x:c r="L377" s="101" t="str">
        <x:v>dialogSequenceComplete('H-D2-01-OFFER')</x:v>
      </x:c>
      <x:c r="M377" s="101" t="str">
        <x:v>state=ACCEPT</x:v>
      </x:c>
      <x:c r="N377" s="101" t="str">
        <x:v>Dialog wiederholbar.</x:v>
      </x:c>
      <x:c r="O377" s="101" t="str">
        <x:v>REQUIRED</x:v>
      </x:c>
      <x:c r="P377" s="101" t="str"/>
      <x:c r="Q377" s="101" t="str">
        <x:v>DIALOGUE</x:v>
      </x:c>
      <x:c r="R377" s="101" t="str">
        <x:v>quest.dialogue.offer</x:v>
      </x:c>
      <x:c r="S377" s="101" t="str"/>
    </x:row>
    <x:row r="378" ht="74" customHeight="1">
      <x:c r="A378" s="104" t="str">
        <x:v>H-D2-01</x:v>
      </x:c>
      <x:c r="B378" s="104" t="str">
        <x:v>H-D2-01-S03</x:v>
      </x:c>
      <x:c r="C378" s="110" t="n">
        <x:v>3</x:v>
      </x:c>
      <x:c r="D378" s="104" t="str">
        <x:v>ACCEPT</x:v>
      </x:c>
      <x:c r="E378" s="104" t="str">
        <x:v>ACCEPT_QUEST</x:v>
      </x:c>
      <x:c r="F378" s="104" t="str">
        <x:v>FLOW_ACTION</x:v>
      </x:c>
      <x:c r="G378" s="104" t="str"/>
      <x:c r="H378" s="104" t="str">
        <x:v>TEAM</x:v>
      </x:c>
      <x:c r="I378" s="104" t="str">
        <x:v>place_day_2_piazza_vittorio_emanuele_secondo</x:v>
      </x:c>
      <x:c r="J378" s="104" t="str">
        <x:v>H-D2-01</x:v>
      </x:c>
      <x:c r="K378" s="104" t="str">
        <x:v>Sonderquest annehmen beziehungsweise Bossbeitritt bestätigen.</x:v>
      </x:c>
      <x:c r="L378" s="104" t="str">
        <x:v>teamVoteResolved</x:v>
      </x:c>
      <x:c r="M378" s="104" t="str">
        <x:v>state=OBJECTIVE</x:v>
      </x:c>
      <x:c r="N378" s="104" t="str">
        <x:v>Keine reguläre Slotwirkung.</x:v>
      </x:c>
      <x:c r="O378" s="104" t="str">
        <x:v>REQUIRED</x:v>
      </x:c>
      <x:c r="P378" s="104" t="str"/>
      <x:c r="Q378" s="104" t="str">
        <x:v>QUEST_ACCEPT</x:v>
      </x:c>
      <x:c r="R378" s="104" t="str">
        <x:v>quest.accepted</x:v>
      </x:c>
      <x:c r="S378" s="104" t="str">
        <x:v>Hidden Quests zählen nicht zum regulären Limit.</x:v>
      </x:c>
    </x:row>
    <x:row r="379" ht="74" customHeight="1">
      <x:c r="A379" s="101" t="str">
        <x:v>H-D2-01</x:v>
      </x:c>
      <x:c r="B379" s="101" t="str">
        <x:v>H-D2-01-S04</x:v>
      </x:c>
      <x:c r="C379" s="109" t="n">
        <x:v>4</x:v>
      </x:c>
      <x:c r="D379" s="101" t="str">
        <x:v>OBJECTIVE</x:v>
      </x:c>
      <x:c r="E379" s="101" t="str">
        <x:v>SOLVE_PUZZLE</x:v>
      </x:c>
      <x:c r="F379" s="101" t="str">
        <x:v>OBJECTIVE</x:v>
      </x:c>
      <x:c r="G379" s="101" t="str">
        <x:v>SUBMIT_ANSWER</x:v>
      </x:c>
      <x:c r="H379" s="101" t="str">
        <x:v>TEAM</x:v>
      </x:c>
      <x:c r="I379" s="101" t="str">
        <x:v>place_day_2_piazza_vittorio_emanuele_secondo</x:v>
      </x:c>
      <x:c r="J379" s="101" t="str">
        <x:v>PZ-H-D2-01</x:v>
      </x:c>
      <x:c r="K379" s="101" t="str">
        <x:v>Setzt die drei alchemistischen Schritte in die vorgegebene Reihenfolge: Stein – Metall – Licht.</x:v>
      </x:c>
      <x:c r="L379" s="101" t="str">
        <x:v>puzzleResult == CORRECT</x:v>
      </x:c>
      <x:c r="M379" s="101" t="str">
        <x:v>puzzleComplete=true</x:v>
      </x:c>
      <x:c r="N379" s="101" t="str">
        <x:v>Nur Anzahl der Wächter: zwei.</x:v>
      </x:c>
      <x:c r="O379" s="101" t="str">
        <x:v>REQUIRED</x:v>
      </x:c>
      <x:c r="P379" s="101" t="str">
        <x:v>questAccepted</x:v>
      </x:c>
      <x:c r="Q379" s="101" t="str">
        <x:v>PUZZLE</x:v>
      </x:c>
      <x:c r="R379" s="101" t="str">
        <x:v>quest.puzzle.solved</x:v>
      </x:c>
      <x:c r="S379" s="101" t="str">
        <x:v>Penalty: Bonusloot entfällt</x:v>
      </x:c>
    </x:row>
    <x:row r="380" ht="74" customHeight="1">
      <x:c r="A380" s="104" t="str">
        <x:v>H-D2-01</x:v>
      </x:c>
      <x:c r="B380" s="104" t="str">
        <x:v>H-D2-01-S05</x:v>
      </x:c>
      <x:c r="C380" s="110" t="n">
        <x:v>5</x:v>
      </x:c>
      <x:c r="D380" s="104" t="str">
        <x:v>COMPLETE</x:v>
      </x:c>
      <x:c r="E380" s="104" t="str">
        <x:v>TALK_TO_NPC</x:v>
      </x:c>
      <x:c r="F380" s="104" t="str">
        <x:v>OBJECTIVE</x:v>
      </x:c>
      <x:c r="G380" s="104" t="str">
        <x:v>COMPLETE_DIALOGUE</x:v>
      </x:c>
      <x:c r="H380" s="104" t="str">
        <x:v>TEAM</x:v>
      </x:c>
      <x:c r="I380" s="104" t="str">
        <x:v>place_day_2_piazza_vittorio_emanuele_secondo</x:v>
      </x:c>
      <x:c r="J380" s="104" t="str">
        <x:v>H-D2-01-COMPLETE</x:v>
      </x:c>
      <x:c r="K380" s="104" t="str">
        <x:v>Abschlussdialog beziehungsweise Eventresultat anzeigen.</x:v>
      </x:c>
      <x:c r="L380" s="104" t="str">
        <x:v>dialogSequenceComplete('H-D2-01-COMPLETE')</x:v>
      </x:c>
      <x:c r="M380" s="104" t="str">
        <x:v>state=REWARD</x:v>
      </x:c>
      <x:c r="N380" s="104" t="str">
        <x:v>Erneut anzeigen.</x:v>
      </x:c>
      <x:c r="O380" s="104" t="str">
        <x:v>REQUIRED</x:v>
      </x:c>
      <x:c r="P380" s="104" t="str">
        <x:v>allRequiredObjectivesComplete</x:v>
      </x:c>
      <x:c r="Q380" s="104" t="str">
        <x:v>DIALOGUE</x:v>
      </x:c>
      <x:c r="R380" s="104" t="str">
        <x:v>quest.completed</x:v>
      </x:c>
      <x:c r="S380" s="104" t="str"/>
    </x:row>
    <x:row r="381" ht="74" customHeight="1">
      <x:c r="A381" s="101" t="str">
        <x:v>H-D2-01</x:v>
      </x:c>
      <x:c r="B381" s="101" t="str">
        <x:v>H-D2-01-S06</x:v>
      </x:c>
      <x:c r="C381" s="109" t="n">
        <x:v>6</x:v>
      </x:c>
      <x:c r="D381" s="101" t="str">
        <x:v>REWARD</x:v>
      </x:c>
      <x:c r="E381" s="101" t="str">
        <x:v>GRANT_REWARD</x:v>
      </x:c>
      <x:c r="F381" s="101" t="str">
        <x:v>SYSTEM_ACTION</x:v>
      </x:c>
      <x:c r="G381" s="101" t="str"/>
      <x:c r="H381" s="101" t="str">
        <x:v>TEAM</x:v>
      </x:c>
      <x:c r="I381" s="101" t="str"/>
      <x:c r="J381" s="101" t="str">
        <x:v>H-D2-01</x:v>
      </x:c>
      <x:c r="K381" s="101" t="str">
        <x:v>Belohnung atomar vergeben; Medien-/Bosswertung gegebenenfalls als PENDING_REVIEW markieren.</x:v>
      </x:c>
      <x:c r="L381" s="101" t="str">
        <x:v>rewardTransactionCommitted || rewardStatus == PENDING_REVIEW</x:v>
      </x:c>
      <x:c r="M381" s="101" t="str">
        <x:v>state=COMPLETED</x:v>
      </x:c>
      <x:c r="N381" s="101" t="str">
        <x:v>Idempotenter Retry.</x:v>
      </x:c>
      <x:c r="O381" s="101" t="str">
        <x:v>REQUIRED</x:v>
      </x:c>
      <x:c r="P381" s="101" t="str">
        <x:v>questComplete</x:v>
      </x:c>
      <x:c r="Q381" s="101" t="str">
        <x:v>REWARD</x:v>
      </x:c>
      <x:c r="R381" s="101" t="str">
        <x:v>quest.reward.granted</x:v>
      </x:c>
      <x:c r="S381" s="101" t="str"/>
    </x:row>
    <x:row r="382" ht="74" customHeight="1">
      <x:c r="A382" s="104" t="str">
        <x:v>H-D2-02</x:v>
      </x:c>
      <x:c r="B382" s="104" t="str">
        <x:v>H-D2-02-S01</x:v>
      </x:c>
      <x:c r="C382" s="110" t="n">
        <x:v>1</x:v>
      </x:c>
      <x:c r="D382" s="104" t="str">
        <x:v>DISCOVER</x:v>
      </x:c>
      <x:c r="E382" s="104" t="str">
        <x:v>DISCOVER_NPC</x:v>
      </x:c>
      <x:c r="F382" s="104" t="str">
        <x:v>FLOW_ACTION</x:v>
      </x:c>
      <x:c r="G382" s="104" t="str"/>
      <x:c r="H382" s="104" t="str">
        <x:v>TEAM</x:v>
      </x:c>
      <x:c r="I382" s="104" t="str">
        <x:v>place_day_2_piazza_dante</x:v>
      </x:c>
      <x:c r="J382" s="104" t="str">
        <x:v>npc_dante_rosa</x:v>
      </x:c>
      <x:c r="K382" s="104" t="str">
        <x:v>Sonderquest Dantes Windrose entdecken.</x:v>
      </x:c>
      <x:c r="L382" s="104" t="str">
        <x:v>npcDiscovered &amp;&amp; interactionGateOpen</x:v>
      </x:c>
      <x:c r="M382" s="104" t="str">
        <x:v>state=DIALOGUE</x:v>
      </x:c>
      <x:c r="N382" s="104" t="str">
        <x:v>Trigger bleibt erneut verfügbar.</x:v>
      </x:c>
      <x:c r="O382" s="104" t="str">
        <x:v>REQUIRED</x:v>
      </x:c>
      <x:c r="P382" s="104" t="str"/>
      <x:c r="Q382" s="104" t="str">
        <x:v>MAP_OBJECT_SHEET</x:v>
      </x:c>
      <x:c r="R382" s="104" t="str">
        <x:v>quest.discovered</x:v>
      </x:c>
      <x:c r="S382" s="104" t="str">
        <x:v>Hidden ohne Slot; Medien/Boss mit separater Kapazität.</x:v>
      </x:c>
    </x:row>
    <x:row r="383" ht="74" customHeight="1">
      <x:c r="A383" s="101" t="str">
        <x:v>H-D2-02</x:v>
      </x:c>
      <x:c r="B383" s="101" t="str">
        <x:v>H-D2-02-S02</x:v>
      </x:c>
      <x:c r="C383" s="109" t="n">
        <x:v>2</x:v>
      </x:c>
      <x:c r="D383" s="101" t="str">
        <x:v>DIALOGUE</x:v>
      </x:c>
      <x:c r="E383" s="101" t="str">
        <x:v>TALK_TO_NPC</x:v>
      </x:c>
      <x:c r="F383" s="101" t="str">
        <x:v>OBJECTIVE</x:v>
      </x:c>
      <x:c r="G383" s="101" t="str">
        <x:v>COMPLETE_DIALOGUE</x:v>
      </x:c>
      <x:c r="H383" s="101" t="str">
        <x:v>TEAM</x:v>
      </x:c>
      <x:c r="I383" s="101" t="str">
        <x:v>place_day_2_piazza_dante</x:v>
      </x:c>
      <x:c r="J383" s="101" t="str">
        <x:v>H-D2-02-OFFER</x:v>
      </x:c>
      <x:c r="K383" s="101" t="str">
        <x:v>Questangebot anzeigen.</x:v>
      </x:c>
      <x:c r="L383" s="101" t="str">
        <x:v>dialogSequenceComplete('H-D2-02-OFFER')</x:v>
      </x:c>
      <x:c r="M383" s="101" t="str">
        <x:v>state=ACCEPT</x:v>
      </x:c>
      <x:c r="N383" s="101" t="str">
        <x:v>Dialog wiederholbar.</x:v>
      </x:c>
      <x:c r="O383" s="101" t="str">
        <x:v>REQUIRED</x:v>
      </x:c>
      <x:c r="P383" s="101" t="str"/>
      <x:c r="Q383" s="101" t="str">
        <x:v>DIALOGUE</x:v>
      </x:c>
      <x:c r="R383" s="101" t="str">
        <x:v>quest.dialogue.offer</x:v>
      </x:c>
      <x:c r="S383" s="101" t="str"/>
    </x:row>
    <x:row r="384" ht="74" customHeight="1">
      <x:c r="A384" s="104" t="str">
        <x:v>H-D2-02</x:v>
      </x:c>
      <x:c r="B384" s="104" t="str">
        <x:v>H-D2-02-S03</x:v>
      </x:c>
      <x:c r="C384" s="110" t="n">
        <x:v>3</x:v>
      </x:c>
      <x:c r="D384" s="104" t="str">
        <x:v>ACCEPT</x:v>
      </x:c>
      <x:c r="E384" s="104" t="str">
        <x:v>ACCEPT_QUEST</x:v>
      </x:c>
      <x:c r="F384" s="104" t="str">
        <x:v>FLOW_ACTION</x:v>
      </x:c>
      <x:c r="G384" s="104" t="str"/>
      <x:c r="H384" s="104" t="str">
        <x:v>TEAM</x:v>
      </x:c>
      <x:c r="I384" s="104" t="str">
        <x:v>place_day_2_piazza_dante</x:v>
      </x:c>
      <x:c r="J384" s="104" t="str">
        <x:v>H-D2-02</x:v>
      </x:c>
      <x:c r="K384" s="104" t="str">
        <x:v>Sonderquest annehmen beziehungsweise Bossbeitritt bestätigen.</x:v>
      </x:c>
      <x:c r="L384" s="104" t="str">
        <x:v>teamVoteResolved</x:v>
      </x:c>
      <x:c r="M384" s="104" t="str">
        <x:v>state=OBJECTIVE</x:v>
      </x:c>
      <x:c r="N384" s="104" t="str">
        <x:v>Keine reguläre Slotwirkung.</x:v>
      </x:c>
      <x:c r="O384" s="104" t="str">
        <x:v>REQUIRED</x:v>
      </x:c>
      <x:c r="P384" s="104" t="str"/>
      <x:c r="Q384" s="104" t="str">
        <x:v>QUEST_ACCEPT</x:v>
      </x:c>
      <x:c r="R384" s="104" t="str">
        <x:v>quest.accepted</x:v>
      </x:c>
      <x:c r="S384" s="104" t="str">
        <x:v>Hidden Quests zählen nicht zum regulären Limit.</x:v>
      </x:c>
    </x:row>
    <x:row r="385" ht="74" customHeight="1">
      <x:c r="A385" s="101" t="str">
        <x:v>H-D2-02</x:v>
      </x:c>
      <x:c r="B385" s="101" t="str">
        <x:v>H-D2-02-S04</x:v>
      </x:c>
      <x:c r="C385" s="109" t="n">
        <x:v>4</x:v>
      </x:c>
      <x:c r="D385" s="101" t="str">
        <x:v>OBJECTIVE</x:v>
      </x:c>
      <x:c r="E385" s="101" t="str">
        <x:v>SOLVE_PUZZLE</x:v>
      </x:c>
      <x:c r="F385" s="101" t="str">
        <x:v>OBJECTIVE</x:v>
      </x:c>
      <x:c r="G385" s="101" t="str">
        <x:v>SUBMIT_ANSWER</x:v>
      </x:c>
      <x:c r="H385" s="101" t="str">
        <x:v>TEAM</x:v>
      </x:c>
      <x:c r="I385" s="101" t="str">
        <x:v>place_day_2_piazza_dante</x:v>
      </x:c>
      <x:c r="J385" s="101" t="str">
        <x:v>PZ-H-D2-02</x:v>
      </x:c>
      <x:c r="K385" s="101" t="str">
        <x:v>Bestimmt Norden auf der Windrose und gebt das italienische Wort für Ausgang ein.</x:v>
      </x:c>
      <x:c r="L385" s="101" t="str">
        <x:v>puzzleResult == CORRECT</x:v>
      </x:c>
      <x:c r="M385" s="101" t="str">
        <x:v>puzzleComplete=true</x:v>
      </x:c>
      <x:c r="N385" s="101" t="str">
        <x:v>Nur Norden auf einer Vier-Richtungs-Auswahl markieren.</x:v>
      </x:c>
      <x:c r="O385" s="101" t="str">
        <x:v>REQUIRED</x:v>
      </x:c>
      <x:c r="P385" s="101" t="str">
        <x:v>questAccepted</x:v>
      </x:c>
      <x:c r="Q385" s="101" t="str">
        <x:v>PUZZLE</x:v>
      </x:c>
      <x:c r="R385" s="101" t="str">
        <x:v>quest.puzzle.solved</x:v>
      </x:c>
      <x:c r="S385" s="101" t="str">
        <x:v>Penalty: Optionaler Gegner wird aggressiver</x:v>
      </x:c>
    </x:row>
    <x:row r="386" ht="74" customHeight="1">
      <x:c r="A386" s="104" t="str">
        <x:v>H-D2-02</x:v>
      </x:c>
      <x:c r="B386" s="104" t="str">
        <x:v>H-D2-02-S05</x:v>
      </x:c>
      <x:c r="C386" s="110" t="n">
        <x:v>5</x:v>
      </x:c>
      <x:c r="D386" s="104" t="str">
        <x:v>OBJECTIVE</x:v>
      </x:c>
      <x:c r="E386" s="104" t="str">
        <x:v>DEFEAT_ENEMY</x:v>
      </x:c>
      <x:c r="F386" s="104" t="str">
        <x:v>OBJECTIVE</x:v>
      </x:c>
      <x:c r="G386" s="104" t="str">
        <x:v>COMPLETE_ENCOUNTER</x:v>
      </x:c>
      <x:c r="H386" s="104" t="str">
        <x:v>TEAM</x:v>
      </x:c>
      <x:c r="I386" s="104" t="str">
        <x:v>place_day_2_piazza_dante</x:v>
      </x:c>
      <x:c r="J386" s="104" t="str">
        <x:v>CP-QE-INFERNO</x:v>
      </x:c>
      <x:c r="K386" s="104" t="str">
        <x:v>Custode dell’Inferno in der teambezogenen Instanz besiegen.</x:v>
      </x:c>
      <x:c r="L386" s="104" t="str">
        <x:v>combatState == WON</x:v>
      </x:c>
      <x:c r="M386" s="104" t="str">
        <x:v>encounterComplete=true</x:v>
      </x:c>
      <x:c r="N386" s="104" t="str">
        <x:v>Hidden Quest bleibt aktiv; Wiederbelebungsregeln gelten.</x:v>
      </x:c>
      <x:c r="O386" s="104" t="str">
        <x:v>REQUIRED</x:v>
      </x:c>
      <x:c r="P386" s="104" t="str">
        <x:v>puzzleComplete</x:v>
      </x:c>
      <x:c r="Q386" s="104" t="str">
        <x:v>COMBAT</x:v>
      </x:c>
      <x:c r="R386" s="104" t="str">
        <x:v>quest.combat.completed</x:v>
      </x:c>
      <x:c r="S386" s="104" t="str">
        <x:v>Kein normaler Respawn.</x:v>
      </x:c>
    </x:row>
    <x:row r="387" ht="74" customHeight="1">
      <x:c r="A387" s="101" t="str">
        <x:v>H-D2-02</x:v>
      </x:c>
      <x:c r="B387" s="101" t="str">
        <x:v>H-D2-02-S06</x:v>
      </x:c>
      <x:c r="C387" s="109" t="n">
        <x:v>6</x:v>
      </x:c>
      <x:c r="D387" s="101" t="str">
        <x:v>COMPLETE</x:v>
      </x:c>
      <x:c r="E387" s="101" t="str">
        <x:v>TALK_TO_NPC</x:v>
      </x:c>
      <x:c r="F387" s="101" t="str">
        <x:v>OBJECTIVE</x:v>
      </x:c>
      <x:c r="G387" s="101" t="str">
        <x:v>COMPLETE_DIALOGUE</x:v>
      </x:c>
      <x:c r="H387" s="101" t="str">
        <x:v>TEAM</x:v>
      </x:c>
      <x:c r="I387" s="101" t="str">
        <x:v>place_day_2_piazza_dante</x:v>
      </x:c>
      <x:c r="J387" s="101" t="str">
        <x:v>H-D2-02-COMPLETE</x:v>
      </x:c>
      <x:c r="K387" s="101" t="str">
        <x:v>Abschlussdialog beziehungsweise Eventresultat anzeigen.</x:v>
      </x:c>
      <x:c r="L387" s="101" t="str">
        <x:v>dialogSequenceComplete('H-D2-02-COMPLETE')</x:v>
      </x:c>
      <x:c r="M387" s="101" t="str">
        <x:v>state=REWARD</x:v>
      </x:c>
      <x:c r="N387" s="101" t="str">
        <x:v>Erneut anzeigen.</x:v>
      </x:c>
      <x:c r="O387" s="101" t="str">
        <x:v>REQUIRED</x:v>
      </x:c>
      <x:c r="P387" s="101" t="str">
        <x:v>allRequiredObjectivesComplete</x:v>
      </x:c>
      <x:c r="Q387" s="101" t="str">
        <x:v>DIALOGUE</x:v>
      </x:c>
      <x:c r="R387" s="101" t="str">
        <x:v>quest.completed</x:v>
      </x:c>
      <x:c r="S387" s="101" t="str"/>
    </x:row>
    <x:row r="388" ht="74" customHeight="1">
      <x:c r="A388" s="104" t="str">
        <x:v>H-D2-02</x:v>
      </x:c>
      <x:c r="B388" s="104" t="str">
        <x:v>H-D2-02-S07</x:v>
      </x:c>
      <x:c r="C388" s="110" t="n">
        <x:v>7</x:v>
      </x:c>
      <x:c r="D388" s="104" t="str">
        <x:v>REWARD</x:v>
      </x:c>
      <x:c r="E388" s="104" t="str">
        <x:v>GRANT_REWARD</x:v>
      </x:c>
      <x:c r="F388" s="104" t="str">
        <x:v>SYSTEM_ACTION</x:v>
      </x:c>
      <x:c r="G388" s="104" t="str"/>
      <x:c r="H388" s="104" t="str">
        <x:v>TEAM</x:v>
      </x:c>
      <x:c r="I388" s="104" t="str"/>
      <x:c r="J388" s="104" t="str">
        <x:v>H-D2-02</x:v>
      </x:c>
      <x:c r="K388" s="104" t="str">
        <x:v>Belohnung atomar vergeben; Medien-/Bosswertung gegebenenfalls als PENDING_REVIEW markieren.</x:v>
      </x:c>
      <x:c r="L388" s="104" t="str">
        <x:v>rewardTransactionCommitted || rewardStatus == PENDING_REVIEW</x:v>
      </x:c>
      <x:c r="M388" s="104" t="str">
        <x:v>state=COMPLETED</x:v>
      </x:c>
      <x:c r="N388" s="104" t="str">
        <x:v>Idempotenter Retry.</x:v>
      </x:c>
      <x:c r="O388" s="104" t="str">
        <x:v>REQUIRED</x:v>
      </x:c>
      <x:c r="P388" s="104" t="str">
        <x:v>questComplete</x:v>
      </x:c>
      <x:c r="Q388" s="104" t="str">
        <x:v>REWARD</x:v>
      </x:c>
      <x:c r="R388" s="104" t="str">
        <x:v>quest.reward.granted</x:v>
      </x:c>
      <x:c r="S388" s="104" t="str"/>
    </x:row>
    <x:row r="389" ht="74" customHeight="1">
      <x:c r="A389" s="101" t="str">
        <x:v>B-D1-01</x:v>
      </x:c>
      <x:c r="B389" s="101" t="str">
        <x:v>B-D1-01-S01</x:v>
      </x:c>
      <x:c r="C389" s="109" t="n">
        <x:v>1</x:v>
      </x:c>
      <x:c r="D389" s="101" t="str">
        <x:v>DISCOVER</x:v>
      </x:c>
      <x:c r="E389" s="101" t="str">
        <x:v>DISCOVER_NPC</x:v>
      </x:c>
      <x:c r="F389" s="101" t="str">
        <x:v>FLOW_ACTION</x:v>
      </x:c>
      <x:c r="G389" s="101" t="str"/>
      <x:c r="H389" s="101" t="str">
        <x:v>TEAM</x:v>
      </x:c>
      <x:c r="I389" s="101" t="str">
        <x:v>place_day_1_terrazza_del_gianicolo</x:v>
      </x:c>
      <x:c r="J389" s="101" t="str">
        <x:v>npc_cannoniere_gianicolo</x:v>
      </x:c>
      <x:c r="K389" s="101" t="str">
        <x:v>Sonderquest Il Cannoniere del Gianicolo entdecken.</x:v>
      </x:c>
      <x:c r="L389" s="101" t="str">
        <x:v>npcDiscovered &amp;&amp; interactionGateOpen</x:v>
      </x:c>
      <x:c r="M389" s="101" t="str">
        <x:v>state=DIALOGUE</x:v>
      </x:c>
      <x:c r="N389" s="101" t="str">
        <x:v>Trigger bleibt erneut verfügbar.</x:v>
      </x:c>
      <x:c r="O389" s="101" t="str">
        <x:v>REQUIRED</x:v>
      </x:c>
      <x:c r="P389" s="101" t="str"/>
      <x:c r="Q389" s="101" t="str">
        <x:v>MAP_OBJECT_SHEET</x:v>
      </x:c>
      <x:c r="R389" s="101" t="str">
        <x:v>quest.discovered</x:v>
      </x:c>
      <x:c r="S389" s="101" t="str">
        <x:v>Hidden ohne Slot; Medien/Boss mit separater Kapazität.</x:v>
      </x:c>
    </x:row>
    <x:row r="390" ht="74" customHeight="1">
      <x:c r="A390" s="104" t="str">
        <x:v>B-D1-01</x:v>
      </x:c>
      <x:c r="B390" s="104" t="str">
        <x:v>B-D1-01-S02</x:v>
      </x:c>
      <x:c r="C390" s="110" t="n">
        <x:v>2</x:v>
      </x:c>
      <x:c r="D390" s="104" t="str">
        <x:v>DIALOGUE</x:v>
      </x:c>
      <x:c r="E390" s="104" t="str">
        <x:v>TALK_TO_NPC</x:v>
      </x:c>
      <x:c r="F390" s="104" t="str">
        <x:v>OBJECTIVE</x:v>
      </x:c>
      <x:c r="G390" s="104" t="str">
        <x:v>COMPLETE_DIALOGUE</x:v>
      </x:c>
      <x:c r="H390" s="104" t="str">
        <x:v>TEAM</x:v>
      </x:c>
      <x:c r="I390" s="104" t="str">
        <x:v>place_day_1_terrazza_del_gianicolo</x:v>
      </x:c>
      <x:c r="J390" s="104" t="str">
        <x:v>B-D1-01-OFFER</x:v>
      </x:c>
      <x:c r="K390" s="104" t="str">
        <x:v>Questangebot anzeigen.</x:v>
      </x:c>
      <x:c r="L390" s="104" t="str">
        <x:v>dialogSequenceComplete('B-D1-01-OFFER')</x:v>
      </x:c>
      <x:c r="M390" s="104" t="str">
        <x:v>state=ACCEPT</x:v>
      </x:c>
      <x:c r="N390" s="104" t="str">
        <x:v>Dialog wiederholbar.</x:v>
      </x:c>
      <x:c r="O390" s="104" t="str">
        <x:v>REQUIRED</x:v>
      </x:c>
      <x:c r="P390" s="104" t="str"/>
      <x:c r="Q390" s="104" t="str">
        <x:v>DIALOGUE</x:v>
      </x:c>
      <x:c r="R390" s="104" t="str">
        <x:v>quest.dialogue.offer</x:v>
      </x:c>
      <x:c r="S390" s="104" t="str"/>
    </x:row>
    <x:row r="391" ht="74" customHeight="1">
      <x:c r="A391" s="101" t="str">
        <x:v>B-D1-01</x:v>
      </x:c>
      <x:c r="B391" s="101" t="str">
        <x:v>B-D1-01-S03</x:v>
      </x:c>
      <x:c r="C391" s="109" t="n">
        <x:v>3</x:v>
      </x:c>
      <x:c r="D391" s="101" t="str">
        <x:v>ACCEPT</x:v>
      </x:c>
      <x:c r="E391" s="101" t="str">
        <x:v>ACCEPT_QUEST</x:v>
      </x:c>
      <x:c r="F391" s="101" t="str">
        <x:v>FLOW_ACTION</x:v>
      </x:c>
      <x:c r="G391" s="101" t="str"/>
      <x:c r="H391" s="101" t="str">
        <x:v>TEAM</x:v>
      </x:c>
      <x:c r="I391" s="101" t="str">
        <x:v>place_day_1_terrazza_del_gianicolo</x:v>
      </x:c>
      <x:c r="J391" s="101" t="str">
        <x:v>B-D1-01</x:v>
      </x:c>
      <x:c r="K391" s="101" t="str">
        <x:v>Sonderquest annehmen beziehungsweise Bossbeitritt bestätigen.</x:v>
      </x:c>
      <x:c r="L391" s="101" t="str">
        <x:v>teamVoteResolved</x:v>
      </x:c>
      <x:c r="M391" s="101" t="str">
        <x:v>state=OBJECTIVE</x:v>
      </x:c>
      <x:c r="N391" s="101" t="str">
        <x:v>Keine reguläre Slotwirkung.</x:v>
      </x:c>
      <x:c r="O391" s="101" t="str">
        <x:v>REQUIRED</x:v>
      </x:c>
      <x:c r="P391" s="101" t="str"/>
      <x:c r="Q391" s="101" t="str">
        <x:v>QUEST_ACCEPT</x:v>
      </x:c>
      <x:c r="R391" s="101" t="str">
        <x:v>quest.accepted</x:v>
      </x:c>
      <x:c r="S391" s="101" t="str">
        <x:v>Hidden Quests zählen nicht zum regulären Limit.</x:v>
      </x:c>
    </x:row>
    <x:row r="392" ht="74" customHeight="1">
      <x:c r="A392" s="104" t="str">
        <x:v>B-D1-01</x:v>
      </x:c>
      <x:c r="B392" s="104" t="str">
        <x:v>B-D1-01-S04</x:v>
      </x:c>
      <x:c r="C392" s="110" t="n">
        <x:v>4</x:v>
      </x:c>
      <x:c r="D392" s="104" t="str">
        <x:v>OBJECTIVE</x:v>
      </x:c>
      <x:c r="E392" s="104" t="str">
        <x:v>BOSS_PARTICIPATION</x:v>
      </x:c>
      <x:c r="F392" s="104" t="str">
        <x:v>OBJECTIVE</x:v>
      </x:c>
      <x:c r="G392" s="104" t="str">
        <x:v>COMPLETE_ENCOUNTER</x:v>
      </x:c>
      <x:c r="H392" s="104" t="str">
        <x:v>TEAM</x:v>
      </x:c>
      <x:c r="I392" s="104" t="str">
        <x:v>place_day_1_terrazza_del_gianicolo</x:v>
      </x:c>
      <x:c r="J392" s="104" t="str">
        <x:v>B-D1-01</x:v>
      </x:c>
      <x:c r="K392" s="104" t="str">
        <x:v>Im 30-m-Beitrittsradius anmelden und mindestens eine vollständige Phase aktiv teilnehmen.</x:v>
      </x:c>
      <x:c r="L392" s="104" t="str">
        <x:v>participationPhases &gt;= 1 &amp;&amp; contributionQualified</x:v>
      </x:c>
      <x:c r="M392" s="104" t="str">
        <x:v>objectiveComplete=true</x:v>
      </x:c>
      <x:c r="N392" s="104" t="str">
        <x:v>Team kann erneut beitreten, solange Boss aktiv.</x:v>
      </x:c>
      <x:c r="O392" s="104" t="str">
        <x:v>REQUIRED</x:v>
      </x:c>
      <x:c r="P392" s="104" t="str">
        <x:v>previousStepComplete</x:v>
      </x:c>
      <x:c r="Q392" s="104" t="str">
        <x:v>QUEST_OBJECTIVE</x:v>
      </x:c>
      <x:c r="R392" s="104" t="str">
        <x:v>quest.objective.completed</x:v>
      </x:c>
      <x:c r="S392" s="104" t="str"/>
    </x:row>
    <x:row r="393" ht="74" customHeight="1">
      <x:c r="A393" s="101" t="str">
        <x:v>B-D1-01</x:v>
      </x:c>
      <x:c r="B393" s="101" t="str">
        <x:v>B-D1-01-S05</x:v>
      </x:c>
      <x:c r="C393" s="109" t="n">
        <x:v>5</x:v>
      </x:c>
      <x:c r="D393" s="101" t="str">
        <x:v>COMPLETE</x:v>
      </x:c>
      <x:c r="E393" s="101" t="str">
        <x:v>TALK_TO_NPC</x:v>
      </x:c>
      <x:c r="F393" s="101" t="str">
        <x:v>OBJECTIVE</x:v>
      </x:c>
      <x:c r="G393" s="101" t="str">
        <x:v>COMPLETE_DIALOGUE</x:v>
      </x:c>
      <x:c r="H393" s="101" t="str">
        <x:v>TEAM</x:v>
      </x:c>
      <x:c r="I393" s="101" t="str">
        <x:v>place_day_1_terrazza_del_gianicolo</x:v>
      </x:c>
      <x:c r="J393" s="101" t="str">
        <x:v>B-D1-01-COMPLETE</x:v>
      </x:c>
      <x:c r="K393" s="101" t="str">
        <x:v>Abschlussdialog beziehungsweise Eventresultat anzeigen.</x:v>
      </x:c>
      <x:c r="L393" s="101" t="str">
        <x:v>dialogSequenceComplete('B-D1-01-COMPLETE')</x:v>
      </x:c>
      <x:c r="M393" s="101" t="str">
        <x:v>state=REWARD</x:v>
      </x:c>
      <x:c r="N393" s="101" t="str">
        <x:v>Erneut anzeigen.</x:v>
      </x:c>
      <x:c r="O393" s="101" t="str">
        <x:v>REQUIRED</x:v>
      </x:c>
      <x:c r="P393" s="101" t="str">
        <x:v>allRequiredObjectivesComplete</x:v>
      </x:c>
      <x:c r="Q393" s="101" t="str">
        <x:v>DIALOGUE</x:v>
      </x:c>
      <x:c r="R393" s="101" t="str">
        <x:v>quest.completed</x:v>
      </x:c>
      <x:c r="S393" s="101" t="str"/>
    </x:row>
    <x:row r="394" ht="74" customHeight="1">
      <x:c r="A394" s="104" t="str">
        <x:v>B-D1-01</x:v>
      </x:c>
      <x:c r="B394" s="104" t="str">
        <x:v>B-D1-01-S06</x:v>
      </x:c>
      <x:c r="C394" s="110" t="n">
        <x:v>6</x:v>
      </x:c>
      <x:c r="D394" s="104" t="str">
        <x:v>REWARD</x:v>
      </x:c>
      <x:c r="E394" s="104" t="str">
        <x:v>GRANT_REWARD</x:v>
      </x:c>
      <x:c r="F394" s="104" t="str">
        <x:v>SYSTEM_ACTION</x:v>
      </x:c>
      <x:c r="G394" s="104" t="str"/>
      <x:c r="H394" s="104" t="str">
        <x:v>TEAM</x:v>
      </x:c>
      <x:c r="I394" s="104" t="str"/>
      <x:c r="J394" s="104" t="str">
        <x:v>B-D1-01</x:v>
      </x:c>
      <x:c r="K394" s="104" t="str">
        <x:v>Belohnung atomar vergeben; Medien-/Bosswertung gegebenenfalls als PENDING_REVIEW markieren.</x:v>
      </x:c>
      <x:c r="L394" s="104" t="str">
        <x:v>rewardTransactionCommitted || rewardStatus == PENDING_REVIEW</x:v>
      </x:c>
      <x:c r="M394" s="104" t="str">
        <x:v>state=COMPLETED</x:v>
      </x:c>
      <x:c r="N394" s="104" t="str">
        <x:v>Idempotenter Retry.</x:v>
      </x:c>
      <x:c r="O394" s="104" t="str">
        <x:v>REQUIRED</x:v>
      </x:c>
      <x:c r="P394" s="104" t="str">
        <x:v>questComplete</x:v>
      </x:c>
      <x:c r="Q394" s="104" t="str">
        <x:v>REWARD</x:v>
      </x:c>
      <x:c r="R394" s="104" t="str">
        <x:v>quest.reward.granted</x:v>
      </x:c>
      <x:c r="S394" s="104" t="str"/>
    </x:row>
    <x:row r="395" ht="74" customHeight="1">
      <x:c r="A395" s="101" t="str">
        <x:v>B-D2-01</x:v>
      </x:c>
      <x:c r="B395" s="101" t="str">
        <x:v>B-D2-01-S01</x:v>
      </x:c>
      <x:c r="C395" s="109" t="n">
        <x:v>1</x:v>
      </x:c>
      <x:c r="D395" s="101" t="str">
        <x:v>DISCOVER</x:v>
      </x:c>
      <x:c r="E395" s="101" t="str">
        <x:v>DISCOVER_NPC</x:v>
      </x:c>
      <x:c r="F395" s="101" t="str">
        <x:v>FLOW_ACTION</x:v>
      </x:c>
      <x:c r="G395" s="101" t="str"/>
      <x:c r="H395" s="101" t="str">
        <x:v>TEAM</x:v>
      </x:c>
      <x:c r="I395" s="101" t="str">
        <x:v>place_day_2_basilica_di_santa_maria_maggiore</x:v>
      </x:c>
      <x:c r="J395" s="101" t="str">
        <x:v>npc_custode_neve</x:v>
      </x:c>
      <x:c r="K395" s="101" t="str">
        <x:v>Sonderquest Custode della Neve entdecken.</x:v>
      </x:c>
      <x:c r="L395" s="101" t="str">
        <x:v>npcDiscovered &amp;&amp; interactionGateOpen</x:v>
      </x:c>
      <x:c r="M395" s="101" t="str">
        <x:v>state=DIALOGUE</x:v>
      </x:c>
      <x:c r="N395" s="101" t="str">
        <x:v>Trigger bleibt erneut verfügbar.</x:v>
      </x:c>
      <x:c r="O395" s="101" t="str">
        <x:v>REQUIRED</x:v>
      </x:c>
      <x:c r="P395" s="101" t="str"/>
      <x:c r="Q395" s="101" t="str">
        <x:v>MAP_OBJECT_SHEET</x:v>
      </x:c>
      <x:c r="R395" s="101" t="str">
        <x:v>quest.discovered</x:v>
      </x:c>
      <x:c r="S395" s="101" t="str">
        <x:v>Hidden ohne Slot; Medien/Boss mit separater Kapazität.</x:v>
      </x:c>
    </x:row>
    <x:row r="396" ht="74" customHeight="1">
      <x:c r="A396" s="104" t="str">
        <x:v>B-D2-01</x:v>
      </x:c>
      <x:c r="B396" s="104" t="str">
        <x:v>B-D2-01-S02</x:v>
      </x:c>
      <x:c r="C396" s="110" t="n">
        <x:v>2</x:v>
      </x:c>
      <x:c r="D396" s="104" t="str">
        <x:v>DIALOGUE</x:v>
      </x:c>
      <x:c r="E396" s="104" t="str">
        <x:v>TALK_TO_NPC</x:v>
      </x:c>
      <x:c r="F396" s="104" t="str">
        <x:v>OBJECTIVE</x:v>
      </x:c>
      <x:c r="G396" s="104" t="str">
        <x:v>COMPLETE_DIALOGUE</x:v>
      </x:c>
      <x:c r="H396" s="104" t="str">
        <x:v>TEAM</x:v>
      </x:c>
      <x:c r="I396" s="104" t="str">
        <x:v>place_day_2_basilica_di_santa_maria_maggiore</x:v>
      </x:c>
      <x:c r="J396" s="104" t="str">
        <x:v>B-D2-01-OFFER</x:v>
      </x:c>
      <x:c r="K396" s="104" t="str">
        <x:v>Questangebot anzeigen.</x:v>
      </x:c>
      <x:c r="L396" s="104" t="str">
        <x:v>dialogSequenceComplete('B-D2-01-OFFER')</x:v>
      </x:c>
      <x:c r="M396" s="104" t="str">
        <x:v>state=ACCEPT</x:v>
      </x:c>
      <x:c r="N396" s="104" t="str">
        <x:v>Dialog wiederholbar.</x:v>
      </x:c>
      <x:c r="O396" s="104" t="str">
        <x:v>REQUIRED</x:v>
      </x:c>
      <x:c r="P396" s="104" t="str"/>
      <x:c r="Q396" s="104" t="str">
        <x:v>DIALOGUE</x:v>
      </x:c>
      <x:c r="R396" s="104" t="str">
        <x:v>quest.dialogue.offer</x:v>
      </x:c>
      <x:c r="S396" s="104" t="str"/>
    </x:row>
    <x:row r="397" ht="74" customHeight="1">
      <x:c r="A397" s="101" t="str">
        <x:v>B-D2-01</x:v>
      </x:c>
      <x:c r="B397" s="101" t="str">
        <x:v>B-D2-01-S03</x:v>
      </x:c>
      <x:c r="C397" s="109" t="n">
        <x:v>3</x:v>
      </x:c>
      <x:c r="D397" s="101" t="str">
        <x:v>ACCEPT</x:v>
      </x:c>
      <x:c r="E397" s="101" t="str">
        <x:v>ACCEPT_QUEST</x:v>
      </x:c>
      <x:c r="F397" s="101" t="str">
        <x:v>FLOW_ACTION</x:v>
      </x:c>
      <x:c r="G397" s="101" t="str"/>
      <x:c r="H397" s="101" t="str">
        <x:v>TEAM</x:v>
      </x:c>
      <x:c r="I397" s="101" t="str">
        <x:v>place_day_2_basilica_di_santa_maria_maggiore</x:v>
      </x:c>
      <x:c r="J397" s="101" t="str">
        <x:v>B-D2-01</x:v>
      </x:c>
      <x:c r="K397" s="101" t="str">
        <x:v>Sonderquest annehmen beziehungsweise Bossbeitritt bestätigen.</x:v>
      </x:c>
      <x:c r="L397" s="101" t="str">
        <x:v>teamVoteResolved</x:v>
      </x:c>
      <x:c r="M397" s="101" t="str">
        <x:v>state=OBJECTIVE</x:v>
      </x:c>
      <x:c r="N397" s="101" t="str">
        <x:v>Keine reguläre Slotwirkung.</x:v>
      </x:c>
      <x:c r="O397" s="101" t="str">
        <x:v>REQUIRED</x:v>
      </x:c>
      <x:c r="P397" s="101" t="str"/>
      <x:c r="Q397" s="101" t="str">
        <x:v>QUEST_ACCEPT</x:v>
      </x:c>
      <x:c r="R397" s="101" t="str">
        <x:v>quest.accepted</x:v>
      </x:c>
      <x:c r="S397" s="101" t="str">
        <x:v>Hidden Quests zählen nicht zum regulären Limit.</x:v>
      </x:c>
    </x:row>
    <x:row r="398" ht="74" customHeight="1">
      <x:c r="A398" s="104" t="str">
        <x:v>B-D2-01</x:v>
      </x:c>
      <x:c r="B398" s="104" t="str">
        <x:v>B-D2-01-S04</x:v>
      </x:c>
      <x:c r="C398" s="110" t="n">
        <x:v>4</x:v>
      </x:c>
      <x:c r="D398" s="104" t="str">
        <x:v>OBJECTIVE</x:v>
      </x:c>
      <x:c r="E398" s="104" t="str">
        <x:v>BOSS_PARTICIPATION</x:v>
      </x:c>
      <x:c r="F398" s="104" t="str">
        <x:v>OBJECTIVE</x:v>
      </x:c>
      <x:c r="G398" s="104" t="str">
        <x:v>COMPLETE_ENCOUNTER</x:v>
      </x:c>
      <x:c r="H398" s="104" t="str">
        <x:v>TEAM</x:v>
      </x:c>
      <x:c r="I398" s="104" t="str">
        <x:v>place_day_2_basilica_di_santa_maria_maggiore</x:v>
      </x:c>
      <x:c r="J398" s="104" t="str">
        <x:v>B-D2-01</x:v>
      </x:c>
      <x:c r="K398" s="104" t="str">
        <x:v>Im 30-m-Beitrittsradius anmelden, Mechanikfenster bedienen und Beitragsschwelle erreichen.</x:v>
      </x:c>
      <x:c r="L398" s="104" t="str">
        <x:v>contributionQualified &amp;&amp; bossState == DEFEATED</x:v>
      </x:c>
      <x:c r="M398" s="104" t="str">
        <x:v>objectiveComplete=true</x:v>
      </x:c>
      <x:c r="N398" s="104" t="str">
        <x:v>Bei Team-Wipe erneuter Beitritt möglich, solange Event aktiv.</x:v>
      </x:c>
      <x:c r="O398" s="104" t="str">
        <x:v>REQUIRED</x:v>
      </x:c>
      <x:c r="P398" s="104" t="str">
        <x:v>previousStepComplete</x:v>
      </x:c>
      <x:c r="Q398" s="104" t="str">
        <x:v>QUEST_OBJECTIVE</x:v>
      </x:c>
      <x:c r="R398" s="104" t="str">
        <x:v>quest.objective.completed</x:v>
      </x:c>
      <x:c r="S398" s="104" t="str"/>
    </x:row>
    <x:row r="399" ht="74" customHeight="1">
      <x:c r="A399" s="101" t="str">
        <x:v>B-D2-01</x:v>
      </x:c>
      <x:c r="B399" s="101" t="str">
        <x:v>B-D2-01-S05</x:v>
      </x:c>
      <x:c r="C399" s="109" t="n">
        <x:v>5</x:v>
      </x:c>
      <x:c r="D399" s="101" t="str">
        <x:v>COMPLETE</x:v>
      </x:c>
      <x:c r="E399" s="101" t="str">
        <x:v>TALK_TO_NPC</x:v>
      </x:c>
      <x:c r="F399" s="101" t="str">
        <x:v>OBJECTIVE</x:v>
      </x:c>
      <x:c r="G399" s="101" t="str">
        <x:v>COMPLETE_DIALOGUE</x:v>
      </x:c>
      <x:c r="H399" s="101" t="str">
        <x:v>TEAM</x:v>
      </x:c>
      <x:c r="I399" s="101" t="str">
        <x:v>place_day_2_basilica_di_santa_maria_maggiore</x:v>
      </x:c>
      <x:c r="J399" s="101" t="str">
        <x:v>B-D2-01-COMPLETE</x:v>
      </x:c>
      <x:c r="K399" s="101" t="str">
        <x:v>Abschlussdialog beziehungsweise Eventresultat anzeigen.</x:v>
      </x:c>
      <x:c r="L399" s="101" t="str">
        <x:v>dialogSequenceComplete('B-D2-01-COMPLETE')</x:v>
      </x:c>
      <x:c r="M399" s="101" t="str">
        <x:v>state=REWARD</x:v>
      </x:c>
      <x:c r="N399" s="101" t="str">
        <x:v>Erneut anzeigen.</x:v>
      </x:c>
      <x:c r="O399" s="101" t="str">
        <x:v>REQUIRED</x:v>
      </x:c>
      <x:c r="P399" s="101" t="str">
        <x:v>allRequiredObjectivesComplete</x:v>
      </x:c>
      <x:c r="Q399" s="101" t="str">
        <x:v>DIALOGUE</x:v>
      </x:c>
      <x:c r="R399" s="101" t="str">
        <x:v>quest.completed</x:v>
      </x:c>
      <x:c r="S399" s="101" t="str"/>
    </x:row>
    <x:row r="400" ht="74" customHeight="1">
      <x:c r="A400" s="104" t="str">
        <x:v>B-D2-01</x:v>
      </x:c>
      <x:c r="B400" s="104" t="str">
        <x:v>B-D2-01-S06</x:v>
      </x:c>
      <x:c r="C400" s="110" t="n">
        <x:v>6</x:v>
      </x:c>
      <x:c r="D400" s="104" t="str">
        <x:v>REWARD</x:v>
      </x:c>
      <x:c r="E400" s="104" t="str">
        <x:v>GRANT_REWARD</x:v>
      </x:c>
      <x:c r="F400" s="104" t="str">
        <x:v>SYSTEM_ACTION</x:v>
      </x:c>
      <x:c r="G400" s="104" t="str"/>
      <x:c r="H400" s="104" t="str">
        <x:v>TEAM</x:v>
      </x:c>
      <x:c r="I400" s="104" t="str"/>
      <x:c r="J400" s="104" t="str">
        <x:v>B-D2-01</x:v>
      </x:c>
      <x:c r="K400" s="104" t="str">
        <x:v>Belohnung atomar vergeben; Medien-/Bosswertung gegebenenfalls als PENDING_REVIEW markieren.</x:v>
      </x:c>
      <x:c r="L400" s="104" t="str">
        <x:v>rewardTransactionCommitted || rewardStatus == PENDING_REVIEW</x:v>
      </x:c>
      <x:c r="M400" s="104" t="str">
        <x:v>state=COMPLETED</x:v>
      </x:c>
      <x:c r="N400" s="104" t="str">
        <x:v>Idempotenter Retry.</x:v>
      </x:c>
      <x:c r="O400" s="104" t="str">
        <x:v>REQUIRED</x:v>
      </x:c>
      <x:c r="P400" s="104" t="str">
        <x:v>questComplete</x:v>
      </x:c>
      <x:c r="Q400" s="104" t="str">
        <x:v>REWARD</x:v>
      </x:c>
      <x:c r="R400" s="104" t="str">
        <x:v>quest.reward.granted</x:v>
      </x:c>
      <x:c r="S400" s="104" t="str"/>
    </x:row>
  </x:sheetData>
  <x:mergeCells>
    <x:mergeCell ref="A1:S1"/>
    <x:mergeCell ref="A2:S2"/>
  </x:mergeCells>
  <x:conditionalFormatting sqref="O5:O400">
    <x:cfRule type="containsText" dxfId="26" priority="1" operator="containsText" text="REQUIRED"/>
    <x:cfRule type="containsText" dxfId="27" priority="2" operator="containsText" text="OPTIONAL"/>
  </x:conditionalFormatting>
  <x:pageMargins left="0.7" right="0.7" top="0.75" bottom="0.75" header="0.3" footer="0.3"/>
  <x:tableParts count="1">
    <x:tablePart xmlns:r="http://schemas.openxmlformats.org/officeDocument/2006/relationships" r:id="Rd58eb11425534e76"/>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18" hidden="0" customWidth="1"/>
    <x:col min="4" max="4" width="13" hidden="0" customWidth="1"/>
    <x:col min="5" max="5" width="7" hidden="0" customWidth="1"/>
    <x:col min="6" max="6" width="28" hidden="0" customWidth="1"/>
    <x:col min="7" max="7" width="27" hidden="0" customWidth="1"/>
    <x:col min="8" max="8" width="26" hidden="0" customWidth="1"/>
    <x:col min="9" max="9" width="28" hidden="0" customWidth="1"/>
    <x:col min="10" max="10" width="52" hidden="0" customWidth="1"/>
    <x:col min="11" max="11" width="22" hidden="0" customWidth="1"/>
    <x:col min="12" max="12" width="35" hidden="0" customWidth="1"/>
    <x:col min="13" max="13" width="43" hidden="0" customWidth="1"/>
    <x:col min="14" max="14" width="35" hidden="0" customWidth="1"/>
    <x:col min="15" max="15" width="22" hidden="0" customWidth="1"/>
    <x:col min="16" max="16" width="35" hidden="0" customWidth="1"/>
    <x:col min="17" max="17" width="43" hidden="0" customWidth="1"/>
    <x:col min="18" max="18" width="35" hidden="0" customWidth="1"/>
    <x:col min="19" max="19" width="22" hidden="0" customWidth="1"/>
    <x:col min="20" max="20" width="35" hidden="0" customWidth="1"/>
    <x:col min="21" max="21" width="43" hidden="0" customWidth="1"/>
    <x:col min="22" max="22" width="35" hidden="0" customWidth="1"/>
    <x:col min="23" max="23" width="21" hidden="0" customWidth="1"/>
    <x:col min="24" max="24" width="21" hidden="0" customWidth="1"/>
    <x:col min="25" max="25" width="13" hidden="0" customWidth="1"/>
    <x:col min="26" max="26" width="16" hidden="0" customWidth="1"/>
    <x:col min="27" max="27" width="48" hidden="0" customWidth="1"/>
  </x:cols>
  <x:sheetData>
    <x:row r="1" ht="28" customHeight="1">
      <x:c r="A1" s="91" t="str">
        <x:v>Via Romae – Dialogbäume v0.8</x:v>
      </x:c>
      <x:c r="B1" s="91"/>
      <x:c r="C1" s="91"/>
      <x:c r="D1" s="91"/>
      <x:c r="E1" s="91"/>
      <x:c r="F1" s="91"/>
      <x:c r="G1" s="91"/>
      <x:c r="H1" s="91"/>
      <x:c r="I1" s="91"/>
      <x:c r="J1" s="91"/>
      <x:c r="K1" s="91"/>
      <x:c r="L1" s="91"/>
      <x:c r="M1" s="91"/>
      <x:c r="N1" s="91"/>
      <x:c r="O1" s="91"/>
      <x:c r="P1" s="91"/>
      <x:c r="Q1" s="91"/>
      <x:c r="R1" s="91"/>
      <x:c r="S1" s="91"/>
      <x:c r="T1" s="91"/>
      <x:c r="U1" s="91"/>
      <x:c r="V1" s="91"/>
      <x:c r="W1" s="91"/>
      <x:c r="X1" s="91"/>
      <x:c r="Y1" s="91"/>
      <x:c r="Z1" s="91"/>
      <x:c r="AA1" s="91"/>
    </x:row>
    <x:row r="2" ht="38" customHeight="1">
      <x:c r="A2" s="95" t="str">
        <x:v>Linearer Stamm mit kurzen Seitenästen: Angebot, Zwischenreaktion, Abschluss. Jede Auswahl besitzt eine maschinenlesbare Effect-JSON und führt in den Hauptpfad zurück.</x:v>
      </x:c>
      <x:c r="B2" s="95"/>
      <x:c r="C2" s="95"/>
      <x:c r="D2" s="95"/>
      <x:c r="E2" s="95"/>
      <x:c r="F2" s="95"/>
      <x:c r="G2" s="95"/>
      <x:c r="H2" s="95"/>
      <x:c r="I2" s="95"/>
      <x:c r="J2" s="95"/>
      <x:c r="K2" s="95"/>
      <x:c r="L2" s="95"/>
      <x:c r="M2" s="95"/>
      <x:c r="N2" s="95"/>
      <x:c r="O2" s="95"/>
      <x:c r="P2" s="95"/>
      <x:c r="Q2" s="95"/>
      <x:c r="R2" s="95"/>
      <x:c r="S2" s="95"/>
      <x:c r="T2" s="95"/>
      <x:c r="U2" s="95"/>
      <x:c r="V2" s="95"/>
      <x:c r="W2" s="95"/>
      <x:c r="X2" s="95"/>
      <x:c r="Y2" s="95"/>
      <x:c r="Z2" s="95"/>
      <x:c r="AA2" s="95"/>
    </x:row>
    <x:row r="3">
      <x:c r="A3" s="52"/>
      <x:c r="B3" s="52"/>
      <x:c r="C3" s="52"/>
      <x:c r="D3" s="52"/>
      <x:c r="E3" s="52"/>
      <x:c r="F3" s="52"/>
      <x:c r="G3" s="52"/>
      <x:c r="H3" s="52"/>
      <x:c r="I3" s="52"/>
      <x:c r="J3" s="52"/>
      <x:c r="K3" s="52"/>
      <x:c r="L3" s="52"/>
      <x:c r="M3" s="52"/>
      <x:c r="N3" s="52"/>
      <x:c r="O3" s="52"/>
      <x:c r="P3" s="52"/>
      <x:c r="Q3" s="52"/>
      <x:c r="R3" s="52"/>
      <x:c r="S3" s="52"/>
      <x:c r="T3" s="52"/>
      <x:c r="U3" s="52"/>
      <x:c r="V3" s="52"/>
      <x:c r="W3" s="52"/>
      <x:c r="X3" s="52"/>
      <x:c r="Y3" s="52"/>
      <x:c r="Z3" s="52"/>
      <x:c r="AA3" s="52"/>
    </x:row>
    <x:row r="4" ht="42" customHeight="1">
      <x:c r="A4" s="98" t="str">
        <x:v>Quest-ID</x:v>
      </x:c>
      <x:c r="B4" s="98" t="str">
        <x:v>Sequenz-ID</x:v>
      </x:c>
      <x:c r="C4" s="98" t="str">
        <x:v>Node-ID</x:v>
      </x:c>
      <x:c r="D4" s="98" t="str">
        <x:v>Phase</x:v>
      </x:c>
      <x:c r="E4" s="98" t="str">
        <x:v>Order</x:v>
      </x:c>
      <x:c r="F4" s="98" t="str">
        <x:v>Speaker-ID</x:v>
      </x:c>
      <x:c r="G4" s="98" t="str">
        <x:v>Speaker</x:v>
      </x:c>
      <x:c r="H4" s="98" t="str">
        <x:v>Momentane Stimmung</x:v>
      </x:c>
      <x:c r="I4" s="98" t="str">
        <x:v>Bedingung</x:v>
      </x:c>
      <x:c r="J4" s="98" t="str">
        <x:v>NPC-Text</x:v>
      </x:c>
      <x:c r="K4" s="98" t="str">
        <x:v>Option 1 ID</x:v>
      </x:c>
      <x:c r="L4" s="98" t="str">
        <x:v>Option 1</x:v>
      </x:c>
      <x:c r="M4" s="98" t="str">
        <x:v>Antwort 1</x:v>
      </x:c>
      <x:c r="N4" s="98" t="str">
        <x:v>Effect JSON 1</x:v>
      </x:c>
      <x:c r="O4" s="98" t="str">
        <x:v>Option 2 ID</x:v>
      </x:c>
      <x:c r="P4" s="98" t="str">
        <x:v>Option 2</x:v>
      </x:c>
      <x:c r="Q4" s="98" t="str">
        <x:v>Antwort 2</x:v>
      </x:c>
      <x:c r="R4" s="98" t="str">
        <x:v>Effect JSON 2</x:v>
      </x:c>
      <x:c r="S4" s="98" t="str">
        <x:v>Option 3 ID</x:v>
      </x:c>
      <x:c r="T4" s="98" t="str">
        <x:v>Option 3</x:v>
      </x:c>
      <x:c r="U4" s="98" t="str">
        <x:v>Antwort 3</x:v>
      </x:c>
      <x:c r="V4" s="98" t="str">
        <x:v>Effect JSON 3</x:v>
      </x:c>
      <x:c r="W4" s="98" t="str">
        <x:v>Default Next</x:v>
      </x:c>
      <x:c r="X4" s="98" t="str">
        <x:v>Easter-Egg</x:v>
      </x:c>
      <x:c r="Y4" s="98" t="str">
        <x:v>Node-Zeichen</x:v>
      </x:c>
      <x:c r="Z4" s="98" t="str">
        <x:v>Sequenz-Zeichen</x:v>
      </x:c>
      <x:c r="AA4" s="98" t="str">
        <x:v>Hinweis</x:v>
      </x:c>
    </x:row>
    <x:row r="5" ht="88" customHeight="1">
      <x:c r="A5" s="101" t="str">
        <x:v>D1-Q01</x:v>
      </x:c>
      <x:c r="B5" s="101" t="str">
        <x:v>D1-Q01-OFFER</x:v>
      </x:c>
      <x:c r="C5" s="101" t="str">
        <x:v>D1-Q01-N1</x:v>
      </x:c>
      <x:c r="D5" s="101" t="str">
        <x:v>OFFER</x:v>
      </x:c>
      <x:c r="E5" s="101" t="n">
        <x:v>1</x:v>
      </x:c>
      <x:c r="F5" s="101" t="str">
        <x:v>npc_konrad_schildwacht</x:v>
      </x:c>
      <x:c r="G5" s="101" t="str">
        <x:v>Konrad von der letzten Schildwacht</x:v>
      </x:c>
      <x:c r="H5" s="101" t="str">
        <x:v>angespannt und wachsam</x:v>
      </x:c>
      <x:c r="I5" s="101" t="str">
        <x:v>questActive || phase==OFFER</x:v>
      </x:c>
      <x:c r="J5" s="101" t="str">
        <x:v>Halt. Der Passetto schweigt zu laut. Jemand hat die alte Fluchtlinie markiert – entweder ein Verbündeter oder ein sehr ordentlicher Verräter. Prüft den Weg. An der Engelsburg habt ihr für den Nachhutbeschluss 60 Sekunden; danach sichere ich automatisch die Langsamsten, und der Zeitbonus entfällt.</x:v>
      </x:c>
      <x:c r="K5" s="101" t="str">
        <x:v>ACCEPT_DUTY</x:v>
      </x:c>
      <x:c r="L5" s="101" t="str">
        <x:v>Wir sichern den Weg. Zeigt uns die erste Spur.</x:v>
      </x:c>
      <x:c r="M5" s="101" t="str">
        <x:v>Gut. Keine Heldenpose, bevor die Ausgänge gezählt sind.</x:v>
      </x:c>
      <x:c r="N5" s="101" t="str">
        <x:v>{"accept":true}</x:v>
      </x:c>
      <x:c r="O5" s="101" t="str">
        <x:v>ASK_HISTORY</x:v>
      </x:c>
      <x:c r="P5" s="101" t="str">
        <x:v>Warum führt der Gang zur Engelsburg?</x:v>
      </x:c>
      <x:c r="Q5" s="101" t="str">
        <x:v>Weil Mauern manchmal schneller urteilen als Höflinge. Die Fakten findet ihr am Weg – nicht in meinem Pathos.</x:v>
      </x:c>
      <x:c r="R5" s="101" t="str">
        <x:v>{"loreHint":true}</x:v>
      </x:c>
      <x:c r="S5" s="101" t="str">
        <x:v>SWISS_GUARD_OATH</x:v>
      </x:c>
      <x:c r="T5" s="101" t="str">
        <x:v>[Schweizergarde] Ich übernehme die Vorhut.</x:v>
      </x:c>
      <x:c r="U5" s="101" t="str">
        <x:v>Dann führe, aber zähle dein Team. Eine leere Formation beeindruckt nur Tauben.</x:v>
      </x:c>
      <x:c r="V5" s="101" t="str">
        <x:v>{"classCheck":"SWISS_GUARD","buff":"route_guard"}</x:v>
      </x:c>
      <x:c r="W5" s="101" t="str">
        <x:v>D1-Q01-MID</x:v>
      </x:c>
      <x:c r="X5" s="101" t="str"/>
      <x:c r="Y5" s="109" t="n">
        <x:f>LEN(J5)+LEN(L5)+LEN(M5)+LEN(P5)+LEN(Q5)+LEN(T5)+LEN(U5)</x:f>
        <x:v>662</x:v>
      </x:c>
      <x:c r="Z5" s="109" t="n">
        <x:f>SUMIF($B$5:$B$124,B5,$Y$5:$Y$124)</x:f>
        <x:v>662</x:v>
      </x:c>
      <x:c r="AA5" s="101" t="str">
        <x:v>Max. 1000 Zeichen pro Interaktionssequenz; historischer Inhalt nur aus Fact-Set.</x:v>
      </x:c>
    </x:row>
    <x:row r="6" ht="88" customHeight="1">
      <x:c r="A6" s="104" t="str">
        <x:v>D1-Q01</x:v>
      </x:c>
      <x:c r="B6" s="104" t="str">
        <x:v>D1-Q01-MID</x:v>
      </x:c>
      <x:c r="C6" s="104" t="str">
        <x:v>D1-Q01-N2</x:v>
      </x:c>
      <x:c r="D6" s="104" t="str">
        <x:v>MID</x:v>
      </x:c>
      <x:c r="E6" s="104" t="n">
        <x:v>2</x:v>
      </x:c>
      <x:c r="F6" s="104" t="str">
        <x:v>npc_konrad_schildwacht</x:v>
      </x:c>
      <x:c r="G6" s="104" t="str">
        <x:v>Konrad von der letzten Schildwacht</x:v>
      </x:c>
      <x:c r="H6" s="104" t="str">
        <x:v>angespannt und wachsam</x:v>
      </x:c>
      <x:c r="I6" s="104" t="str">
        <x:v>questActive || phase==OFFER</x:v>
      </x:c>
      <x:c r="J6" s="104" t="str">
        <x:v>Der Mauerzug stimmt. Jetzt fehlt die Losung. Wer FIDES nur nachplappert, bewacht höchstens eine Garderobe. Der Entscheidungs-Countdown beginnt erst, wenn ihr ihn am Ziel ausdrücklich startet.</x:v>
      </x:c>
      <x:c r="K6" s="104" t="str">
        <x:v>REQUEST_HINT</x:v>
      </x:c>
      <x:c r="L6" s="104" t="str">
        <x:v>Gebt uns einen Hinweis.</x:v>
      </x:c>
      <x:c r="M6" s="104" t="str">
        <x:v>Ein Hinweis grenzt ein, löst aber nicht. Öffnet Stufe eins.</x:v>
      </x:c>
      <x:c r="N6" s="104" t="str">
        <x:v>{"openHint":1}</x:v>
      </x:c>
      <x:c r="O6" s="104" t="str">
        <x:v>START_NACHHUT_TIMER</x:v>
      </x:c>
      <x:c r="P6" s="104" t="str">
        <x:v>Wir starten den 60-Sekunden-Beschluss.</x:v>
      </x:c>
      <x:c r="Q6" s="104" t="str">
        <x:v>Dann zählt jetzt jede klare Stimme. Ohne Beschluss sichere ich nach Ablauf die Langsamsten; die Quest geht weiter, der Zeitbonus nicht.</x:v>
      </x:c>
      <x:c r="R6" s="104" t="str">
        <x:v>{"startTimer":"TMR-D1-Q01-S12","openObjective":true}</x:v>
      </x:c>
      <x:c r="S6" s="104" t="str">
        <x:v>CHECK_FACTS</x:v>
      </x:c>
      <x:c r="T6" s="104" t="str">
        <x:v>Welche Aussagen sind belegt?</x:v>
      </x:c>
      <x:c r="U6" s="104" t="str">
        <x:v>Öffnet die Faktenkarte. Fiktionale Rahmung ist dort getrennt markiert.</x:v>
      </x:c>
      <x:c r="V6" s="104" t="str">
        <x:v>{"openFactCard":true}</x:v>
      </x:c>
      <x:c r="W6" s="104" t="str">
        <x:v>D1-Q01-COMPLETE</x:v>
      </x:c>
      <x:c r="X6" s="104" t="str"/>
      <x:c r="Y6" s="110" t="n">
        <x:f>LEN(J6)+LEN(L6)+LEN(M6)+LEN(P6)+LEN(Q6)+LEN(T6)+LEN(U6)</x:f>
        <x:v>544</x:v>
      </x:c>
      <x:c r="Z6" s="110" t="n">
        <x:f>SUMIF($B$5:$B$124,B6,$Y$5:$Y$124)</x:f>
        <x:v>544</x:v>
      </x:c>
      <x:c r="AA6" s="104" t="str">
        <x:v>Max. 1000 Zeichen pro Interaktionssequenz; historischer Inhalt nur aus Fact-Set.</x:v>
      </x:c>
    </x:row>
    <x:row r="7" ht="88" customHeight="1">
      <x:c r="A7" s="101" t="str">
        <x:v>D1-Q01</x:v>
      </x:c>
      <x:c r="B7" s="101" t="str">
        <x:v>D1-Q01-COMPLETE</x:v>
      </x:c>
      <x:c r="C7" s="101" t="str">
        <x:v>D1-Q01-N3</x:v>
      </x:c>
      <x:c r="D7" s="101" t="str">
        <x:v>COMPLETE</x:v>
      </x:c>
      <x:c r="E7" s="101" t="n">
        <x:v>3</x:v>
      </x:c>
      <x:c r="F7" s="101" t="str">
        <x:v>npc_konrad_schildwacht</x:v>
      </x:c>
      <x:c r="G7" s="101" t="str">
        <x:v>Konrad von der letzten Schildwacht</x:v>
      </x:c>
      <x:c r="H7" s="101" t="str">
        <x:v>angespannt und wachsam</x:v>
      </x:c>
      <x:c r="I7" s="101" t="str">
        <x:v>questActive || phase==OFFER</x:v>
      </x:c>
      <x:c r="J7" s="101" t="str">
        <x:v>Der Weg ist offen. Nun die unangenehme Frage: Wer bleibt zurück, wenn die Menge drängt? Eine gute Antwort schützt Menschen; eine glänzende Antwort schützt nur den Erzähler.</x:v>
      </x:c>
      <x:c r="K7" s="101" t="str">
        <x:v>NACHHUT_HALTEN</x:v>
      </x:c>
      <x:c r="L7" s="101" t="str">
        <x:v>Wir halten die Nachhut und schützen die Langsamsten.</x:v>
      </x:c>
      <x:c r="M7" s="101" t="str">
        <x:v>Konrad nickt. ‚Schutz vor Ruhm. Gute Reihenfolge.‘</x:v>
      </x:c>
      <x:c r="N7" s="101" t="str">
        <x:v>{"decision":"NACHHUT_HALTEN","rewardVariant":"protection"}</x:v>
      </x:c>
      <x:c r="O7" s="101" t="str">
        <x:v>IRRWEG_LEGEN</x:v>
      </x:c>
      <x:c r="P7" s="101" t="str">
        <x:v>Wir legen eine falsche Spur und vermeiden den Kampf.</x:v>
      </x:c>
      <x:c r="Q7" s="101" t="str">
        <x:v>Konrad lächelt knapp. ‚Eine kluge Lüge mit ehrlichem Zweck.‘</x:v>
      </x:c>
      <x:c r="R7" s="101" t="str">
        <x:v>{"decision":"IRRWEG_LEGEN","rewardVariant":"denarii"}</x:v>
      </x:c>
      <x:c r="S7" s="101" t="str">
        <x:v>SCHATTEN_STELLEN</x:v>
      </x:c>
      <x:c r="T7" s="101" t="str">
        <x:v>Wir stellen den Schatten direkt.</x:v>
      </x:c>
      <x:c r="U7" s="101" t="str">
        <x:v>‚Dann endet der Dialog und beginnt die Pflicht.‘</x:v>
      </x:c>
      <x:c r="V7" s="101" t="str">
        <x:v>{"decision":"SCHATTEN_STELLEN","startCombat":"CP-QE-PASSETTO"}</x:v>
      </x:c>
      <x:c r="W7" s="101" t="str">
        <x:v>END</x:v>
      </x:c>
      <x:c r="X7" s="101" t="str"/>
      <x:c r="Y7" s="109" t="n">
        <x:f>LEN(J7)+LEN(L7)+LEN(M7)+LEN(P7)+LEN(Q7)+LEN(T7)+LEN(U7)</x:f>
        <x:v>466</x:v>
      </x:c>
      <x:c r="Z7" s="109" t="n">
        <x:f>SUMIF($B$5:$B$124,B7,$Y$5:$Y$124)</x:f>
        <x:v>466</x:v>
      </x:c>
      <x:c r="AA7" s="101" t="str">
        <x:v>Max. 1000 Zeichen pro Interaktionssequenz; historischer Inhalt nur aus Fact-Set.</x:v>
      </x:c>
    </x:row>
    <x:row r="8" ht="88" customHeight="1">
      <x:c r="A8" s="104" t="str">
        <x:v>D1-Q02</x:v>
      </x:c>
      <x:c r="B8" s="104" t="str">
        <x:v>D1-Q02-OFFER</x:v>
      </x:c>
      <x:c r="C8" s="104" t="str">
        <x:v>D1-Q02-N1</x:v>
      </x:c>
      <x:c r="D8" s="104" t="str">
        <x:v>OFFER</x:v>
      </x:c>
      <x:c r="E8" s="104" t="n">
        <x:v>1</x:v>
      </x:c>
      <x:c r="F8" s="104" t="str">
        <x:v>npc_capitano_malatesta</x:v>
      </x:c>
      <x:c r="G8" s="104" t="str">
        <x:v>Capitano Malatesta</x:v>
      </x:c>
      <x:c r="H8" s="104" t="str">
        <x:v>spöttisch gelangweilt</x:v>
      </x:c>
      <x:c r="I8" s="104" t="str">
        <x:v>questActive || phase==OFFER</x:v>
      </x:c>
      <x:c r="J8" s="104" t="str">
        <x:v>Drei Tore, drei Temperamente. Eines prahlt, eines überlebt als Narbe, eines könnte eine Nachhut tragen. Bringt mir ihre Merkmale – und verschont mich mit dem Satz: ‚Auf der Karte sah es nah aus.‘</x:v>
      </x:c>
      <x:c r="K8" s="104" t="str">
        <x:v>ACCEPT_WAGER</x:v>
      </x:c>
      <x:c r="L8" s="104" t="str">
        <x:v>Wir nehmen die Wette an.</x:v>
      </x:c>
      <x:c r="M8" s="104" t="str">
        <x:v>Endlich. Mein Ruf langweilt sich bereits.</x:v>
      </x:c>
      <x:c r="N8" s="104" t="str">
        <x:v>{"accept":true}</x:v>
      </x:c>
      <x:c r="O8" s="104" t="str">
        <x:v>ASK_TACTICS</x:v>
      </x:c>
      <x:c r="P8" s="104" t="str">
        <x:v>Welche Merkmale zählen taktisch?</x:v>
      </x:c>
      <x:c r="Q8" s="104" t="str">
        <x:v>Bögen, Flanken, freie Rückwege. Goldverzierungen stoppen keine Lanze.</x:v>
      </x:c>
      <x:c r="R8" s="104" t="str">
        <x:v>{"hint":"TACTICAL"}</x:v>
      </x:c>
      <x:c r="S8" s="104" t="str">
        <x:v>CONDOTTIERE_APPRAISAL</x:v>
      </x:c>
      <x:c r="T8" s="104" t="str">
        <x:v>[Condottiere] Ich prüfe Engpass und Rückzug.</x:v>
      </x:c>
      <x:c r="U8" s="104" t="str">
        <x:v>Ha! Wenigstens eine Person spricht meine Sprache.</x:v>
      </x:c>
      <x:c r="V8" s="104" t="str">
        <x:v>{"classCheck":"CONDOTTIERE","buff":"armor_opening"}</x:v>
      </x:c>
      <x:c r="W8" s="104" t="str">
        <x:v>D1-Q02-MID</x:v>
      </x:c>
      <x:c r="X8" s="104" t="str"/>
      <x:c r="Y8" s="110" t="n">
        <x:f>LEN(J8)+LEN(L8)+LEN(M8)+LEN(P8)+LEN(Q8)+LEN(T8)+LEN(U8)</x:f>
        <x:v>454</x:v>
      </x:c>
      <x:c r="Z8" s="110" t="n">
        <x:f>SUMIF($B$5:$B$124,B8,$Y$5:$Y$124)</x:f>
        <x:v>454</x:v>
      </x:c>
      <x:c r="AA8" s="104" t="str">
        <x:v>Max. 1000 Zeichen pro Interaktionssequenz; historischer Inhalt nur aus Fact-Set.</x:v>
      </x:c>
    </x:row>
    <x:row r="9" ht="88" customHeight="1">
      <x:c r="A9" s="101" t="str">
        <x:v>D1-Q02</x:v>
      </x:c>
      <x:c r="B9" s="101" t="str">
        <x:v>D1-Q02-MID</x:v>
      </x:c>
      <x:c r="C9" s="101" t="str">
        <x:v>D1-Q02-N2</x:v>
      </x:c>
      <x:c r="D9" s="101" t="str">
        <x:v>MID</x:v>
      </x:c>
      <x:c r="E9" s="101" t="n">
        <x:v>2</x:v>
      </x:c>
      <x:c r="F9" s="101" t="str">
        <x:v>npc_capitano_malatesta</x:v>
      </x:c>
      <x:c r="G9" s="101" t="str">
        <x:v>Capitano Malatesta</x:v>
      </x:c>
      <x:c r="H9" s="101" t="str">
        <x:v>spöttisch gelangweilt</x:v>
      </x:c>
      <x:c r="I9" s="101" t="str">
        <x:v>questActive || phase==OFFER</x:v>
      </x:c>
      <x:c r="J9" s="101" t="str">
        <x:v>Ein Tor ist kein Gemälde. Man liest Öffnung, Flanke, Rückweg. Wer nur das Wappen bewundert, wird sehr dekorativ besiegt.</x:v>
      </x:c>
      <x:c r="K9" s="101" t="str">
        <x:v>REQUEST_HINT</x:v>
      </x:c>
      <x:c r="L9" s="101" t="str">
        <x:v>Gebt uns einen Hinweis.</x:v>
      </x:c>
      <x:c r="M9" s="101" t="str">
        <x:v>Ein Hinweis grenzt ein, löst aber nicht. Öffnet Stufe eins.</x:v>
      </x:c>
      <x:c r="N9" s="101" t="str">
        <x:v>{"openHint":1}</x:v>
      </x:c>
      <x:c r="O9" s="101" t="str">
        <x:v>OPEN_OBJECTIVE</x:v>
      </x:c>
      <x:c r="P9" s="101" t="str">
        <x:v>Wir sind bereit für die Aufgabe.</x:v>
      </x:c>
      <x:c r="Q9" s="101" t="str">
        <x:v>Dann öffnet die aktuelle Interaktion und bestätigt als Team.</x:v>
      </x:c>
      <x:c r="R9" s="101" t="str">
        <x:v>{"openObjective":true}</x:v>
      </x:c>
      <x:c r="S9" s="101" t="str">
        <x:v>CHECK_FACTS</x:v>
      </x:c>
      <x:c r="T9" s="101" t="str">
        <x:v>Welche Aussagen sind belegt?</x:v>
      </x:c>
      <x:c r="U9" s="101" t="str">
        <x:v>Öffnet die Faktenkarte. Fiktionale Rahmung ist dort getrennt markiert.</x:v>
      </x:c>
      <x:c r="V9" s="101" t="str">
        <x:v>{"openFactCard":true}</x:v>
      </x:c>
      <x:c r="W9" s="101" t="str">
        <x:v>D1-Q02-COMPLETE</x:v>
      </x:c>
      <x:c r="X9" s="101" t="str"/>
      <x:c r="Y9" s="109" t="n">
        <x:f>LEN(J9)+LEN(L9)+LEN(M9)+LEN(P9)+LEN(Q9)+LEN(T9)+LEN(U9)</x:f>
        <x:v>392</x:v>
      </x:c>
      <x:c r="Z9" s="109" t="n">
        <x:f>SUMIF($B$5:$B$124,B9,$Y$5:$Y$124)</x:f>
        <x:v>392</x:v>
      </x:c>
      <x:c r="AA9" s="101" t="str">
        <x:v>Max. 1000 Zeichen pro Interaktionssequenz; historischer Inhalt nur aus Fact-Set.</x:v>
      </x:c>
    </x:row>
    <x:row r="10" ht="88" customHeight="1">
      <x:c r="A10" s="104" t="str">
        <x:v>D1-Q02</x:v>
      </x:c>
      <x:c r="B10" s="104" t="str">
        <x:v>D1-Q02-COMPLETE</x:v>
      </x:c>
      <x:c r="C10" s="104" t="str">
        <x:v>D1-Q02-N3</x:v>
      </x:c>
      <x:c r="D10" s="104" t="str">
        <x:v>COMPLETE</x:v>
      </x:c>
      <x:c r="E10" s="104" t="n">
        <x:v>3</x:v>
      </x:c>
      <x:c r="F10" s="104" t="str">
        <x:v>npc_capitano_malatesta</x:v>
      </x:c>
      <x:c r="G10" s="104" t="str">
        <x:v>Capitano Malatesta</x:v>
      </x:c>
      <x:c r="H10" s="104" t="str">
        <x:v>spöttisch gelangweilt</x:v>
      </x:c>
      <x:c r="I10" s="104" t="str">
        <x:v>questActive || phase==OFFER</x:v>
      </x:c>
      <x:c r="J10" s="104" t="str">
        <x:v>Eure Aufstellung ist beinahe vernünftig. Der Cavalleggero Pontificio hält sie trotzdem für eine persönliche Beleidigung. Das ist ausgezeichnet.</x:v>
      </x:c>
      <x:c r="K10" s="104" t="str">
        <x:v>CLOSE_HUMBLE</x:v>
      </x:c>
      <x:c r="L10" s="104" t="str">
        <x:v>Wir dokumentieren die Lösung.</x:v>
      </x:c>
      <x:c r="M10" s="104" t="str">
        <x:v>Sauber abgeschlossen.</x:v>
      </x:c>
      <x:c r="N10" s="104" t="str">
        <x:v>{"closeDialogue":true}</x:v>
      </x:c>
      <x:c r="O10" s="104" t="str">
        <x:v>OPEN_FACTS</x:v>
      </x:c>
      <x:c r="P10" s="104" t="str">
        <x:v>Was sollten wir historisch behalten?</x:v>
      </x:c>
      <x:c r="Q10" s="104" t="str">
        <x:v>Öffnet die verifizierten Fakten und Quellen dieser Quest.</x:v>
      </x:c>
      <x:c r="R10" s="104" t="str">
        <x:v>{"openFactCard":true}</x:v>
      </x:c>
      <x:c r="S10" s="104" t="str">
        <x:v>PREVIEW_REWARD</x:v>
      </x:c>
      <x:c r="T10" s="104" t="str">
        <x:v>Und was erhalten wir?</x:v>
      </x:c>
      <x:c r="U10" s="104" t="str">
        <x:v>Die Belohnungsvorschau zeigt Arbeitswerte; der Server vergibt atomar.</x:v>
      </x:c>
      <x:c r="V10" s="104" t="str">
        <x:v>{"openRewardPreview":true}</x:v>
      </x:c>
      <x:c r="W10" s="104" t="str">
        <x:v>END</x:v>
      </x:c>
      <x:c r="X10" s="104" t="str"/>
      <x:c r="Y10" s="110" t="n">
        <x:f>LEN(J10)+LEN(L10)+LEN(M10)+LEN(P10)+LEN(Q10)+LEN(T10)+LEN(U10)</x:f>
        <x:v>376</x:v>
      </x:c>
      <x:c r="Z10" s="110" t="n">
        <x:f>SUMIF($B$5:$B$124,B10,$Y$5:$Y$124)</x:f>
        <x:v>376</x:v>
      </x:c>
      <x:c r="AA10" s="104" t="str">
        <x:v>Max. 1000 Zeichen pro Interaktionssequenz; historischer Inhalt nur aus Fact-Set.</x:v>
      </x:c>
    </x:row>
    <x:row r="11" ht="88" customHeight="1">
      <x:c r="A11" s="101" t="str">
        <x:v>D1-Q03</x:v>
      </x:c>
      <x:c r="B11" s="101" t="str">
        <x:v>D1-Q03-OFFER</x:v>
      </x:c>
      <x:c r="C11" s="101" t="str">
        <x:v>D1-Q03-N1</x:v>
      </x:c>
      <x:c r="D11" s="101" t="str">
        <x:v>OFFER</x:v>
      </x:c>
      <x:c r="E11" s="101" t="n">
        <x:v>1</x:v>
      </x:c>
      <x:c r="F11" s="101" t="str">
        <x:v>npc_flaminia_trivium</x:v>
      </x:c>
      <x:c r="G11" s="101" t="str">
        <x:v>Flaminia vom Dreizack</x:v>
      </x:c>
      <x:c r="H11" s="101" t="str">
        <x:v>spielerisch ungeduldig</x:v>
      </x:c>
      <x:c r="I11" s="101" t="str">
        <x:v>questActive || phase==OFFER</x:v>
      </x:c>
      <x:c r="J11" s="101" t="str">
        <x:v>Rom gibt euch drei Straßen und erwartet, dass ihr die falsche nehmt. Unhöflich, aber traditionsreich. Teilt die Blickrichtungen, sammelt drei Wegzeichen und findet euch am Tor wieder – ohne leuchtenden Punkt, der euch bemuttert.</x:v>
      </x:c>
      <x:c r="K11" s="101" t="str">
        <x:v>ACCEPT_TRIDENT</x:v>
      </x:c>
      <x:c r="L11" s="101" t="str">
        <x:v>Wir teilen die drei Richtungen auf.</x:v>
      </x:c>
      <x:c r="M11" s="101" t="str">
        <x:v>Gut. Drei Mitglieder übernehmen Spitzen; ein viertes darf koordinieren, nicht dirigieren.</x:v>
      </x:c>
      <x:c r="N11" s="101" t="str">
        <x:v>{"accept":true}</x:v>
      </x:c>
      <x:c r="O11" s="101" t="str">
        <x:v>ASK_REGROUP</x:v>
      </x:c>
      <x:c r="P11" s="101" t="str">
        <x:v>Wie finden wir zurück?</x:v>
      </x:c>
      <x:c r="Q11" s="101" t="str">
        <x:v>Mit Hinweisen, nicht mit einem sichtbaren Zielmarker. Das Tor verrät sich erst aus der Nähe.</x:v>
      </x:c>
      <x:c r="R11" s="101" t="str">
        <x:v>{"navigationBrief":true}</x:v>
      </x:c>
      <x:c r="S11" s="101" t="str">
        <x:v>JOKE_PIGEONS</x:v>
      </x:c>
      <x:c r="T11" s="101" t="str">
        <x:v>Dürfen die Tauben eine Straße übernehmen?</x:v>
      </x:c>
      <x:c r="U11" s="101" t="str">
        <x:v>Nur wenn eine Taube im Team registriert ist. Das Formular ist absurd lang.</x:v>
      </x:c>
      <x:c r="V11" s="101" t="str">
        <x:v>{"cosmetic":"pigeon_joke"}</x:v>
      </x:c>
      <x:c r="W11" s="101" t="str">
        <x:v>D1-Q03-MID</x:v>
      </x:c>
      <x:c r="X11" s="101" t="str"/>
      <x:c r="Y11" s="109" t="n">
        <x:f>LEN(J11)+LEN(L11)+LEN(M11)+LEN(P11)+LEN(Q11)+LEN(T11)+LEN(U11)</x:f>
        <x:v>581</x:v>
      </x:c>
      <x:c r="Z11" s="109" t="n">
        <x:f>SUMIF($B$5:$B$124,B11,$Y$5:$Y$124)</x:f>
        <x:v>581</x:v>
      </x:c>
      <x:c r="AA11" s="101" t="str">
        <x:v>Max. 1000 Zeichen pro Interaktionssequenz; historischer Inhalt nur aus Fact-Set.</x:v>
      </x:c>
    </x:row>
    <x:row r="12" ht="88" customHeight="1">
      <x:c r="A12" s="104" t="str">
        <x:v>D1-Q03</x:v>
      </x:c>
      <x:c r="B12" s="104" t="str">
        <x:v>D1-Q03-MID</x:v>
      </x:c>
      <x:c r="C12" s="104" t="str">
        <x:v>D1-Q03-N2</x:v>
      </x:c>
      <x:c r="D12" s="104" t="str">
        <x:v>MID</x:v>
      </x:c>
      <x:c r="E12" s="104" t="n">
        <x:v>2</x:v>
      </x:c>
      <x:c r="F12" s="104" t="str">
        <x:v>npc_flaminia_trivium</x:v>
      </x:c>
      <x:c r="G12" s="104" t="str">
        <x:v>Flaminia vom Dreizack</x:v>
      </x:c>
      <x:c r="H12" s="104" t="str">
        <x:v>spielerisch ungeduldig</x:v>
      </x:c>
      <x:c r="I12" s="104" t="str">
        <x:v>questActive || phase==OFFER</x:v>
      </x:c>
      <x:c r="J12" s="104" t="str">
        <x:v>Die Löwen wissen, wer wo steht. Ihr hoffentlich auch. Wenn jemand ‚Ich bin bei der Kirche‘ sagt, schuldet das Team der Stadt einen Denar an Präzision.</x:v>
      </x:c>
      <x:c r="K12" s="104" t="str">
        <x:v>REQUEST_HINT</x:v>
      </x:c>
      <x:c r="L12" s="104" t="str">
        <x:v>Gebt uns einen Hinweis.</x:v>
      </x:c>
      <x:c r="M12" s="104" t="str">
        <x:v>Ein Hinweis grenzt ein, löst aber nicht. Öffnet Stufe eins.</x:v>
      </x:c>
      <x:c r="N12" s="104" t="str">
        <x:v>{"openHint":1}</x:v>
      </x:c>
      <x:c r="O12" s="104" t="str">
        <x:v>OPEN_OBJECTIVE</x:v>
      </x:c>
      <x:c r="P12" s="104" t="str">
        <x:v>Wir sind bereit für die Aufgabe.</x:v>
      </x:c>
      <x:c r="Q12" s="104" t="str">
        <x:v>Dann öffnet die aktuelle Interaktion und bestätigt als Team.</x:v>
      </x:c>
      <x:c r="R12" s="104" t="str">
        <x:v>{"openObjective":true}</x:v>
      </x:c>
      <x:c r="S12" s="104" t="str">
        <x:v>CHECK_FACTS</x:v>
      </x:c>
      <x:c r="T12" s="104" t="str">
        <x:v>Welche Aussagen sind belegt?</x:v>
      </x:c>
      <x:c r="U12" s="104" t="str">
        <x:v>Öffnet die Faktenkarte. Fiktionale Rahmung ist dort getrennt markiert.</x:v>
      </x:c>
      <x:c r="V12" s="104" t="str">
        <x:v>{"openFactCard":true}</x:v>
      </x:c>
      <x:c r="W12" s="104" t="str">
        <x:v>D1-Q03-COMPLETE</x:v>
      </x:c>
      <x:c r="X12" s="104" t="str"/>
      <x:c r="Y12" s="110" t="n">
        <x:f>LEN(J12)+LEN(L12)+LEN(M12)+LEN(P12)+LEN(Q12)+LEN(T12)+LEN(U12)</x:f>
        <x:v>422</x:v>
      </x:c>
      <x:c r="Z12" s="110" t="n">
        <x:f>SUMIF($B$5:$B$124,B12,$Y$5:$Y$124)</x:f>
        <x:v>422</x:v>
      </x:c>
      <x:c r="AA12" s="104" t="str">
        <x:v>Max. 1000 Zeichen pro Interaktionssequenz; historischer Inhalt nur aus Fact-Set.</x:v>
      </x:c>
    </x:row>
    <x:row r="13" ht="88" customHeight="1">
      <x:c r="A13" s="101" t="str">
        <x:v>D1-Q03</x:v>
      </x:c>
      <x:c r="B13" s="101" t="str">
        <x:v>D1-Q03-COMPLETE</x:v>
      </x:c>
      <x:c r="C13" s="101" t="str">
        <x:v>D1-Q03-N3</x:v>
      </x:c>
      <x:c r="D13" s="101" t="str">
        <x:v>COMPLETE</x:v>
      </x:c>
      <x:c r="E13" s="101" t="n">
        <x:v>3</x:v>
      </x:c>
      <x:c r="F13" s="101" t="str">
        <x:v>npc_flaminia_trivium</x:v>
      </x:c>
      <x:c r="G13" s="101" t="str">
        <x:v>Flaminia vom Dreizack</x:v>
      </x:c>
      <x:c r="H13" s="101" t="str">
        <x:v>spielerisch ungeduldig</x:v>
      </x:c>
      <x:c r="I13" s="101" t="str">
        <x:v>questActive || phase==OFFER</x:v>
      </x:c>
      <x:c r="J13" s="101" t="str">
        <x:v>Drei Wege, ein Team. Ihr seid wieder vollständig – erstaunlich. Die Piazza verliert ihre Wette und ich meine schlechte Laune.</x:v>
      </x:c>
      <x:c r="K13" s="101" t="str">
        <x:v>CLOSE_HUMBLE</x:v>
      </x:c>
      <x:c r="L13" s="101" t="str">
        <x:v>Wir dokumentieren die Lösung.</x:v>
      </x:c>
      <x:c r="M13" s="101" t="str">
        <x:v>Sauber abgeschlossen.</x:v>
      </x:c>
      <x:c r="N13" s="101" t="str">
        <x:v>{"closeDialogue":true}</x:v>
      </x:c>
      <x:c r="O13" s="101" t="str">
        <x:v>OPEN_FACTS</x:v>
      </x:c>
      <x:c r="P13" s="101" t="str">
        <x:v>Was sollten wir historisch behalten?</x:v>
      </x:c>
      <x:c r="Q13" s="101" t="str">
        <x:v>Öffnet die verifizierten Fakten und Quellen dieser Quest.</x:v>
      </x:c>
      <x:c r="R13" s="101" t="str">
        <x:v>{"openFactCard":true}</x:v>
      </x:c>
      <x:c r="S13" s="101" t="str">
        <x:v>PREVIEW_REWARD</x:v>
      </x:c>
      <x:c r="T13" s="101" t="str">
        <x:v>Und was erhalten wir?</x:v>
      </x:c>
      <x:c r="U13" s="101" t="str">
        <x:v>Die Belohnungsvorschau zeigt Arbeitswerte; der Server vergibt atomar.</x:v>
      </x:c>
      <x:c r="V13" s="101" t="str">
        <x:v>{"openRewardPreview":true}</x:v>
      </x:c>
      <x:c r="W13" s="101" t="str">
        <x:v>END</x:v>
      </x:c>
      <x:c r="X13" s="101" t="str"/>
      <x:c r="Y13" s="109" t="n">
        <x:f>LEN(J13)+LEN(L13)+LEN(M13)+LEN(P13)+LEN(Q13)+LEN(T13)+LEN(U13)</x:f>
        <x:v>358</x:v>
      </x:c>
      <x:c r="Z13" s="109" t="n">
        <x:f>SUMIF($B$5:$B$124,B13,$Y$5:$Y$124)</x:f>
        <x:v>358</x:v>
      </x:c>
      <x:c r="AA13" s="101" t="str">
        <x:v>Max. 1000 Zeichen pro Interaktionssequenz; historischer Inhalt nur aus Fact-Set.</x:v>
      </x:c>
    </x:row>
    <x:row r="14" ht="88" customHeight="1">
      <x:c r="A14" s="104" t="str">
        <x:v>D1-Q04</x:v>
      </x:c>
      <x:c r="B14" s="104" t="str">
        <x:v>D1-Q04-OFFER</x:v>
      </x:c>
      <x:c r="C14" s="104" t="str">
        <x:v>D1-Q04-N1</x:v>
      </x:c>
      <x:c r="D14" s="104" t="str">
        <x:v>OFFER</x:v>
      </x:c>
      <x:c r="E14" s="104" t="n">
        <x:v>1</x:v>
      </x:c>
      <x:c r="F14" s="104" t="str">
        <x:v>npc_seshat_pincio</x:v>
      </x:c>
      <x:c r="G14" s="104" t="str">
        <x:v>Seshat vom Pincio</x:v>
      </x:c>
      <x:c r="H14" s="104" t="str">
        <x:v>kühl besorgt</x:v>
      </x:c>
      <x:c r="I14" s="104" t="str">
        <x:v>questActive || phase==OFFER</x:v>
      </x:c>
      <x:c r="J14" s="104" t="str">
        <x:v>Jemand hat meine Bilder vertauscht. Zeichen wurden zu Zähnen, Erinnerung zu Hunger. Ordnet Obelisk, Wölfin und Aussicht, bevor Antinoos’ Schatten merkt, dass Verwirrung eine Waffe ist.</x:v>
      </x:c>
      <x:c r="K14" s="104" t="str">
        <x:v>ACCEPT_MEMORY</x:v>
      </x:c>
      <x:c r="L14" s="104" t="str">
        <x:v>Wir setzen die Bilder wieder zusammen.</x:v>
      </x:c>
      <x:c r="M14" s="104" t="str">
        <x:v>Dann beginnt mit den Zeichen, nicht mit Vermutungen.</x:v>
      </x:c>
      <x:c r="N14" s="104" t="str">
        <x:v>{"accept":true}</x:v>
      </x:c>
      <x:c r="O14" s="104" t="str">
        <x:v>ASK_ANTINOUS</x:v>
      </x:c>
      <x:c r="P14" s="104" t="str">
        <x:v>Warum Antinoos?</x:v>
      </x:c>
      <x:c r="Q14" s="104" t="str">
        <x:v>Weil Erinnerung und Verehrung lange Schatten werfen. Die belegten Details stehen in euren Faktenkarten.</x:v>
      </x:c>
      <x:c r="R14" s="104" t="str">
        <x:v>{"loreHint":true}</x:v>
      </x:c>
      <x:c r="S14" s="104" t="str">
        <x:v>SCULPTOR_GRAIN</x:v>
      </x:c>
      <x:c r="T14" s="104" t="str">
        <x:v>[Bildhauer] Ich lese Werkzeugspuren und Material.</x:v>
      </x:c>
      <x:c r="U14" s="104" t="str">
        <x:v>Nützlich. Doch verwechselt Material nicht mit Bedeutung.</x:v>
      </x:c>
      <x:c r="V14" s="104" t="str">
        <x:v>{"classCheck":"SCULPTOR","bonusHint":true}</x:v>
      </x:c>
      <x:c r="W14" s="104" t="str">
        <x:v>D1-Q04-MID</x:v>
      </x:c>
      <x:c r="X14" s="104" t="str"/>
      <x:c r="Y14" s="110" t="n">
        <x:f>LEN(J14)+LEN(L14)+LEN(M14)+LEN(P14)+LEN(Q14)+LEN(T14)+LEN(U14)</x:f>
        <x:v>497</x:v>
      </x:c>
      <x:c r="Z14" s="110" t="n">
        <x:f>SUMIF($B$5:$B$124,B14,$Y$5:$Y$124)</x:f>
        <x:v>497</x:v>
      </x:c>
      <x:c r="AA14" s="104" t="str">
        <x:v>Max. 1000 Zeichen pro Interaktionssequenz; historischer Inhalt nur aus Fact-Set.</x:v>
      </x:c>
    </x:row>
    <x:row r="15" ht="88" customHeight="1">
      <x:c r="A15" s="101" t="str">
        <x:v>D1-Q04</x:v>
      </x:c>
      <x:c r="B15" s="101" t="str">
        <x:v>D1-Q04-MID</x:v>
      </x:c>
      <x:c r="C15" s="101" t="str">
        <x:v>D1-Q04-N2</x:v>
      </x:c>
      <x:c r="D15" s="101" t="str">
        <x:v>MID</x:v>
      </x:c>
      <x:c r="E15" s="101" t="n">
        <x:v>2</x:v>
      </x:c>
      <x:c r="F15" s="101" t="str">
        <x:v>npc_seshat_pincio</x:v>
      </x:c>
      <x:c r="G15" s="101" t="str">
        <x:v>Seshat vom Pincio</x:v>
      </x:c>
      <x:c r="H15" s="101" t="str">
        <x:v>kühl besorgt</x:v>
      </x:c>
      <x:c r="I15" s="101" t="str">
        <x:v>questActive || phase==OFFER</x:v>
      </x:c>
      <x:c r="J15" s="101" t="str">
        <x:v>Die Wölfin ist kein Schmuckstück. Nehmt ihre Tessera. Ein richtig benanntes Bild ist schwerer zu fälschen.</x:v>
      </x:c>
      <x:c r="K15" s="101" t="str">
        <x:v>REQUEST_HINT</x:v>
      </x:c>
      <x:c r="L15" s="101" t="str">
        <x:v>Gebt uns einen Hinweis.</x:v>
      </x:c>
      <x:c r="M15" s="101" t="str">
        <x:v>Ein Hinweis grenzt ein, löst aber nicht. Öffnet Stufe eins.</x:v>
      </x:c>
      <x:c r="N15" s="101" t="str">
        <x:v>{"openHint":1}</x:v>
      </x:c>
      <x:c r="O15" s="101" t="str">
        <x:v>OPEN_OBJECTIVE</x:v>
      </x:c>
      <x:c r="P15" s="101" t="str">
        <x:v>Wir sind bereit für die Aufgabe.</x:v>
      </x:c>
      <x:c r="Q15" s="101" t="str">
        <x:v>Dann öffnet die aktuelle Interaktion und bestätigt als Team.</x:v>
      </x:c>
      <x:c r="R15" s="101" t="str">
        <x:v>{"openObjective":true}</x:v>
      </x:c>
      <x:c r="S15" s="101" t="str">
        <x:v>CHECK_FACTS</x:v>
      </x:c>
      <x:c r="T15" s="101" t="str">
        <x:v>Welche Aussagen sind belegt?</x:v>
      </x:c>
      <x:c r="U15" s="101" t="str">
        <x:v>Öffnet die Faktenkarte. Fiktionale Rahmung ist dort getrennt markiert.</x:v>
      </x:c>
      <x:c r="V15" s="101" t="str">
        <x:v>{"openFactCard":true}</x:v>
      </x:c>
      <x:c r="W15" s="101" t="str">
        <x:v>D1-Q04-COMPLETE</x:v>
      </x:c>
      <x:c r="X15" s="101" t="str"/>
      <x:c r="Y15" s="109" t="n">
        <x:f>LEN(J15)+LEN(L15)+LEN(M15)+LEN(P15)+LEN(Q15)+LEN(T15)+LEN(U15)</x:f>
        <x:v>378</x:v>
      </x:c>
      <x:c r="Z15" s="109" t="n">
        <x:f>SUMIF($B$5:$B$124,B15,$Y$5:$Y$124)</x:f>
        <x:v>378</x:v>
      </x:c>
      <x:c r="AA15" s="101" t="str">
        <x:v>Max. 1000 Zeichen pro Interaktionssequenz; historischer Inhalt nur aus Fact-Set.</x:v>
      </x:c>
    </x:row>
    <x:row r="16" ht="88" customHeight="1">
      <x:c r="A16" s="104" t="str">
        <x:v>D1-Q04</x:v>
      </x:c>
      <x:c r="B16" s="104" t="str">
        <x:v>D1-Q04-COMPLETE</x:v>
      </x:c>
      <x:c r="C16" s="104" t="str">
        <x:v>D1-Q04-N3</x:v>
      </x:c>
      <x:c r="D16" s="104" t="str">
        <x:v>COMPLETE</x:v>
      </x:c>
      <x:c r="E16" s="104" t="n">
        <x:v>3</x:v>
      </x:c>
      <x:c r="F16" s="104" t="str">
        <x:v>npc_seshat_pincio</x:v>
      </x:c>
      <x:c r="G16" s="104" t="str">
        <x:v>Seshat vom Pincio</x:v>
      </x:c>
      <x:c r="H16" s="104" t="str">
        <x:v>kühl besorgt</x:v>
      </x:c>
      <x:c r="I16" s="104" t="str">
        <x:v>questActive || phase==OFFER</x:v>
      </x:c>
      <x:c r="J16" s="104" t="str">
        <x:v>Der Schatten hat nur noch eine Geschichte, hinter der er sich verstecken kann. Tretet ein – und lasst euch nicht von seiner schönsten Lüge treffen.</x:v>
      </x:c>
      <x:c r="K16" s="104" t="str">
        <x:v>CLOSE_HUMBLE</x:v>
      </x:c>
      <x:c r="L16" s="104" t="str">
        <x:v>Wir dokumentieren die Lösung.</x:v>
      </x:c>
      <x:c r="M16" s="104" t="str">
        <x:v>Sauber abgeschlossen.</x:v>
      </x:c>
      <x:c r="N16" s="104" t="str">
        <x:v>{"closeDialogue":true}</x:v>
      </x:c>
      <x:c r="O16" s="104" t="str">
        <x:v>OPEN_FACTS</x:v>
      </x:c>
      <x:c r="P16" s="104" t="str">
        <x:v>Was sollten wir historisch behalten?</x:v>
      </x:c>
      <x:c r="Q16" s="104" t="str">
        <x:v>Öffnet die verifizierten Fakten und Quellen dieser Quest.</x:v>
      </x:c>
      <x:c r="R16" s="104" t="str">
        <x:v>{"openFactCard":true}</x:v>
      </x:c>
      <x:c r="S16" s="104" t="str">
        <x:v>PREVIEW_REWARD</x:v>
      </x:c>
      <x:c r="T16" s="104" t="str">
        <x:v>Und was erhalten wir?</x:v>
      </x:c>
      <x:c r="U16" s="104" t="str">
        <x:v>Die Belohnungsvorschau zeigt Arbeitswerte; der Server vergibt atomar.</x:v>
      </x:c>
      <x:c r="V16" s="104" t="str">
        <x:v>{"openRewardPreview":true}</x:v>
      </x:c>
      <x:c r="W16" s="104" t="str">
        <x:v>END</x:v>
      </x:c>
      <x:c r="X16" s="104" t="str"/>
      <x:c r="Y16" s="110" t="n">
        <x:f>LEN(J16)+LEN(L16)+LEN(M16)+LEN(P16)+LEN(Q16)+LEN(T16)+LEN(U16)</x:f>
        <x:v>380</x:v>
      </x:c>
      <x:c r="Z16" s="110" t="n">
        <x:f>SUMIF($B$5:$B$124,B16,$Y$5:$Y$124)</x:f>
        <x:v>380</x:v>
      </x:c>
      <x:c r="AA16" s="104" t="str">
        <x:v>Max. 1000 Zeichen pro Interaktionssequenz; historischer Inhalt nur aus Fact-Set.</x:v>
      </x:c>
    </x:row>
    <x:row r="17" ht="88" customHeight="1">
      <x:c r="A17" s="101" t="str">
        <x:v>D1-Q05</x:v>
      </x:c>
      <x:c r="B17" s="101" t="str">
        <x:v>D1-Q05-OFFER</x:v>
      </x:c>
      <x:c r="C17" s="101" t="str">
        <x:v>D1-Q05-N1</x:v>
      </x:c>
      <x:c r="D17" s="101" t="str">
        <x:v>OFFER</x:v>
      </x:c>
      <x:c r="E17" s="101" t="n">
        <x:v>1</x:v>
      </x:c>
      <x:c r="F17" s="101" t="str">
        <x:v>npc_barcaccia</x:v>
      </x:c>
      <x:c r="G17" s="101" t="str">
        <x:v>La Barcaccia</x:v>
      </x:c>
      <x:c r="H17" s="101" t="str">
        <x:v>theatralisch gekränkt</x:v>
      </x:c>
      <x:c r="I17" s="101" t="str">
        <x:v>questActive || phase==OFFER</x:v>
      </x:c>
      <x:c r="J17" s="101" t="str">
        <x:v>Bevor ihr fragt: Ich bin nicht gesunken. Ich liege dramatisch niedrig. Erkennt meine Form, nennt meine große Nachbarin aus Stufen – und ich verzeihe Rom vielleicht den nächsten Reiseführer.</x:v>
      </x:c>
      <x:c r="K17" s="101" t="str">
        <x:v>ACCEPT_BOAT</x:v>
      </x:c>
      <x:c r="L17" s="101" t="str">
        <x:v>Wir untersuchen deine Form.</x:v>
      </x:c>
      <x:c r="M17" s="101" t="str">
        <x:v>Sagt es ruhig mit Ehrfurcht. Oder wenigstens deutlich.</x:v>
      </x:c>
      <x:c r="N17" s="101" t="str">
        <x:v>{"accept":true}</x:v>
      </x:c>
      <x:c r="O17" s="101" t="str">
        <x:v>ASK_SUNKEN</x:v>
      </x:c>
      <x:c r="P17" s="101" t="str">
        <x:v>Bist du wirklich nicht gesunken?</x:v>
      </x:c>
      <x:c r="Q17" s="101" t="str">
        <x:v>Nein. Ich bin ästhetisch abgesenkt. Das ist teurer.</x:v>
      </x:c>
      <x:c r="R17" s="101" t="str">
        <x:v>{"cosmetic":"barcaccia_pride"}</x:v>
      </x:c>
      <x:c r="S17" s="101" t="str">
        <x:v>SCULPTOR_FORM</x:v>
      </x:c>
      <x:c r="T17" s="101" t="str">
        <x:v>[Bildhauer] Die Silhouette entscheidet.</x:v>
      </x:c>
      <x:c r="U17" s="101" t="str">
        <x:v>Ah! Eine Stimme der Vernunft zwischen tausend Selfies.</x:v>
      </x:c>
      <x:c r="V17" s="101" t="str">
        <x:v>{"classCheck":"SCULPTOR","bonusLore":true}</x:v>
      </x:c>
      <x:c r="W17" s="101" t="str">
        <x:v>D1-Q05-MID</x:v>
      </x:c>
      <x:c r="X17" s="101" t="str"/>
      <x:c r="Y17" s="109" t="n">
        <x:f>LEN(J17)+LEN(L17)+LEN(M17)+LEN(P17)+LEN(Q17)+LEN(T17)+LEN(U17)</x:f>
        <x:v>446</x:v>
      </x:c>
      <x:c r="Z17" s="109" t="n">
        <x:f>SUMIF($B$5:$B$124,B17,$Y$5:$Y$124)</x:f>
        <x:v>446</x:v>
      </x:c>
      <x:c r="AA17" s="101" t="str">
        <x:v>Max. 1000 Zeichen pro Interaktionssequenz; historischer Inhalt nur aus Fact-Set.</x:v>
      </x:c>
    </x:row>
    <x:row r="18" ht="88" customHeight="1">
      <x:c r="A18" s="104" t="str">
        <x:v>D1-Q05</x:v>
      </x:c>
      <x:c r="B18" s="104" t="str">
        <x:v>D1-Q05-MID</x:v>
      </x:c>
      <x:c r="C18" s="104" t="str">
        <x:v>D1-Q05-N2</x:v>
      </x:c>
      <x:c r="D18" s="104" t="str">
        <x:v>MID</x:v>
      </x:c>
      <x:c r="E18" s="104" t="n">
        <x:v>2</x:v>
      </x:c>
      <x:c r="F18" s="104" t="str">
        <x:v>npc_barcaccia</x:v>
      </x:c>
      <x:c r="G18" s="104" t="str">
        <x:v>La Barcaccia</x:v>
      </x:c>
      <x:c r="H18" s="104" t="str">
        <x:v>theatralisch gekränkt</x:v>
      </x:c>
      <x:c r="I18" s="104" t="str">
        <x:v>questActive || phase==OFFER</x:v>
      </x:c>
      <x:c r="J18" s="104" t="str">
        <x:v>Bug, Heck, niedriger Wasserspiegel. Wer jetzt ‚Badewanne‘ wählt, wird aus meinem Logbuch gestrichen.</x:v>
      </x:c>
      <x:c r="K18" s="104" t="str">
        <x:v>REQUEST_HINT</x:v>
      </x:c>
      <x:c r="L18" s="104" t="str">
        <x:v>Gebt uns einen Hinweis.</x:v>
      </x:c>
      <x:c r="M18" s="104" t="str">
        <x:v>Ein Hinweis grenzt ein, löst aber nicht. Öffnet Stufe eins.</x:v>
      </x:c>
      <x:c r="N18" s="104" t="str">
        <x:v>{"openHint":1}</x:v>
      </x:c>
      <x:c r="O18" s="104" t="str">
        <x:v>OPEN_OBJECTIVE</x:v>
      </x:c>
      <x:c r="P18" s="104" t="str">
        <x:v>Wir sind bereit für die Aufgabe.</x:v>
      </x:c>
      <x:c r="Q18" s="104" t="str">
        <x:v>Dann öffnet die aktuelle Interaktion und bestätigt als Team.</x:v>
      </x:c>
      <x:c r="R18" s="104" t="str">
        <x:v>{"openObjective":true}</x:v>
      </x:c>
      <x:c r="S18" s="104" t="str">
        <x:v>CHECK_FACTS</x:v>
      </x:c>
      <x:c r="T18" s="104" t="str">
        <x:v>Welche Aussagen sind belegt?</x:v>
      </x:c>
      <x:c r="U18" s="104" t="str">
        <x:v>Öffnet die Faktenkarte. Fiktionale Rahmung ist dort getrennt markiert.</x:v>
      </x:c>
      <x:c r="V18" s="104" t="str">
        <x:v>{"openFactCard":true}</x:v>
      </x:c>
      <x:c r="W18" s="104" t="str">
        <x:v>D1-Q05-COMPLETE</x:v>
      </x:c>
      <x:c r="X18" s="104" t="str"/>
      <x:c r="Y18" s="110" t="n">
        <x:f>LEN(J18)+LEN(L18)+LEN(M18)+LEN(P18)+LEN(Q18)+LEN(T18)+LEN(U18)</x:f>
        <x:v>372</x:v>
      </x:c>
      <x:c r="Z18" s="110" t="n">
        <x:f>SUMIF($B$5:$B$124,B18,$Y$5:$Y$124)</x:f>
        <x:v>372</x:v>
      </x:c>
      <x:c r="AA18" s="104" t="str">
        <x:v>Max. 1000 Zeichen pro Interaktionssequenz; historischer Inhalt nur aus Fact-Set.</x:v>
      </x:c>
    </x:row>
    <x:row r="19" ht="88" customHeight="1">
      <x:c r="A19" s="101" t="str">
        <x:v>D1-Q05</x:v>
      </x:c>
      <x:c r="B19" s="101" t="str">
        <x:v>D1-Q05-COMPLETE</x:v>
      </x:c>
      <x:c r="C19" s="101" t="str">
        <x:v>D1-Q05-N3</x:v>
      </x:c>
      <x:c r="D19" s="101" t="str">
        <x:v>COMPLETE</x:v>
      </x:c>
      <x:c r="E19" s="101" t="n">
        <x:v>3</x:v>
      </x:c>
      <x:c r="F19" s="101" t="str">
        <x:v>npc_barcaccia</x:v>
      </x:c>
      <x:c r="G19" s="101" t="str">
        <x:v>La Barcaccia</x:v>
      </x:c>
      <x:c r="H19" s="101" t="str">
        <x:v>theatralisch gekränkt</x:v>
      </x:c>
      <x:c r="I19" s="101" t="str">
        <x:v>questActive || phase==OFFER</x:v>
      </x:c>
      <x:c r="J19" s="101" t="str">
        <x:v>Ein Boot! Endlich Fachleute. Ihr dürft weiterziehen; ich bleibe hier und trage den gesamten Barock auf meinen Schultern. Im Liegen.</x:v>
      </x:c>
      <x:c r="K19" s="101" t="str">
        <x:v>CLOSE_HUMBLE</x:v>
      </x:c>
      <x:c r="L19" s="101" t="str">
        <x:v>Wir dokumentieren die Lösung.</x:v>
      </x:c>
      <x:c r="M19" s="101" t="str">
        <x:v>Sauber abgeschlossen.</x:v>
      </x:c>
      <x:c r="N19" s="101" t="str">
        <x:v>{"closeDialogue":true}</x:v>
      </x:c>
      <x:c r="O19" s="101" t="str">
        <x:v>OPEN_FACTS</x:v>
      </x:c>
      <x:c r="P19" s="101" t="str">
        <x:v>Was sollten wir historisch behalten?</x:v>
      </x:c>
      <x:c r="Q19" s="101" t="str">
        <x:v>Öffnet die verifizierten Fakten und Quellen dieser Quest.</x:v>
      </x:c>
      <x:c r="R19" s="101" t="str">
        <x:v>{"openFactCard":true}</x:v>
      </x:c>
      <x:c r="S19" s="101" t="str">
        <x:v>PREVIEW_REWARD</x:v>
      </x:c>
      <x:c r="T19" s="101" t="str">
        <x:v>Und was erhalten wir?</x:v>
      </x:c>
      <x:c r="U19" s="101" t="str">
        <x:v>Die Belohnungsvorschau zeigt Arbeitswerte; der Server vergibt atomar.</x:v>
      </x:c>
      <x:c r="V19" s="101" t="str">
        <x:v>{"openRewardPreview":true}</x:v>
      </x:c>
      <x:c r="W19" s="101" t="str">
        <x:v>END</x:v>
      </x:c>
      <x:c r="X19" s="101" t="str"/>
      <x:c r="Y19" s="109" t="n">
        <x:f>LEN(J19)+LEN(L19)+LEN(M19)+LEN(P19)+LEN(Q19)+LEN(T19)+LEN(U19)</x:f>
        <x:v>364</x:v>
      </x:c>
      <x:c r="Z19" s="109" t="n">
        <x:f>SUMIF($B$5:$B$124,B19,$Y$5:$Y$124)</x:f>
        <x:v>364</x:v>
      </x:c>
      <x:c r="AA19" s="101" t="str">
        <x:v>Max. 1000 Zeichen pro Interaktionssequenz; historischer Inhalt nur aus Fact-Set.</x:v>
      </x:c>
    </x:row>
    <x:row r="20" ht="88" customHeight="1">
      <x:c r="A20" s="104" t="str">
        <x:v>D1-Q06</x:v>
      </x:c>
      <x:c r="B20" s="104" t="str">
        <x:v>D1-Q06-OFFER</x:v>
      </x:c>
      <x:c r="C20" s="104" t="str">
        <x:v>D1-Q06-N1</x:v>
      </x:c>
      <x:c r="D20" s="104" t="str">
        <x:v>OFFER</x:v>
      </x:c>
      <x:c r="E20" s="104" t="n">
        <x:v>1</x:v>
      </x:c>
      <x:c r="F20" s="104" t="str">
        <x:v>npc_bernini_echo</x:v>
      </x:c>
      <x:c r="G20" s="104" t="str">
        <x:v>Gian Lorenzo Bernini – Werkstattecho</x:v>
      </x:c>
      <x:c r="H20" s="104" t="str">
        <x:v>kreativ gereizt</x:v>
      </x:c>
      <x:c r="I20" s="104" t="str">
        <x:v>questActive || phase==OFFER</x:v>
      </x:c>
      <x:c r="J20" s="104" t="str">
        <x:v>Eine Piazza ist eine Bühne, kein Möbelhaus. Drei Brunnen, drei Blickpunkte, ein Takt. Wenn alle an ihrem Brunnen BEREIT drücken, laufen 20 Sekunden. Verpasst ihr das Fenster, geht es sicher nacheinander weiter; nur der Synchronbonus entfällt. Wer dafür rennt, arbeitet morgen an Sockeln.</x:v>
      </x:c>
      <x:c r="K20" s="104" t="str">
        <x:v>ACCEPT_WORKSHOP</x:v>
      </x:c>
      <x:c r="L20" s="104" t="str">
        <x:v>Wir übernehmen die drei Brunnen.</x:v>
      </x:c>
      <x:c r="M20" s="104" t="str">
        <x:v>Ausgezeichnet. Drei Augenpaare, ein Takt.</x:v>
      </x:c>
      <x:c r="N20" s="104" t="str">
        <x:v>{"accept":true}</x:v>
      </x:c>
      <x:c r="O20" s="104" t="str">
        <x:v>ASK_SYNC</x:v>
      </x:c>
      <x:c r="P20" s="104" t="str">
        <x:v>Wie genau synchron?</x:v>
      </x:c>
      <x:c r="Q20" s="104" t="str">
        <x:v>Erst melden alle ‚bereit‘. Dann läuft ein ruhiges Zwanzig-Sekunden-Fenster. Niemand sprintet.</x:v>
      </x:c>
      <x:c r="R20" s="104" t="str">
        <x:v>{"navigationBrief":true}</x:v>
      </x:c>
      <x:c r="S20" s="104" t="str">
        <x:v>SCULPTOR_DIRECT</x:v>
      </x:c>
      <x:c r="T20" s="104" t="str">
        <x:v>[Bildhauer] Ich übernehme die Zuordnung.</x:v>
      </x:c>
      <x:c r="U20" s="104" t="str">
        <x:v>Dann beweise Geschmack und lasse die anderen trotzdem sehen.</x:v>
      </x:c>
      <x:c r="V20" s="104" t="str">
        <x:v>{"classCheck":"SCULPTOR","bonus":"master_hint"}</x:v>
      </x:c>
      <x:c r="W20" s="104" t="str">
        <x:v>D1-Q06-MID</x:v>
      </x:c>
      <x:c r="X20" s="104" t="str"/>
      <x:c r="Y20" s="110" t="n">
        <x:f>LEN(J20)+LEN(L20)+LEN(M20)+LEN(P20)+LEN(Q20)+LEN(T20)+LEN(U20)</x:f>
        <x:v>572</x:v>
      </x:c>
      <x:c r="Z20" s="110" t="n">
        <x:f>SUMIF($B$5:$B$124,B20,$Y$5:$Y$124)</x:f>
        <x:v>572</x:v>
      </x:c>
      <x:c r="AA20" s="104" t="str">
        <x:v>Max. 1000 Zeichen pro Interaktionssequenz; historischer Inhalt nur aus Fact-Set.</x:v>
      </x:c>
    </x:row>
    <x:row r="21" ht="88" customHeight="1">
      <x:c r="A21" s="101" t="str">
        <x:v>D1-Q06</x:v>
      </x:c>
      <x:c r="B21" s="101" t="str">
        <x:v>D1-Q06-MID</x:v>
      </x:c>
      <x:c r="C21" s="101" t="str">
        <x:v>D1-Q06-N2</x:v>
      </x:c>
      <x:c r="D21" s="101" t="str">
        <x:v>MID</x:v>
      </x:c>
      <x:c r="E21" s="101" t="n">
        <x:v>2</x:v>
      </x:c>
      <x:c r="F21" s="101" t="str">
        <x:v>npc_bernini_echo</x:v>
      </x:c>
      <x:c r="G21" s="101" t="str">
        <x:v>Gian Lorenzo Bernini – Werkstattecho</x:v>
      </x:c>
      <x:c r="H21" s="101" t="str">
        <x:v>kreativ gereizt</x:v>
      </x:c>
      <x:c r="I21" s="101" t="str">
        <x:v>questActive || phase==OFFER</x:v>
      </x:c>
      <x:c r="J21" s="101" t="str">
        <x:v>Nord, Mitte, Süd – und niemand rennt. Erst die Positionen, dann dreimal BEREIT, dann 20 Sekunden. Große Kunst entsteht durch Timing, nicht durch verstauchte Knöchel.</x:v>
      </x:c>
      <x:c r="K21" s="101" t="str">
        <x:v>REQUEST_HINT</x:v>
      </x:c>
      <x:c r="L21" s="101" t="str">
        <x:v>Gebt uns einen Hinweis.</x:v>
      </x:c>
      <x:c r="M21" s="101" t="str">
        <x:v>Ein Hinweis grenzt ein, löst aber nicht. Öffnet Stufe eins.</x:v>
      </x:c>
      <x:c r="N21" s="101" t="str">
        <x:v>{"openHint":1}</x:v>
      </x:c>
      <x:c r="O21" s="101" t="str">
        <x:v>PREPARE_SYNC_TIMER</x:v>
      </x:c>
      <x:c r="P21" s="101" t="str">
        <x:v>Wir verteilen uns und melden dreimal BEREIT.</x:v>
      </x:c>
      <x:c r="Q21" s="101" t="str">
        <x:v>Gut. Erst nach dem dritten BEREIT beginnen 20 Sekunden. Verpasst ihr sie, wechselt die Aufgabe ohne Scheitern in den Sequenzmodus.</x:v>
      </x:c>
      <x:c r="R21" s="101" t="str">
        <x:v>{"prepareTimer":"TMR-D1-Q06-S05","openObjective":true}</x:v>
      </x:c>
      <x:c r="S21" s="101" t="str">
        <x:v>CHECK_FACTS</x:v>
      </x:c>
      <x:c r="T21" s="101" t="str">
        <x:v>Welche Aussagen sind belegt?</x:v>
      </x:c>
      <x:c r="U21" s="101" t="str">
        <x:v>Öffnet die Faktenkarte. Fiktionale Rahmung ist dort getrennt markiert.</x:v>
      </x:c>
      <x:c r="V21" s="101" t="str">
        <x:v>{"openFactCard":true}</x:v>
      </x:c>
      <x:c r="W21" s="101" t="str">
        <x:v>D1-Q06-COMPLETE</x:v>
      </x:c>
      <x:c r="X21" s="101" t="str"/>
      <x:c r="Y21" s="109" t="n">
        <x:f>LEN(J21)+LEN(L21)+LEN(M21)+LEN(P21)+LEN(Q21)+LEN(T21)+LEN(U21)</x:f>
        <x:v>519</x:v>
      </x:c>
      <x:c r="Z21" s="109" t="n">
        <x:f>SUMIF($B$5:$B$124,B21,$Y$5:$Y$124)</x:f>
        <x:v>519</x:v>
      </x:c>
      <x:c r="AA21" s="101" t="str">
        <x:v>Max. 1000 Zeichen pro Interaktionssequenz; historischer Inhalt nur aus Fact-Set.</x:v>
      </x:c>
    </x:row>
    <x:row r="22" ht="88" customHeight="1">
      <x:c r="A22" s="104" t="str">
        <x:v>D1-Q06</x:v>
      </x:c>
      <x:c r="B22" s="104" t="str">
        <x:v>D1-Q06-COMPLETE</x:v>
      </x:c>
      <x:c r="C22" s="104" t="str">
        <x:v>D1-Q06-N3</x:v>
      </x:c>
      <x:c r="D22" s="104" t="str">
        <x:v>COMPLETE</x:v>
      </x:c>
      <x:c r="E22" s="104" t="n">
        <x:v>3</x:v>
      </x:c>
      <x:c r="F22" s="104" t="str">
        <x:v>npc_bernini_echo</x:v>
      </x:c>
      <x:c r="G22" s="104" t="str">
        <x:v>Gian Lorenzo Bernini – Werkstattecho</x:v>
      </x:c>
      <x:c r="H22" s="104" t="str">
        <x:v>kreativ gereizt</x:v>
      </x:c>
      <x:c r="I22" s="104" t="str">
        <x:v>questActive || phase==OFFER</x:v>
      </x:c>
      <x:c r="J22" s="104" t="str">
        <x:v>Die Werkstatt hört auf euch. Wählt ihr Marmor für Ruhm, Bronze für klingende Denare oder Travertin für standhaften Schutz?</x:v>
      </x:c>
      <x:c r="K22" s="104" t="str">
        <x:v>MARMOR_FUER_RUHM</x:v>
      </x:c>
      <x:c r="L22" s="104" t="str">
        <x:v>Marmor: Das Werk soll lange sprechen.</x:v>
      </x:c>
      <x:c r="M22" s="104" t="str">
        <x:v>Bernini strahlt. ‚Teuer, schwer, unvernünftig – also Kunst.‘</x:v>
      </x:c>
      <x:c r="N22" s="104" t="str">
        <x:v>{"decision":"MARMOR_FUER_RUHM","rewardVariant":"score"}</x:v>
      </x:c>
      <x:c r="O22" s="104" t="str">
        <x:v>BRONZE_FUER_DENARE</x:v>
      </x:c>
      <x:c r="P22" s="104" t="str">
        <x:v>Bronze: Die Werkstatt braucht klingende Mittel.</x:v>
      </x:c>
      <x:c r="Q22" s="104" t="str">
        <x:v>‚Pragmatisch. Ich verzeihe es, weil Bronze glänzt.‘</x:v>
      </x:c>
      <x:c r="R22" s="104" t="str">
        <x:v>{"decision":"BRONZE_FUER_DENARE","rewardVariant":"denarii"}</x:v>
      </x:c>
      <x:c r="S22" s="104" t="str">
        <x:v>TRAVERTIN_FUER_SCHUTZ</x:v>
      </x:c>
      <x:c r="T22" s="104" t="str">
        <x:v>Travertin: Standhaftigkeit vor Glanz.</x:v>
      </x:c>
      <x:c r="U22" s="104" t="str">
        <x:v>‚Römisch, robust, weniger eitel als ich.‘</x:v>
      </x:c>
      <x:c r="V22" s="104" t="str">
        <x:v>{"decision":"TRAVERTIN_FUER_SCHUTZ","rewardVariant":"defense_buff"}</x:v>
      </x:c>
      <x:c r="W22" s="104" t="str">
        <x:v>END</x:v>
      </x:c>
      <x:c r="X22" s="104" t="str"/>
      <x:c r="Y22" s="110" t="n">
        <x:f>LEN(J22)+LEN(L22)+LEN(M22)+LEN(P22)+LEN(Q22)+LEN(T22)+LEN(U22)</x:f>
        <x:v>395</x:v>
      </x:c>
      <x:c r="Z22" s="110" t="n">
        <x:f>SUMIF($B$5:$B$124,B22,$Y$5:$Y$124)</x:f>
        <x:v>395</x:v>
      </x:c>
      <x:c r="AA22" s="104" t="str">
        <x:v>Max. 1000 Zeichen pro Interaktionssequenz; historischer Inhalt nur aus Fact-Set.</x:v>
      </x:c>
    </x:row>
    <x:row r="23" ht="88" customHeight="1">
      <x:c r="A23" s="101" t="str">
        <x:v>D1-Q07</x:v>
      </x:c>
      <x:c r="B23" s="101" t="str">
        <x:v>D1-Q07-OFFER</x:v>
      </x:c>
      <x:c r="C23" s="101" t="str">
        <x:v>D1-Q07-N1</x:v>
      </x:c>
      <x:c r="D23" s="101" t="str">
        <x:v>OFFER</x:v>
      </x:c>
      <x:c r="E23" s="101" t="n">
        <x:v>1</x:v>
      </x:c>
      <x:c r="F23" s="101" t="str">
        <x:v>npc_agrippa_echo</x:v>
      </x:c>
      <x:c r="G23" s="101" t="str">
        <x:v>Marcus Agrippa – Echo der Inschrift</x:v>
      </x:c>
      <x:c r="H23" s="101" t="str">
        <x:v>skeptisch</x:v>
      </x:c>
      <x:c r="I23" s="101" t="str">
        <x:v>questActive || phase==OFFER</x:v>
      </x:c>
      <x:c r="J23" s="101" t="str">
        <x:v>Mein Name steht groß genug dort oben. Trotzdem lesen Menschen zuerst ihre Benachrichtigungen. Schreibt ihn korrekt ab und prüft, worauf der Obelisk heute steht.</x:v>
      </x:c>
      <x:c r="K23" s="101" t="str">
        <x:v>ACCEPT_INSCRIPTION</x:v>
      </x:c>
      <x:c r="L23" s="101" t="str">
        <x:v>Wir fertigen die Abschrift an.</x:v>
      </x:c>
      <x:c r="M23" s="101" t="str">
        <x:v>Gut. Blick nach oben, Füße auf dem öffentlichen Platz.</x:v>
      </x:c>
      <x:c r="N23" s="101" t="str">
        <x:v>{"accept":true}</x:v>
      </x:c>
      <x:c r="O23" s="101" t="str">
        <x:v>ASK_BUILDER</x:v>
      </x:c>
      <x:c r="P23" s="101" t="str">
        <x:v>Warum ist dein Name so groß?</x:v>
      </x:c>
      <x:c r="Q23" s="101" t="str">
        <x:v>Damit spätere Teams diese Frage nicht stellen müssen. Offensichtlich vergeblich.</x:v>
      </x:c>
      <x:c r="R23" s="101" t="str">
        <x:v>{"cosmetic":"agrippa_dry"}</x:v>
      </x:c>
      <x:c r="S23" s="101" t="str">
        <x:v>CLERIC_LATIN</x:v>
      </x:c>
      <x:c r="T23" s="101" t="str">
        <x:v>[Ordensperson] Ich prüfe die lateinische Form.</x:v>
      </x:c>
      <x:c r="U23" s="101" t="str">
        <x:v>Prüfen ist erlaubt. Hinzuerfinden nicht.</x:v>
      </x:c>
      <x:c r="V23" s="101" t="str">
        <x:v>{"classCheck":"CLERIC","bonusHint":true}</x:v>
      </x:c>
      <x:c r="W23" s="101" t="str">
        <x:v>D1-Q07-MID</x:v>
      </x:c>
      <x:c r="X23" s="101" t="str"/>
      <x:c r="Y23" s="109" t="n">
        <x:f>LEN(J23)+LEN(L23)+LEN(M23)+LEN(P23)+LEN(Q23)+LEN(T23)+LEN(U23)</x:f>
        <x:v>438</x:v>
      </x:c>
      <x:c r="Z23" s="109" t="n">
        <x:f>SUMIF($B$5:$B$124,B23,$Y$5:$Y$124)</x:f>
        <x:v>438</x:v>
      </x:c>
      <x:c r="AA23" s="101" t="str">
        <x:v>Max. 1000 Zeichen pro Interaktionssequenz; historischer Inhalt nur aus Fact-Set.</x:v>
      </x:c>
    </x:row>
    <x:row r="24" ht="88" customHeight="1">
      <x:c r="A24" s="104" t="str">
        <x:v>D1-Q07</x:v>
      </x:c>
      <x:c r="B24" s="104" t="str">
        <x:v>D1-Q07-MID</x:v>
      </x:c>
      <x:c r="C24" s="104" t="str">
        <x:v>D1-Q07-N2</x:v>
      </x:c>
      <x:c r="D24" s="104" t="str">
        <x:v>MID</x:v>
      </x:c>
      <x:c r="E24" s="104" t="n">
        <x:v>2</x:v>
      </x:c>
      <x:c r="F24" s="104" t="str">
        <x:v>npc_agrippa_echo</x:v>
      </x:c>
      <x:c r="G24" s="104" t="str">
        <x:v>Marcus Agrippa – Echo der Inschrift</x:v>
      </x:c>
      <x:c r="H24" s="104" t="str">
        <x:v>skeptisch</x:v>
      </x:c>
      <x:c r="I24" s="104" t="str">
        <x:v>questActive || phase==OFFER</x:v>
      </x:c>
      <x:c r="J24" s="104" t="str">
        <x:v>Sieben Buchstaben. Keine kreative Orthografie. Architektur verzeiht vieles; Inschriften weniger.</x:v>
      </x:c>
      <x:c r="K24" s="104" t="str">
        <x:v>REQUEST_HINT</x:v>
      </x:c>
      <x:c r="L24" s="104" t="str">
        <x:v>Gebt uns einen Hinweis.</x:v>
      </x:c>
      <x:c r="M24" s="104" t="str">
        <x:v>Ein Hinweis grenzt ein, löst aber nicht. Öffnet Stufe eins.</x:v>
      </x:c>
      <x:c r="N24" s="104" t="str">
        <x:v>{"openHint":1}</x:v>
      </x:c>
      <x:c r="O24" s="104" t="str">
        <x:v>OPEN_OBJECTIVE</x:v>
      </x:c>
      <x:c r="P24" s="104" t="str">
        <x:v>Wir sind bereit für die Aufgabe.</x:v>
      </x:c>
      <x:c r="Q24" s="104" t="str">
        <x:v>Dann öffnet die aktuelle Interaktion und bestätigt als Team.</x:v>
      </x:c>
      <x:c r="R24" s="104" t="str">
        <x:v>{"openObjective":true}</x:v>
      </x:c>
      <x:c r="S24" s="104" t="str">
        <x:v>CHECK_FACTS</x:v>
      </x:c>
      <x:c r="T24" s="104" t="str">
        <x:v>Welche Aussagen sind belegt?</x:v>
      </x:c>
      <x:c r="U24" s="104" t="str">
        <x:v>Öffnet die Faktenkarte. Fiktionale Rahmung ist dort getrennt markiert.</x:v>
      </x:c>
      <x:c r="V24" s="104" t="str">
        <x:v>{"openFactCard":true}</x:v>
      </x:c>
      <x:c r="W24" s="104" t="str">
        <x:v>D1-Q07-COMPLETE</x:v>
      </x:c>
      <x:c r="X24" s="104" t="str"/>
      <x:c r="Y24" s="110" t="n">
        <x:f>LEN(J24)+LEN(L24)+LEN(M24)+LEN(P24)+LEN(Q24)+LEN(T24)+LEN(U24)</x:f>
        <x:v>368</x:v>
      </x:c>
      <x:c r="Z24" s="110" t="n">
        <x:f>SUMIF($B$5:$B$124,B24,$Y$5:$Y$124)</x:f>
        <x:v>368</x:v>
      </x:c>
      <x:c r="AA24" s="104" t="str">
        <x:v>Max. 1000 Zeichen pro Interaktionssequenz; historischer Inhalt nur aus Fact-Set.</x:v>
      </x:c>
    </x:row>
    <x:row r="25" ht="88" customHeight="1">
      <x:c r="A25" s="101" t="str">
        <x:v>D1-Q07</x:v>
      </x:c>
      <x:c r="B25" s="101" t="str">
        <x:v>D1-Q07-COMPLETE</x:v>
      </x:c>
      <x:c r="C25" s="101" t="str">
        <x:v>D1-Q07-N3</x:v>
      </x:c>
      <x:c r="D25" s="101" t="str">
        <x:v>COMPLETE</x:v>
      </x:c>
      <x:c r="E25" s="101" t="n">
        <x:v>3</x:v>
      </x:c>
      <x:c r="F25" s="101" t="str">
        <x:v>npc_agrippa_echo</x:v>
      </x:c>
      <x:c r="G25" s="101" t="str">
        <x:v>Marcus Agrippa – Echo der Inschrift</x:v>
      </x:c>
      <x:c r="H25" s="101" t="str">
        <x:v>skeptisch</x:v>
      </x:c>
      <x:c r="I25" s="101" t="str">
        <x:v>questActive || phase==OFFER</x:v>
      </x:c>
      <x:c r="J25" s="101" t="str">
        <x:v>Die Tafel stimmt. Die Mumie verliert ihren Schutz. Das ist keine Magie – es ist saubere Dokumentation mit erfreulichen Nebenwirkungen.</x:v>
      </x:c>
      <x:c r="K25" s="101" t="str">
        <x:v>CLOSE_HUMBLE</x:v>
      </x:c>
      <x:c r="L25" s="101" t="str">
        <x:v>Wir dokumentieren die Lösung.</x:v>
      </x:c>
      <x:c r="M25" s="101" t="str">
        <x:v>Sauber abgeschlossen.</x:v>
      </x:c>
      <x:c r="N25" s="101" t="str">
        <x:v>{"closeDialogue":true}</x:v>
      </x:c>
      <x:c r="O25" s="101" t="str">
        <x:v>OPEN_FACTS</x:v>
      </x:c>
      <x:c r="P25" s="101" t="str">
        <x:v>Was sollten wir historisch behalten?</x:v>
      </x:c>
      <x:c r="Q25" s="101" t="str">
        <x:v>Öffnet die verifizierten Fakten und Quellen dieser Quest.</x:v>
      </x:c>
      <x:c r="R25" s="101" t="str">
        <x:v>{"openFactCard":true}</x:v>
      </x:c>
      <x:c r="S25" s="101" t="str">
        <x:v>PREVIEW_REWARD</x:v>
      </x:c>
      <x:c r="T25" s="101" t="str">
        <x:v>Und was erhalten wir?</x:v>
      </x:c>
      <x:c r="U25" s="101" t="str">
        <x:v>Die Belohnungsvorschau zeigt Arbeitswerte; der Server vergibt atomar.</x:v>
      </x:c>
      <x:c r="V25" s="101" t="str">
        <x:v>{"openRewardPreview":true}</x:v>
      </x:c>
      <x:c r="W25" s="101" t="str">
        <x:v>END</x:v>
      </x:c>
      <x:c r="X25" s="101" t="str"/>
      <x:c r="Y25" s="109" t="n">
        <x:f>LEN(J25)+LEN(L25)+LEN(M25)+LEN(P25)+LEN(Q25)+LEN(T25)+LEN(U25)</x:f>
        <x:v>367</x:v>
      </x:c>
      <x:c r="Z25" s="109" t="n">
        <x:f>SUMIF($B$5:$B$124,B25,$Y$5:$Y$124)</x:f>
        <x:v>367</x:v>
      </x:c>
      <x:c r="AA25" s="101" t="str">
        <x:v>Max. 1000 Zeichen pro Interaktionssequenz; historischer Inhalt nur aus Fact-Set.</x:v>
      </x:c>
    </x:row>
    <x:row r="26" ht="88" customHeight="1">
      <x:c r="A26" s="104" t="str">
        <x:v>D1-Q08</x:v>
      </x:c>
      <x:c r="B26" s="104" t="str">
        <x:v>D1-Q08-OFFER</x:v>
      </x:c>
      <x:c r="C26" s="104" t="str">
        <x:v>D1-Q08-N1</x:v>
      </x:c>
      <x:c r="D26" s="104" t="str">
        <x:v>OFFER</x:v>
      </x:c>
      <x:c r="E26" s="104" t="n">
        <x:v>1</x:v>
      </x:c>
      <x:c r="F26" s="104" t="str">
        <x:v>npc_cassius_archivar</x:v>
      </x:c>
      <x:c r="G26" s="104" t="str">
        <x:v>Cassius Spiralis</x:v>
      </x:c>
      <x:c r="H26" s="104" t="str">
        <x:v>überarbeitet</x:v>
      </x:c>
      <x:c r="I26" s="104" t="str">
        <x:v>questActive || phase==OFFER</x:v>
      </x:c>
      <x:c r="J26" s="104" t="str">
        <x:v>Katastrophe. Zwei Akten, zwei Kaiser, drei Schreiberfehler und ein Praktikant, der ‚Säule ist Säule‘ notiert hat. Ordnet die Bildsprachen, bevor die Verwaltung Geschichte erfindet.</x:v>
      </x:c>
      <x:c r="K26" s="104" t="str">
        <x:v>ACCEPT_ARCHIVE</x:v>
      </x:c>
      <x:c r="L26" s="104" t="str">
        <x:v>Wir ordnen die beiden Akten.</x:v>
      </x:c>
      <x:c r="M26" s="104" t="str">
        <x:v>Endlich Menschen mit Spaltenverständnis.</x:v>
      </x:c>
      <x:c r="N26" s="104" t="str">
        <x:v>{"accept":true}</x:v>
      </x:c>
      <x:c r="O26" s="104" t="str">
        <x:v>ASK_PURPOSE</x:v>
      </x:c>
      <x:c r="P26" s="104" t="str">
        <x:v>Sollen wir auch den Zweck zuordnen?</x:v>
      </x:c>
      <x:c r="Q26" s="104" t="str">
        <x:v>Ja. Markiert Erinnerung, Zeitzeichen und Herrschaftsbild – ohne historische Behauptungen außerhalb der Faktenkarten.</x:v>
      </x:c>
      <x:c r="R26" s="104" t="str">
        <x:v>{"loreHint":true}</x:v>
      </x:c>
      <x:c r="S26" s="104" t="str">
        <x:v>JOKE_COLUMN</x:v>
      </x:c>
      <x:c r="T26" s="104" t="str">
        <x:v>Kann die Säule nicht einfach rollen?</x:v>
      </x:c>
      <x:c r="U26" s="104" t="str">
        <x:v>Nur wenn ihr die gesamte römische Bürokratie darunterlegt.</x:v>
      </x:c>
      <x:c r="V26" s="104" t="str">
        <x:v>{"cosmetic":"archive_joke"}</x:v>
      </x:c>
      <x:c r="W26" s="104" t="str">
        <x:v>D1-Q08-MID</x:v>
      </x:c>
      <x:c r="X26" s="104" t="str"/>
      <x:c r="Y26" s="110" t="n">
        <x:f>LEN(J26)+LEN(L26)+LEN(M26)+LEN(P26)+LEN(Q26)+LEN(T26)+LEN(U26)</x:f>
        <x:v>493</x:v>
      </x:c>
      <x:c r="Z26" s="110" t="n">
        <x:f>SUMIF($B$5:$B$124,B26,$Y$5:$Y$124)</x:f>
        <x:v>493</x:v>
      </x:c>
      <x:c r="AA26" s="104" t="str">
        <x:v>Max. 1000 Zeichen pro Interaktionssequenz; historischer Inhalt nur aus Fact-Set.</x:v>
      </x:c>
    </x:row>
    <x:row r="27" ht="88" customHeight="1">
      <x:c r="A27" s="101" t="str">
        <x:v>D1-Q08</x:v>
      </x:c>
      <x:c r="B27" s="101" t="str">
        <x:v>D1-Q08-MID</x:v>
      </x:c>
      <x:c r="C27" s="101" t="str">
        <x:v>D1-Q08-N2</x:v>
      </x:c>
      <x:c r="D27" s="101" t="str">
        <x:v>MID</x:v>
      </x:c>
      <x:c r="E27" s="101" t="n">
        <x:v>2</x:v>
      </x:c>
      <x:c r="F27" s="101" t="str">
        <x:v>npc_cassius_archivar</x:v>
      </x:c>
      <x:c r="G27" s="101" t="str">
        <x:v>Cassius Spiralis</x:v>
      </x:c>
      <x:c r="H27" s="101" t="str">
        <x:v>überarbeitet</x:v>
      </x:c>
      <x:c r="I27" s="101" t="str">
        <x:v>questActive || phase==OFFER</x:v>
      </x:c>
      <x:c r="J27" s="101" t="str">
        <x:v>Hieroglyphen wandern nicht von selbst auf Reliefsäulen. Meistens. In Rom sollte man das einschränken.</x:v>
      </x:c>
      <x:c r="K27" s="101" t="str">
        <x:v>REQUEST_HINT</x:v>
      </x:c>
      <x:c r="L27" s="101" t="str">
        <x:v>Gebt uns einen Hinweis.</x:v>
      </x:c>
      <x:c r="M27" s="101" t="str">
        <x:v>Ein Hinweis grenzt ein, löst aber nicht. Öffnet Stufe eins.</x:v>
      </x:c>
      <x:c r="N27" s="101" t="str">
        <x:v>{"openHint":1}</x:v>
      </x:c>
      <x:c r="O27" s="101" t="str">
        <x:v>OPEN_OBJECTIVE</x:v>
      </x:c>
      <x:c r="P27" s="101" t="str">
        <x:v>Wir sind bereit für die Aufgabe.</x:v>
      </x:c>
      <x:c r="Q27" s="101" t="str">
        <x:v>Dann öffnet die aktuelle Interaktion und bestätigt als Team.</x:v>
      </x:c>
      <x:c r="R27" s="101" t="str">
        <x:v>{"openObjective":true}</x:v>
      </x:c>
      <x:c r="S27" s="101" t="str">
        <x:v>CHECK_FACTS</x:v>
      </x:c>
      <x:c r="T27" s="101" t="str">
        <x:v>Welche Aussagen sind belegt?</x:v>
      </x:c>
      <x:c r="U27" s="101" t="str">
        <x:v>Öffnet die Faktenkarte. Fiktionale Rahmung ist dort getrennt markiert.</x:v>
      </x:c>
      <x:c r="V27" s="101" t="str">
        <x:v>{"openFactCard":true}</x:v>
      </x:c>
      <x:c r="W27" s="101" t="str">
        <x:v>D1-Q08-COMPLETE</x:v>
      </x:c>
      <x:c r="X27" s="101" t="str"/>
      <x:c r="Y27" s="109" t="n">
        <x:f>LEN(J27)+LEN(L27)+LEN(M27)+LEN(P27)+LEN(Q27)+LEN(T27)+LEN(U27)</x:f>
        <x:v>373</x:v>
      </x:c>
      <x:c r="Z27" s="109" t="n">
        <x:f>SUMIF($B$5:$B$124,B27,$Y$5:$Y$124)</x:f>
        <x:v>373</x:v>
      </x:c>
      <x:c r="AA27" s="101" t="str">
        <x:v>Max. 1000 Zeichen pro Interaktionssequenz; historischer Inhalt nur aus Fact-Set.</x:v>
      </x:c>
    </x:row>
    <x:row r="28" ht="88" customHeight="1">
      <x:c r="A28" s="104" t="str">
        <x:v>D1-Q08</x:v>
      </x:c>
      <x:c r="B28" s="104" t="str">
        <x:v>D1-Q08-COMPLETE</x:v>
      </x:c>
      <x:c r="C28" s="104" t="str">
        <x:v>D1-Q08-N3</x:v>
      </x:c>
      <x:c r="D28" s="104" t="str">
        <x:v>COMPLETE</x:v>
      </x:c>
      <x:c r="E28" s="104" t="n">
        <x:v>3</x:v>
      </x:c>
      <x:c r="F28" s="104" t="str">
        <x:v>npc_cassius_archivar</x:v>
      </x:c>
      <x:c r="G28" s="104" t="str">
        <x:v>Cassius Spiralis</x:v>
      </x:c>
      <x:c r="H28" s="104" t="str">
        <x:v>überarbeitet</x:v>
      </x:c>
      <x:c r="I28" s="104" t="str">
        <x:v>questActive || phase==OFFER</x:v>
      </x:c>
      <x:c r="J28" s="104" t="str">
        <x:v>Geordnet. Der Obelisk spricht in Zeichen, die Säule in einer Spirale aus Bildern. Ich kann wieder unzufrieden auf professionellem Niveau sein.</x:v>
      </x:c>
      <x:c r="K28" s="104" t="str">
        <x:v>CLOSE_HUMBLE</x:v>
      </x:c>
      <x:c r="L28" s="104" t="str">
        <x:v>Wir dokumentieren die Lösung.</x:v>
      </x:c>
      <x:c r="M28" s="104" t="str">
        <x:v>Sauber abgeschlossen.</x:v>
      </x:c>
      <x:c r="N28" s="104" t="str">
        <x:v>{"closeDialogue":true}</x:v>
      </x:c>
      <x:c r="O28" s="104" t="str">
        <x:v>OPEN_FACTS</x:v>
      </x:c>
      <x:c r="P28" s="104" t="str">
        <x:v>Was sollten wir historisch behalten?</x:v>
      </x:c>
      <x:c r="Q28" s="104" t="str">
        <x:v>Öffnet die verifizierten Fakten und Quellen dieser Quest.</x:v>
      </x:c>
      <x:c r="R28" s="104" t="str">
        <x:v>{"openFactCard":true}</x:v>
      </x:c>
      <x:c r="S28" s="104" t="str">
        <x:v>PREVIEW_REWARD</x:v>
      </x:c>
      <x:c r="T28" s="104" t="str">
        <x:v>Und was erhalten wir?</x:v>
      </x:c>
      <x:c r="U28" s="104" t="str">
        <x:v>Die Belohnungsvorschau zeigt Arbeitswerte; der Server vergibt atomar.</x:v>
      </x:c>
      <x:c r="V28" s="104" t="str">
        <x:v>{"openRewardPreview":true}</x:v>
      </x:c>
      <x:c r="W28" s="104" t="str">
        <x:v>END</x:v>
      </x:c>
      <x:c r="X28" s="104" t="str"/>
      <x:c r="Y28" s="110" t="n">
        <x:f>LEN(J28)+LEN(L28)+LEN(M28)+LEN(P28)+LEN(Q28)+LEN(T28)+LEN(U28)</x:f>
        <x:v>375</x:v>
      </x:c>
      <x:c r="Z28" s="110" t="n">
        <x:f>SUMIF($B$5:$B$124,B28,$Y$5:$Y$124)</x:f>
        <x:v>375</x:v>
      </x:c>
      <x:c r="AA28" s="104" t="str">
        <x:v>Max. 1000 Zeichen pro Interaktionssequenz; historischer Inhalt nur aus Fact-Set.</x:v>
      </x:c>
    </x:row>
    <x:row r="29" ht="88" customHeight="1">
      <x:c r="A29" s="101" t="str">
        <x:v>D1-Q09</x:v>
      </x:c>
      <x:c r="B29" s="101" t="str">
        <x:v>D1-Q09-OFFER</x:v>
      </x:c>
      <x:c r="C29" s="101" t="str">
        <x:v>D1-Q09-N1</x:v>
      </x:c>
      <x:c r="D29" s="101" t="str">
        <x:v>OFFER</x:v>
      </x:c>
      <x:c r="E29" s="101" t="n">
        <x:v>1</x:v>
      </x:c>
      <x:c r="F29" s="101" t="str">
        <x:v>npc_aqua_virgo</x:v>
      </x:c>
      <x:c r="G29" s="101" t="str">
        <x:v>Aqua Virgo</x:v>
      </x:c>
      <x:c r="H29" s="101" t="str">
        <x:v>empört und alarmiert</x:v>
      </x:c>
      <x:c r="I29" s="101" t="str">
        <x:v>questActive || phase==OFFER</x:v>
      </x:c>
      <x:c r="J29" s="101" t="str">
        <x:v>Mein Wasserweg wurde beleidigt. Am Trevi prahlt Stein, in der Via del Nazareno kauert die Leitung, am Triton bläst jemand Muschelhorn – und dazwischen nagt eine Ratte an meinem Ruf.</x:v>
      </x:c>
      <x:c r="K29" s="101" t="str">
        <x:v>ACCEPT_WATER</x:v>
      </x:c>
      <x:c r="L29" s="101" t="str">
        <x:v>Wir verfolgen den Wasserweg.</x:v>
      </x:c>
      <x:c r="M29" s="101" t="str">
        <x:v>Dann zählt Großformen; ignoriert Münzen und Gedränge.</x:v>
      </x:c>
      <x:c r="N29" s="101" t="str">
        <x:v>{"accept":true}</x:v>
      </x:c>
      <x:c r="O29" s="101" t="str">
        <x:v>ASK_RAT</x:v>
      </x:c>
      <x:c r="P29" s="101" t="str">
        <x:v>Wie groß ist diese Ratte?</x:v>
      </x:c>
      <x:c r="Q29" s="101" t="str">
        <x:v>Groß genug für eine eigene Meinung zur Hygiene.</x:v>
      </x:c>
      <x:c r="R29" s="101" t="str">
        <x:v>{"cosmetic":"rat_scale"}</x:v>
      </x:c>
      <x:c r="S29" s="101" t="str">
        <x:v>CLERIC_CLEANSE</x:v>
      </x:c>
      <x:c r="T29" s="101" t="str">
        <x:v>[Ordensperson] Ich segne die Ampulle.</x:v>
      </x:c>
      <x:c r="U29" s="101" t="str">
        <x:v>Wenn es euch fokussiert: gern. Die Leitung verlangt trotzdem richtige Antworten.</x:v>
      </x:c>
      <x:c r="V29" s="101" t="str">
        <x:v>{"classCheck":"CLERIC","buff":"status_resist"}</x:v>
      </x:c>
      <x:c r="W29" s="101" t="str">
        <x:v>D1-Q09-MID</x:v>
      </x:c>
      <x:c r="X29" s="101" t="str"/>
      <x:c r="Y29" s="109" t="n">
        <x:f>LEN(J29)+LEN(L29)+LEN(M29)+LEN(P29)+LEN(Q29)+LEN(T29)+LEN(U29)</x:f>
        <x:v>451</x:v>
      </x:c>
      <x:c r="Z29" s="109" t="n">
        <x:f>SUMIF($B$5:$B$124,B29,$Y$5:$Y$124)</x:f>
        <x:v>451</x:v>
      </x:c>
      <x:c r="AA29" s="101" t="str">
        <x:v>Max. 1000 Zeichen pro Interaktionssequenz; historischer Inhalt nur aus Fact-Set.</x:v>
      </x:c>
    </x:row>
    <x:row r="30" ht="88" customHeight="1">
      <x:c r="A30" s="104" t="str">
        <x:v>D1-Q09</x:v>
      </x:c>
      <x:c r="B30" s="104" t="str">
        <x:v>D1-Q09-MID</x:v>
      </x:c>
      <x:c r="C30" s="104" t="str">
        <x:v>D1-Q09-N2</x:v>
      </x:c>
      <x:c r="D30" s="104" t="str">
        <x:v>MID</x:v>
      </x:c>
      <x:c r="E30" s="104" t="n">
        <x:v>2</x:v>
      </x:c>
      <x:c r="F30" s="104" t="str">
        <x:v>npc_aqua_virgo</x:v>
      </x:c>
      <x:c r="G30" s="104" t="str">
        <x:v>Aqua Virgo</x:v>
      </x:c>
      <x:c r="H30" s="104" t="str">
        <x:v>empört und alarmiert</x:v>
      </x:c>
      <x:c r="I30" s="104" t="str">
        <x:v>questActive || phase==OFFER</x:v>
      </x:c>
      <x:c r="J30" s="104" t="str">
        <x:v>Füllt die Ampulle erst, wenn ihr den Weg verstanden habt. Wasser ohne Plan ist nur eine Pfütze mit Ambitionen.</x:v>
      </x:c>
      <x:c r="K30" s="104" t="str">
        <x:v>REQUEST_HINT</x:v>
      </x:c>
      <x:c r="L30" s="104" t="str">
        <x:v>Gebt uns einen Hinweis.</x:v>
      </x:c>
      <x:c r="M30" s="104" t="str">
        <x:v>Ein Hinweis grenzt ein, löst aber nicht. Öffnet Stufe eins.</x:v>
      </x:c>
      <x:c r="N30" s="104" t="str">
        <x:v>{"openHint":1}</x:v>
      </x:c>
      <x:c r="O30" s="104" t="str">
        <x:v>OPEN_OBJECTIVE</x:v>
      </x:c>
      <x:c r="P30" s="104" t="str">
        <x:v>Wir sind bereit für die Aufgabe.</x:v>
      </x:c>
      <x:c r="Q30" s="104" t="str">
        <x:v>Dann öffnet die aktuelle Interaktion und bestätigt als Team.</x:v>
      </x:c>
      <x:c r="R30" s="104" t="str">
        <x:v>{"openObjective":true}</x:v>
      </x:c>
      <x:c r="S30" s="104" t="str">
        <x:v>CHECK_FACTS</x:v>
      </x:c>
      <x:c r="T30" s="104" t="str">
        <x:v>Welche Aussagen sind belegt?</x:v>
      </x:c>
      <x:c r="U30" s="104" t="str">
        <x:v>Öffnet die Faktenkarte. Fiktionale Rahmung ist dort getrennt markiert.</x:v>
      </x:c>
      <x:c r="V30" s="104" t="str">
        <x:v>{"openFactCard":true}</x:v>
      </x:c>
      <x:c r="W30" s="104" t="str">
        <x:v>D1-Q09-COMPLETE</x:v>
      </x:c>
      <x:c r="X30" s="104" t="str"/>
      <x:c r="Y30" s="110" t="n">
        <x:f>LEN(J30)+LEN(L30)+LEN(M30)+LEN(P30)+LEN(Q30)+LEN(T30)+LEN(U30)</x:f>
        <x:v>382</x:v>
      </x:c>
      <x:c r="Z30" s="110" t="n">
        <x:f>SUMIF($B$5:$B$124,B30,$Y$5:$Y$124)</x:f>
        <x:v>382</x:v>
      </x:c>
      <x:c r="AA30" s="104" t="str">
        <x:v>Max. 1000 Zeichen pro Interaktionssequenz; historischer Inhalt nur aus Fact-Set.</x:v>
      </x:c>
    </x:row>
    <x:row r="31" ht="88" customHeight="1">
      <x:c r="A31" s="101" t="str">
        <x:v>D1-Q09</x:v>
      </x:c>
      <x:c r="B31" s="101" t="str">
        <x:v>D1-Q09-COMPLETE</x:v>
      </x:c>
      <x:c r="C31" s="101" t="str">
        <x:v>D1-Q09-N3</x:v>
      </x:c>
      <x:c r="D31" s="101" t="str">
        <x:v>COMPLETE</x:v>
      </x:c>
      <x:c r="E31" s="101" t="n">
        <x:v>3</x:v>
      </x:c>
      <x:c r="F31" s="101" t="str">
        <x:v>npc_aqua_virgo</x:v>
      </x:c>
      <x:c r="G31" s="101" t="str">
        <x:v>Aqua Virgo</x:v>
      </x:c>
      <x:c r="H31" s="101" t="str">
        <x:v>empört und alarmiert</x:v>
      </x:c>
      <x:c r="I31" s="101" t="str">
        <x:v>questActive || phase==OFFER</x:v>
      </x:c>
      <x:c r="J31" s="101" t="str">
        <x:v>Sauberer Verlauf, volle Ampulle. Jetzt zur Ratte. Zwei außerordentlich gelassene Retter namens Alex und Lorenz würden vermutlich schon Handtücher verteilen.</x:v>
      </x:c>
      <x:c r="K31" s="101" t="str">
        <x:v>CLOSE_HUMBLE</x:v>
      </x:c>
      <x:c r="L31" s="101" t="str">
        <x:v>Wir dokumentieren die Lösung.</x:v>
      </x:c>
      <x:c r="M31" s="101" t="str">
        <x:v>Sauber abgeschlossen.</x:v>
      </x:c>
      <x:c r="N31" s="101" t="str">
        <x:v>{"closeDialogue":true}</x:v>
      </x:c>
      <x:c r="O31" s="101" t="str">
        <x:v>OPEN_FACTS</x:v>
      </x:c>
      <x:c r="P31" s="101" t="str">
        <x:v>Was sollten wir historisch behalten?</x:v>
      </x:c>
      <x:c r="Q31" s="101" t="str">
        <x:v>Öffnet die verifizierten Fakten und Quellen dieser Quest.</x:v>
      </x:c>
      <x:c r="R31" s="101" t="str">
        <x:v>{"openFactCard":true}</x:v>
      </x:c>
      <x:c r="S31" s="101" t="str">
        <x:v>PREVIEW_REWARD</x:v>
      </x:c>
      <x:c r="T31" s="101" t="str">
        <x:v>Und was erhalten wir?</x:v>
      </x:c>
      <x:c r="U31" s="101" t="str">
        <x:v>Die Belohnungsvorschau zeigt Arbeitswerte; der Server vergibt atomar.</x:v>
      </x:c>
      <x:c r="V31" s="101" t="str">
        <x:v>{"openRewardPreview":true}</x:v>
      </x:c>
      <x:c r="W31" s="101" t="str">
        <x:v>END</x:v>
      </x:c>
      <x:c r="X31" s="101" t="str">
        <x:v>EASTER_EGG_SUBTLE</x:v>
      </x:c>
      <x:c r="Y31" s="109" t="n">
        <x:f>LEN(J31)+LEN(L31)+LEN(M31)+LEN(P31)+LEN(Q31)+LEN(T31)+LEN(U31)</x:f>
        <x:v>389</x:v>
      </x:c>
      <x:c r="Z31" s="109" t="n">
        <x:f>SUMIF($B$5:$B$124,B31,$Y$5:$Y$124)</x:f>
        <x:v>389</x:v>
      </x:c>
      <x:c r="AA31" s="101" t="str">
        <x:v>Max. 1000 Zeichen pro Interaktionssequenz; historischer Inhalt nur aus Fact-Set.</x:v>
      </x:c>
    </x:row>
    <x:row r="32" ht="88" customHeight="1">
      <x:c r="A32" s="104" t="str">
        <x:v>D1-Q10</x:v>
      </x:c>
      <x:c r="B32" s="104" t="str">
        <x:v>D1-Q10-OFFER</x:v>
      </x:c>
      <x:c r="C32" s="104" t="str">
        <x:v>D1-Q10-N1</x:v>
      </x:c>
      <x:c r="D32" s="104" t="str">
        <x:v>OFFER</x:v>
      </x:c>
      <x:c r="E32" s="104" t="n">
        <x:v>1</x:v>
      </x:c>
      <x:c r="F32" s="104" t="str">
        <x:v>npc_skanderbeg_echo</x:v>
      </x:c>
      <x:c r="G32" s="104" t="str">
        <x:v>Skanderbeg – steinernes Echo</x:v>
      </x:c>
      <x:c r="H32" s="104" t="str">
        <x:v>misstrauisch</x:v>
      </x:c>
      <x:c r="I32" s="104" t="str">
        <x:v>questActive || phase==OFFER</x:v>
      </x:c>
      <x:c r="J32" s="104" t="str">
        <x:v>Ein Name an einer Fassade, zwei Pferde aus Stein, ein Palast voller Gegenwart. Wer Macht verstehen will, muss erkennen, wem sie gerade dient.</x:v>
      </x:c>
      <x:c r="K32" s="104" t="str">
        <x:v>ACCEPT_POWER</x:v>
      </x:c>
      <x:c r="L32" s="104" t="str">
        <x:v>Wir prüfen die drei Machtzeichen.</x:v>
      </x:c>
      <x:c r="M32" s="104" t="str">
        <x:v>Dann schaut genau und redet erst danach.</x:v>
      </x:c>
      <x:c r="N32" s="104" t="str">
        <x:v>{"accept":true}</x:v>
      </x:c>
      <x:c r="O32" s="104" t="str">
        <x:v>ASK_LOYALTY</x:v>
      </x:c>
      <x:c r="P32" s="104" t="str">
        <x:v>Welche Loyalität erwartest du?</x:v>
      </x:c>
      <x:c r="Q32" s="104" t="str">
        <x:v>Keine blinde. Blindheit ist für Banner im Wind.</x:v>
      </x:c>
      <x:c r="R32" s="104" t="str">
        <x:v>{"loreHint":true}</x:v>
      </x:c>
      <x:c r="S32" s="104" t="str">
        <x:v>CONDOTTIERE_CODE</x:v>
      </x:c>
      <x:c r="T32" s="104" t="str">
        <x:v>[Condottiere] Vertrag vor Pathos.</x:v>
      </x:c>
      <x:c r="U32" s="104" t="str">
        <x:v>Vernünftig. Prüft dennoch, wer den Vertrag durchsetzen kann.</x:v>
      </x:c>
      <x:c r="V32" s="104" t="str">
        <x:v>{"classCheck":"CONDOTTIERE","bonus":"contract_insight"}</x:v>
      </x:c>
      <x:c r="W32" s="104" t="str">
        <x:v>D1-Q10-MID</x:v>
      </x:c>
      <x:c r="X32" s="104" t="str"/>
      <x:c r="Y32" s="110" t="n">
        <x:f>LEN(J32)+LEN(L32)+LEN(M32)+LEN(P32)+LEN(Q32)+LEN(T32)+LEN(U32)</x:f>
        <x:v>384</x:v>
      </x:c>
      <x:c r="Z32" s="110" t="n">
        <x:f>SUMIF($B$5:$B$124,B32,$Y$5:$Y$124)</x:f>
        <x:v>384</x:v>
      </x:c>
      <x:c r="AA32" s="104" t="str">
        <x:v>Max. 1000 Zeichen pro Interaktionssequenz; historischer Inhalt nur aus Fact-Set.</x:v>
      </x:c>
    </x:row>
    <x:row r="33" ht="88" customHeight="1">
      <x:c r="A33" s="101" t="str">
        <x:v>D1-Q10</x:v>
      </x:c>
      <x:c r="B33" s="101" t="str">
        <x:v>D1-Q10-MID</x:v>
      </x:c>
      <x:c r="C33" s="101" t="str">
        <x:v>D1-Q10-N2</x:v>
      </x:c>
      <x:c r="D33" s="101" t="str">
        <x:v>MID</x:v>
      </x:c>
      <x:c r="E33" s="101" t="n">
        <x:v>2</x:v>
      </x:c>
      <x:c r="F33" s="101" t="str">
        <x:v>npc_skanderbeg_echo</x:v>
      </x:c>
      <x:c r="G33" s="101" t="str">
        <x:v>Skanderbeg – steinernes Echo</x:v>
      </x:c>
      <x:c r="H33" s="101" t="str">
        <x:v>misstrauisch</x:v>
      </x:c>
      <x:c r="I33" s="101" t="str">
        <x:v>questActive || phase==OFFER</x:v>
      </x:c>
      <x:c r="J33" s="101" t="str">
        <x:v>Pferde sind ehrlich: Sie tragen, was man ihnen auflädt. Institutionen sind komplizierter.</x:v>
      </x:c>
      <x:c r="K33" s="101" t="str">
        <x:v>REQUEST_HINT</x:v>
      </x:c>
      <x:c r="L33" s="101" t="str">
        <x:v>Gebt uns einen Hinweis.</x:v>
      </x:c>
      <x:c r="M33" s="101" t="str">
        <x:v>Ein Hinweis grenzt ein, löst aber nicht. Öffnet Stufe eins.</x:v>
      </x:c>
      <x:c r="N33" s="101" t="str">
        <x:v>{"openHint":1}</x:v>
      </x:c>
      <x:c r="O33" s="101" t="str">
        <x:v>OPEN_OBJECTIVE</x:v>
      </x:c>
      <x:c r="P33" s="101" t="str">
        <x:v>Wir sind bereit für die Aufgabe.</x:v>
      </x:c>
      <x:c r="Q33" s="101" t="str">
        <x:v>Dann öffnet die aktuelle Interaktion und bestätigt als Team.</x:v>
      </x:c>
      <x:c r="R33" s="101" t="str">
        <x:v>{"openObjective":true}</x:v>
      </x:c>
      <x:c r="S33" s="101" t="str">
        <x:v>CHECK_FACTS</x:v>
      </x:c>
      <x:c r="T33" s="101" t="str">
        <x:v>Welche Aussagen sind belegt?</x:v>
      </x:c>
      <x:c r="U33" s="101" t="str">
        <x:v>Öffnet die Faktenkarte. Fiktionale Rahmung ist dort getrennt markiert.</x:v>
      </x:c>
      <x:c r="V33" s="101" t="str">
        <x:v>{"openFactCard":true}</x:v>
      </x:c>
      <x:c r="W33" s="101" t="str">
        <x:v>D1-Q10-COMPLETE</x:v>
      </x:c>
      <x:c r="X33" s="101" t="str"/>
      <x:c r="Y33" s="109" t="n">
        <x:f>LEN(J33)+LEN(L33)+LEN(M33)+LEN(P33)+LEN(Q33)+LEN(T33)+LEN(U33)</x:f>
        <x:v>361</x:v>
      </x:c>
      <x:c r="Z33" s="109" t="n">
        <x:f>SUMIF($B$5:$B$124,B33,$Y$5:$Y$124)</x:f>
        <x:v>361</x:v>
      </x:c>
      <x:c r="AA33" s="101" t="str">
        <x:v>Max. 1000 Zeichen pro Interaktionssequenz; historischer Inhalt nur aus Fact-Set.</x:v>
      </x:c>
    </x:row>
    <x:row r="34" ht="88" customHeight="1">
      <x:c r="A34" s="104" t="str">
        <x:v>D1-Q10</x:v>
      </x:c>
      <x:c r="B34" s="104" t="str">
        <x:v>D1-Q10-COMPLETE</x:v>
      </x:c>
      <x:c r="C34" s="104" t="str">
        <x:v>D1-Q10-N3</x:v>
      </x:c>
      <x:c r="D34" s="104" t="str">
        <x:v>COMPLETE</x:v>
      </x:c>
      <x:c r="E34" s="104" t="n">
        <x:v>3</x:v>
      </x:c>
      <x:c r="F34" s="104" t="str">
        <x:v>npc_skanderbeg_echo</x:v>
      </x:c>
      <x:c r="G34" s="104" t="str">
        <x:v>Skanderbeg – steinernes Echo</x:v>
      </x:c>
      <x:c r="H34" s="104" t="str">
        <x:v>misstrauisch</x:v>
      </x:c>
      <x:c r="I34" s="104" t="str">
        <x:v>questActive || phase==OFFER</x:v>
      </x:c>
      <x:c r="J34" s="104" t="str">
        <x:v>Nun wählt. Dient ihr einem Herrn, eurer eigenen Kompanie oder der Republik? Keine Antwort ist kostenlos; jede verrät euren Stil.</x:v>
      </x:c>
      <x:c r="K34" s="104" t="str">
        <x:v>LOYALE_GARDE</x:v>
      </x:c>
      <x:c r="L34" s="104" t="str">
        <x:v>Wir dienen loyal einer klaren Pflicht.</x:v>
      </x:c>
      <x:c r="M34" s="104" t="str">
        <x:v>Skanderbeg prüft den Blick. ‚Dann wählt die Pflicht, nicht den Beifall.‘</x:v>
      </x:c>
      <x:c r="N34" s="104" t="str">
        <x:v>{"decision":"LOYALE_GARDE","rewardVariant":"protection"}</x:v>
      </x:c>
      <x:c r="O34" s="104" t="str">
        <x:v>FREIE_KOMPANIE</x:v>
      </x:c>
      <x:c r="P34" s="104" t="str">
        <x:v>Wir bleiben eine freie Kompanie.</x:v>
      </x:c>
      <x:c r="Q34" s="104" t="str">
        <x:v>‚Freiheit ist teuer. Wenigstens wisst ihr das.‘</x:v>
      </x:c>
      <x:c r="R34" s="104" t="str">
        <x:v>{"decision":"FREIE_KOMPANIE","rewardVariant":"denarii"}</x:v>
      </x:c>
      <x:c r="S34" s="104" t="str">
        <x:v>DIENST_DER_REPUBLIK</x:v>
      </x:c>
      <x:c r="T34" s="104" t="str">
        <x:v>Wir dienen dem Gemeinwohl der Republik.</x:v>
      </x:c>
      <x:c r="U34" s="104" t="str">
        <x:v>‚Ein großer Anspruch. Tragt ihn ohne Pose.‘</x:v>
      </x:c>
      <x:c r="V34" s="104" t="str">
        <x:v>{"decision":"DIENST_DER_REPUBLIK","rewardVariant":"score"}</x:v>
      </x:c>
      <x:c r="W34" s="104" t="str">
        <x:v>END</x:v>
      </x:c>
      <x:c r="X34" s="104" t="str"/>
      <x:c r="Y34" s="110" t="n">
        <x:f>LEN(J34)+LEN(L34)+LEN(M34)+LEN(P34)+LEN(Q34)+LEN(T34)+LEN(U34)</x:f>
        <x:v>399</x:v>
      </x:c>
      <x:c r="Z34" s="110" t="n">
        <x:f>SUMIF($B$5:$B$124,B34,$Y$5:$Y$124)</x:f>
        <x:v>399</x:v>
      </x:c>
      <x:c r="AA34" s="104" t="str">
        <x:v>Max. 1000 Zeichen pro Interaktionssequenz; historischer Inhalt nur aus Fact-Set.</x:v>
      </x:c>
    </x:row>
    <x:row r="35" ht="88" customHeight="1">
      <x:c r="A35" s="101" t="str">
        <x:v>D1-Q11</x:v>
      </x:c>
      <x:c r="B35" s="101" t="str">
        <x:v>D1-Q11-OFFER</x:v>
      </x:c>
      <x:c r="C35" s="101" t="str">
        <x:v>D1-Q11-N1</x:v>
      </x:c>
      <x:c r="D35" s="101" t="str">
        <x:v>OFFER</x:v>
      </x:c>
      <x:c r="E35" s="101" t="n">
        <x:v>1</x:v>
      </x:c>
      <x:c r="F35" s="101" t="str">
        <x:v>npc_lucia_laternenhueterin</x:v>
      </x:c>
      <x:c r="G35" s="101" t="str">
        <x:v>Lucia, Laternenhüterin der Säule</x:v>
      </x:c>
      <x:c r="H35" s="101" t="str">
        <x:v>ruhig prüfend</x:v>
      </x:c>
      <x:c r="I35" s="101" t="str">
        <x:v>questActive || phase==OFFER</x:v>
      </x:c>
      <x:c r="J35" s="101" t="str">
        <x:v>Manche Zeichen sind so groß, dass niemand sie mehr betrachtet. Nennt mir die Figur an der Spitze und findet die vier stillen Begleiter am Sockel.</x:v>
      </x:c>
      <x:c r="K35" s="101" t="str">
        <x:v>ACCEPT_SIGN</x:v>
      </x:c>
      <x:c r="L35" s="101" t="str">
        <x:v>Wir betrachten die Säule aufmerksam.</x:v>
      </x:c>
      <x:c r="M35" s="101" t="str">
        <x:v>Dann beginnt oben und endet unten.</x:v>
      </x:c>
      <x:c r="N35" s="101" t="str">
        <x:v>{"accept":true}</x:v>
      </x:c>
      <x:c r="O35" s="101" t="str">
        <x:v>ASK_MEANING</x:v>
      </x:c>
      <x:c r="P35" s="101" t="str">
        <x:v>Geht es um Glauben oder Stadtgeschichte?</x:v>
      </x:c>
      <x:c r="Q35" s="101" t="str">
        <x:v>Um beides – aber die Aufgabe prüft nur Sichtbares und das verifizierte Fact-Set.</x:v>
      </x:c>
      <x:c r="R35" s="101" t="str">
        <x:v>{"loreHint":true}</x:v>
      </x:c>
      <x:c r="S35" s="101" t="str">
        <x:v>CLERIC_REFLECT</x:v>
      </x:c>
      <x:c r="T35" s="101" t="str">
        <x:v>[Ordensperson] Ich formuliere die Deutung behutsam.</x:v>
      </x:c>
      <x:c r="U35" s="101" t="str">
        <x:v>Das ist mir lieber als eine laute Gewissheit.</x:v>
      </x:c>
      <x:c r="V35" s="101" t="str">
        <x:v>{"classCheck":"CLERIC","bonusLore":true}</x:v>
      </x:c>
      <x:c r="W35" s="101" t="str">
        <x:v>D1-Q11-MID</x:v>
      </x:c>
      <x:c r="X35" s="101" t="str"/>
      <x:c r="Y35" s="109" t="n">
        <x:f>LEN(J35)+LEN(L35)+LEN(M35)+LEN(P35)+LEN(Q35)+LEN(T35)+LEN(U35)</x:f>
        <x:v>431</x:v>
      </x:c>
      <x:c r="Z35" s="109" t="n">
        <x:f>SUMIF($B$5:$B$124,B35,$Y$5:$Y$124)</x:f>
        <x:v>431</x:v>
      </x:c>
      <x:c r="AA35" s="101" t="str">
        <x:v>Max. 1000 Zeichen pro Interaktionssequenz; historischer Inhalt nur aus Fact-Set.</x:v>
      </x:c>
    </x:row>
    <x:row r="36" ht="88" customHeight="1">
      <x:c r="A36" s="104" t="str">
        <x:v>D1-Q11</x:v>
      </x:c>
      <x:c r="B36" s="104" t="str">
        <x:v>D1-Q11-MID</x:v>
      </x:c>
      <x:c r="C36" s="104" t="str">
        <x:v>D1-Q11-N2</x:v>
      </x:c>
      <x:c r="D36" s="104" t="str">
        <x:v>MID</x:v>
      </x:c>
      <x:c r="E36" s="104" t="n">
        <x:v>2</x:v>
      </x:c>
      <x:c r="F36" s="104" t="str">
        <x:v>npc_lucia_laternenhueterin</x:v>
      </x:c>
      <x:c r="G36" s="104" t="str">
        <x:v>Lucia, Laternenhüterin der Säule</x:v>
      </x:c>
      <x:c r="H36" s="104" t="str">
        <x:v>ruhig prüfend</x:v>
      </x:c>
      <x:c r="I36" s="104" t="str">
        <x:v>questActive || phase==OFFER</x:v>
      </x:c>
      <x:c r="J36" s="104" t="str">
        <x:v>Nicht jede Antwort braucht eine Abhandlung. Manchmal reichen fünf Buchstaben und ein ehrlicher Blick.</x:v>
      </x:c>
      <x:c r="K36" s="104" t="str">
        <x:v>REQUEST_HINT</x:v>
      </x:c>
      <x:c r="L36" s="104" t="str">
        <x:v>Gebt uns einen Hinweis.</x:v>
      </x:c>
      <x:c r="M36" s="104" t="str">
        <x:v>Ein Hinweis grenzt ein, löst aber nicht. Öffnet Stufe eins.</x:v>
      </x:c>
      <x:c r="N36" s="104" t="str">
        <x:v>{"openHint":1}</x:v>
      </x:c>
      <x:c r="O36" s="104" t="str">
        <x:v>OPEN_OBJECTIVE</x:v>
      </x:c>
      <x:c r="P36" s="104" t="str">
        <x:v>Wir sind bereit für die Aufgabe.</x:v>
      </x:c>
      <x:c r="Q36" s="104" t="str">
        <x:v>Dann öffnet die aktuelle Interaktion und bestätigt als Team.</x:v>
      </x:c>
      <x:c r="R36" s="104" t="str">
        <x:v>{"openObjective":true}</x:v>
      </x:c>
      <x:c r="S36" s="104" t="str">
        <x:v>CHECK_FACTS</x:v>
      </x:c>
      <x:c r="T36" s="104" t="str">
        <x:v>Welche Aussagen sind belegt?</x:v>
      </x:c>
      <x:c r="U36" s="104" t="str">
        <x:v>Öffnet die Faktenkarte. Fiktionale Rahmung ist dort getrennt markiert.</x:v>
      </x:c>
      <x:c r="V36" s="104" t="str">
        <x:v>{"openFactCard":true}</x:v>
      </x:c>
      <x:c r="W36" s="104" t="str">
        <x:v>D1-Q11-COMPLETE</x:v>
      </x:c>
      <x:c r="X36" s="104" t="str"/>
      <x:c r="Y36" s="110" t="n">
        <x:f>LEN(J36)+LEN(L36)+LEN(M36)+LEN(P36)+LEN(Q36)+LEN(T36)+LEN(U36)</x:f>
        <x:v>373</x:v>
      </x:c>
      <x:c r="Z36" s="110" t="n">
        <x:f>SUMIF($B$5:$B$124,B36,$Y$5:$Y$124)</x:f>
        <x:v>373</x:v>
      </x:c>
      <x:c r="AA36" s="104" t="str">
        <x:v>Max. 1000 Zeichen pro Interaktionssequenz; historischer Inhalt nur aus Fact-Set.</x:v>
      </x:c>
    </x:row>
    <x:row r="37" ht="88" customHeight="1">
      <x:c r="A37" s="101" t="str">
        <x:v>D1-Q11</x:v>
      </x:c>
      <x:c r="B37" s="101" t="str">
        <x:v>D1-Q11-COMPLETE</x:v>
      </x:c>
      <x:c r="C37" s="101" t="str">
        <x:v>D1-Q11-N3</x:v>
      </x:c>
      <x:c r="D37" s="101" t="str">
        <x:v>COMPLETE</x:v>
      </x:c>
      <x:c r="E37" s="101" t="n">
        <x:v>3</x:v>
      </x:c>
      <x:c r="F37" s="101" t="str">
        <x:v>npc_lucia_laternenhueterin</x:v>
      </x:c>
      <x:c r="G37" s="101" t="str">
        <x:v>Lucia, Laternenhüterin der Säule</x:v>
      </x:c>
      <x:c r="H37" s="101" t="str">
        <x:v>ruhig prüfend</x:v>
      </x:c>
      <x:c r="I37" s="101" t="str">
        <x:v>questActive || phase==OFFER</x:v>
      </x:c>
      <x:c r="J37" s="101" t="str">
        <x:v>Ihr habt gesehen, ohne zu drängen. Das ist selten genug, um belohnt zu werden.</x:v>
      </x:c>
      <x:c r="K37" s="101" t="str">
        <x:v>CLOSE_HUMBLE</x:v>
      </x:c>
      <x:c r="L37" s="101" t="str">
        <x:v>Wir dokumentieren die Lösung.</x:v>
      </x:c>
      <x:c r="M37" s="101" t="str">
        <x:v>Sauber abgeschlossen.</x:v>
      </x:c>
      <x:c r="N37" s="101" t="str">
        <x:v>{"closeDialogue":true}</x:v>
      </x:c>
      <x:c r="O37" s="101" t="str">
        <x:v>OPEN_FACTS</x:v>
      </x:c>
      <x:c r="P37" s="101" t="str">
        <x:v>Was sollten wir historisch behalten?</x:v>
      </x:c>
      <x:c r="Q37" s="101" t="str">
        <x:v>Öffnet die verifizierten Fakten und Quellen dieser Quest.</x:v>
      </x:c>
      <x:c r="R37" s="101" t="str">
        <x:v>{"openFactCard":true}</x:v>
      </x:c>
      <x:c r="S37" s="101" t="str">
        <x:v>PREVIEW_REWARD</x:v>
      </x:c>
      <x:c r="T37" s="101" t="str">
        <x:v>Und was erhalten wir?</x:v>
      </x:c>
      <x:c r="U37" s="101" t="str">
        <x:v>Die Belohnungsvorschau zeigt Arbeitswerte; der Server vergibt atomar.</x:v>
      </x:c>
      <x:c r="V37" s="101" t="str">
        <x:v>{"openRewardPreview":true}</x:v>
      </x:c>
      <x:c r="W37" s="101" t="str">
        <x:v>END</x:v>
      </x:c>
      <x:c r="X37" s="101" t="str"/>
      <x:c r="Y37" s="109" t="n">
        <x:f>LEN(J37)+LEN(L37)+LEN(M37)+LEN(P37)+LEN(Q37)+LEN(T37)+LEN(U37)</x:f>
        <x:v>311</x:v>
      </x:c>
      <x:c r="Z37" s="109" t="n">
        <x:f>SUMIF($B$5:$B$124,B37,$Y$5:$Y$124)</x:f>
        <x:v>311</x:v>
      </x:c>
      <x:c r="AA37" s="101" t="str">
        <x:v>Max. 1000 Zeichen pro Interaktionssequenz; historischer Inhalt nur aus Fact-Set.</x:v>
      </x:c>
    </x:row>
    <x:row r="38" ht="88" customHeight="1">
      <x:c r="A38" s="104" t="str">
        <x:v>D1-Q12</x:v>
      </x:c>
      <x:c r="B38" s="104" t="str">
        <x:v>D1-Q12-OFFER</x:v>
      </x:c>
      <x:c r="C38" s="104" t="str">
        <x:v>D1-Q12-N1</x:v>
      </x:c>
      <x:c r="D38" s="104" t="str">
        <x:v>OFFER</x:v>
      </x:c>
      <x:c r="E38" s="104" t="n">
        <x:v>1</x:v>
      </x:c>
      <x:c r="F38" s="104" t="str">
        <x:v>npc_giordano_bruno_echo</x:v>
      </x:c>
      <x:c r="G38" s="104" t="str">
        <x:v>Giordano Bruno – dunkles Echo</x:v>
      </x:c>
      <x:c r="H38" s="104" t="str">
        <x:v>finster amüsiert</x:v>
      </x:c>
      <x:c r="I38" s="104" t="str">
        <x:v>questActive || phase==OFFER</x:v>
      </x:c>
      <x:c r="J38" s="104" t="str">
        <x:v>Rom redet gleichzeitig: Brücken verbinden, Paläste befehlen, Märkte widersprechen, Ruinen warten geduldig. Sammelt vier Stimmen. Am Largo könnt ihr eine 120-Sekunden-Debatte starten; läuft sie aus, bleibt die Lösung offen, aber der Entscheidungsbonus verstummt.</x:v>
      </x:c>
      <x:c r="K38" s="104" t="str">
        <x:v>ACCEPT_VOICES</x:v>
      </x:c>
      <x:c r="L38" s="104" t="str">
        <x:v>Wir sammeln die vier Stimmen.</x:v>
      </x:c>
      <x:c r="M38" s="104" t="str">
        <x:v>Dann hört auch auf Stein. Er unterbricht selten, erinnert aber lange.</x:v>
      </x:c>
      <x:c r="N38" s="104" t="str">
        <x:v>{"accept":true}</x:v>
      </x:c>
      <x:c r="O38" s="104" t="str">
        <x:v>ASK_TRUTH</x:v>
      </x:c>
      <x:c r="P38" s="104" t="str">
        <x:v>Welche Stimme sagt die Wahrheit?</x:v>
      </x:c>
      <x:c r="Q38" s="104" t="str">
        <x:v>Keine allein. Deshalb seid ihr unterwegs.</x:v>
      </x:c>
      <x:c r="R38" s="104" t="str">
        <x:v>{"loreHint":true}</x:v>
      </x:c>
      <x:c r="S38" s="104" t="str">
        <x:v>BOLD_BOOK</x:v>
      </x:c>
      <x:c r="T38" s="104" t="str">
        <x:v>Wir beginnen beim geschlossenen Buch.</x:v>
      </x:c>
      <x:c r="U38" s="104" t="str">
        <x:v>Natürlich. Menschen lieben Bücher besonders, wenn sie sie nicht öffnen müssen.</x:v>
      </x:c>
      <x:c r="V38" s="104" t="str">
        <x:v>{"bonusRoute":"campo_first"}</x:v>
      </x:c>
      <x:c r="W38" s="104" t="str">
        <x:v>D1-Q12-MID</x:v>
      </x:c>
      <x:c r="X38" s="104" t="str"/>
      <x:c r="Y38" s="110" t="n">
        <x:f>LEN(J38)+LEN(L38)+LEN(M38)+LEN(P38)+LEN(Q38)+LEN(T38)+LEN(U38)</x:f>
        <x:v>547</x:v>
      </x:c>
      <x:c r="Z38" s="110" t="n">
        <x:f>SUMIF($B$5:$B$124,B38,$Y$5:$Y$124)</x:f>
        <x:v>547</x:v>
      </x:c>
      <x:c r="AA38" s="104" t="str">
        <x:v>Max. 1000 Zeichen pro Interaktionssequenz; historischer Inhalt nur aus Fact-Set.</x:v>
      </x:c>
    </x:row>
    <x:row r="39" ht="88" customHeight="1">
      <x:c r="A39" s="101" t="str">
        <x:v>D1-Q12</x:v>
      </x:c>
      <x:c r="B39" s="101" t="str">
        <x:v>D1-Q12-MID</x:v>
      </x:c>
      <x:c r="C39" s="101" t="str">
        <x:v>D1-Q12-N2</x:v>
      </x:c>
      <x:c r="D39" s="101" t="str">
        <x:v>MID</x:v>
      </x:c>
      <x:c r="E39" s="101" t="n">
        <x:v>2</x:v>
      </x:c>
      <x:c r="F39" s="101" t="str">
        <x:v>npc_giordano_bruno_echo</x:v>
      </x:c>
      <x:c r="G39" s="101" t="str">
        <x:v>Giordano Bruno – dunkles Echo</x:v>
      </x:c>
      <x:c r="H39" s="101" t="str">
        <x:v>finster amüsiert</x:v>
      </x:c>
      <x:c r="I39" s="101" t="str">
        <x:v>questActive || phase==OFFER</x:v>
      </x:c>
      <x:c r="J39" s="101" t="str">
        <x:v>Ein Symbol ohne Kontext ist Dekoration. Eine Macht ohne Widerspruch ist gefährlicher. Sobald ihr am Largo bereit seid, habt ihr 120 Sekunden für Zuordnung und Beschluss – kein Schritt davon verlangt Eile im Verkehr.</x:v>
      </x:c>
      <x:c r="K39" s="101" t="str">
        <x:v>REQUEST_HINT</x:v>
      </x:c>
      <x:c r="L39" s="101" t="str">
        <x:v>Gebt uns einen Hinweis.</x:v>
      </x:c>
      <x:c r="M39" s="101" t="str">
        <x:v>Ein Hinweis grenzt ein, löst aber nicht. Öffnet Stufe eins.</x:v>
      </x:c>
      <x:c r="N39" s="101" t="str">
        <x:v>{"openHint":1}</x:v>
      </x:c>
      <x:c r="O39" s="101" t="str">
        <x:v>START_VOICES_TIMER</x:v>
      </x:c>
      <x:c r="P39" s="101" t="str">
        <x:v>Wir starten die 120-Sekunden-Debatte.</x:v>
      </x:c>
      <x:c r="Q39" s="101" t="str">
        <x:v>Dann ordnet und entscheidet. Nach Ablauf bleiben beide Schritte offen; nur der Entscheidungsbonus verstummt.</x:v>
      </x:c>
      <x:c r="R39" s="101" t="str">
        <x:v>{"startTimer":"TMR-D1-Q12-S11","openObjective":true}</x:v>
      </x:c>
      <x:c r="S39" s="101" t="str">
        <x:v>CHECK_FACTS</x:v>
      </x:c>
      <x:c r="T39" s="101" t="str">
        <x:v>Welche Aussagen sind belegt?</x:v>
      </x:c>
      <x:c r="U39" s="101" t="str">
        <x:v>Öffnet die Faktenkarte. Fiktionale Rahmung ist dort getrennt markiert.</x:v>
      </x:c>
      <x:c r="V39" s="101" t="str">
        <x:v>{"openFactCard":true}</x:v>
      </x:c>
      <x:c r="W39" s="101" t="str">
        <x:v>D1-Q12-COMPLETE</x:v>
      </x:c>
      <x:c r="X39" s="101" t="str"/>
      <x:c r="Y39" s="109" t="n">
        <x:f>LEN(J39)+LEN(L39)+LEN(M39)+LEN(P39)+LEN(Q39)+LEN(T39)+LEN(U39)</x:f>
        <x:v>540</x:v>
      </x:c>
      <x:c r="Z39" s="109" t="n">
        <x:f>SUMIF($B$5:$B$124,B39,$Y$5:$Y$124)</x:f>
        <x:v>540</x:v>
      </x:c>
      <x:c r="AA39" s="101" t="str">
        <x:v>Max. 1000 Zeichen pro Interaktionssequenz; historischer Inhalt nur aus Fact-Set.</x:v>
      </x:c>
    </x:row>
    <x:row r="40" ht="88" customHeight="1">
      <x:c r="A40" s="104" t="str">
        <x:v>D1-Q12</x:v>
      </x:c>
      <x:c r="B40" s="104" t="str">
        <x:v>D1-Q12-COMPLETE</x:v>
      </x:c>
      <x:c r="C40" s="104" t="str">
        <x:v>D1-Q12-N3</x:v>
      </x:c>
      <x:c r="D40" s="104" t="str">
        <x:v>COMPLETE</x:v>
      </x:c>
      <x:c r="E40" s="104" t="n">
        <x:v>3</x:v>
      </x:c>
      <x:c r="F40" s="104" t="str">
        <x:v>npc_giordano_bruno_echo</x:v>
      </x:c>
      <x:c r="G40" s="104" t="str">
        <x:v>Giordano Bruno – dunkles Echo</x:v>
      </x:c>
      <x:c r="H40" s="104" t="str">
        <x:v>finster amüsiert</x:v>
      </x:c>
      <x:c r="I40" s="104" t="str">
        <x:v>questActive || phase==OFFER</x:v>
      </x:c>
      <x:c r="J40" s="104" t="str">
        <x:v>Ihr habt vier Stimmen gehört. Welche bekommt den letzten Satz: Verbindung, öffentlicher Widerspruch oder Erinnerung?</x:v>
      </x:c>
      <x:c r="K40" s="104" t="str">
        <x:v>STIMME_DER_BRUECKE</x:v>
      </x:c>
      <x:c r="L40" s="104" t="str">
        <x:v>Verbindung bekommt den letzten Satz.</x:v>
      </x:c>
      <x:c r="M40" s="104" t="str">
        <x:v>Bruno: ‚Dann baut Übergänge, keine Kulissen.‘</x:v>
      </x:c>
      <x:c r="N40" s="104" t="str">
        <x:v>{"decision":"STIMME_DER_BRUECKE","rewardVariant":"team_buff"}</x:v>
      </x:c>
      <x:c r="O40" s="104" t="str">
        <x:v>STIMME_DES_MARKTES</x:v>
      </x:c>
      <x:c r="P40" s="104" t="str">
        <x:v>Öffentlicher Widerspruch bleibt hörbar.</x:v>
      </x:c>
      <x:c r="Q40" s="104" t="str">
        <x:v>‚Unbequem. Also wahrscheinlich nötig.‘</x:v>
      </x:c>
      <x:c r="R40" s="104" t="str">
        <x:v>{"decision":"STIMME_DES_MARKTES","rewardVariant":"denarii"}</x:v>
      </x:c>
      <x:c r="S40" s="104" t="str">
        <x:v>STIMME_DER_RUINEN</x:v>
      </x:c>
      <x:c r="T40" s="104" t="str">
        <x:v>Erinnerung soll das Schlusswort haben.</x:v>
      </x:c>
      <x:c r="U40" s="104" t="str">
        <x:v>‚Ruinen sprechen langsam. Hört trotzdem zu.‘</x:v>
      </x:c>
      <x:c r="V40" s="104" t="str">
        <x:v>{"decision":"STIMME_DER_RUINEN","rewardVariant":"score"}</x:v>
      </x:c>
      <x:c r="W40" s="104" t="str">
        <x:v>END</x:v>
      </x:c>
      <x:c r="X40" s="104" t="str"/>
      <x:c r="Y40" s="110" t="n">
        <x:f>LEN(J40)+LEN(L40)+LEN(M40)+LEN(P40)+LEN(Q40)+LEN(T40)+LEN(U40)</x:f>
        <x:v>356</x:v>
      </x:c>
      <x:c r="Z40" s="110" t="n">
        <x:f>SUMIF($B$5:$B$124,B40,$Y$5:$Y$124)</x:f>
        <x:v>356</x:v>
      </x:c>
      <x:c r="AA40" s="104" t="str">
        <x:v>Max. 1000 Zeichen pro Interaktionssequenz; historischer Inhalt nur aus Fact-Set.</x:v>
      </x:c>
    </x:row>
    <x:row r="41" ht="88" customHeight="1">
      <x:c r="A41" s="101" t="str">
        <x:v>D1-Q13</x:v>
      </x:c>
      <x:c r="B41" s="101" t="str">
        <x:v>D1-Q13-OFFER</x:v>
      </x:c>
      <x:c r="C41" s="101" t="str">
        <x:v>D1-Q13-N1</x:v>
      </x:c>
      <x:c r="D41" s="101" t="str">
        <x:v>OFFER</x:v>
      </x:c>
      <x:c r="E41" s="101" t="n">
        <x:v>1</x:v>
      </x:c>
      <x:c r="F41" s="101" t="str">
        <x:v>npc_marcella_scaena</x:v>
      </x:c>
      <x:c r="G41" s="101" t="str">
        <x:v>Marcella Scaena</x:v>
      </x:c>
      <x:c r="H41" s="101" t="str">
        <x:v>hektisch begeistert</x:v>
      </x:c>
      <x:c r="I41" s="101" t="str">
        <x:v>questActive || phase==OFFER</x:v>
      </x:c>
      <x:c r="J41" s="101" t="str">
        <x:v>Der erste Akt trägt Säulen, der zweite Schildkröten, der dritte einen einsamen Engel. Irgendjemand hat die Reihenfolge vertauscht. Vermutlich ein Kritiker.</x:v>
      </x:c>
      <x:c r="K41" s="101" t="str">
        <x:v>ACCEPT_STAGE</x:v>
      </x:c>
      <x:c r="L41" s="101" t="str">
        <x:v>Wir ordnen die drei Akte.</x:v>
      </x:c>
      <x:c r="M41" s="101" t="str">
        <x:v>Dann Positionen einnehmen. Publikum ist optional, Präzision nicht.</x:v>
      </x:c>
      <x:c r="N41" s="101" t="str">
        <x:v>{"accept":true}</x:v>
      </x:c>
      <x:c r="O41" s="101" t="str">
        <x:v>ASK_TURTLES</x:v>
      </x:c>
      <x:c r="P41" s="101" t="str">
        <x:v>Was ist mit den Schildkröten?</x:v>
      </x:c>
      <x:c r="Q41" s="101" t="str">
        <x:v>Sie sind Nebendarsteller mit Gewerkschaft. Behandelt sie respektvoll.</x:v>
      </x:c>
      <x:c r="R41" s="101" t="str">
        <x:v>{"hiddenHint":"H-D1-01"}</x:v>
      </x:c>
      <x:c r="S41" s="101" t="str">
        <x:v>SCULPTOR_STAGE</x:v>
      </x:c>
      <x:c r="T41" s="101" t="str">
        <x:v>[Bildhauer] Ich lese Material und Stil.</x:v>
      </x:c>
      <x:c r="U41" s="101" t="str">
        <x:v>Sehr gut. Aber keine Vorlesung länger als der Applaus.</x:v>
      </x:c>
      <x:c r="V41" s="101" t="str">
        <x:v>{"classCheck":"SCULPTOR","bonusLore":true}</x:v>
      </x:c>
      <x:c r="W41" s="101" t="str">
        <x:v>D1-Q13-MID</x:v>
      </x:c>
      <x:c r="X41" s="101" t="str"/>
      <x:c r="Y41" s="109" t="n">
        <x:f>LEN(J41)+LEN(L41)+LEN(M41)+LEN(P41)+LEN(Q41)+LEN(T41)+LEN(U41)</x:f>
        <x:v>437</x:v>
      </x:c>
      <x:c r="Z41" s="109" t="n">
        <x:f>SUMIF($B$5:$B$124,B41,$Y$5:$Y$124)</x:f>
        <x:v>437</x:v>
      </x:c>
      <x:c r="AA41" s="101" t="str">
        <x:v>Max. 1000 Zeichen pro Interaktionssequenz; historischer Inhalt nur aus Fact-Set.</x:v>
      </x:c>
    </x:row>
    <x:row r="42" ht="88" customHeight="1">
      <x:c r="A42" s="104" t="str">
        <x:v>D1-Q13</x:v>
      </x:c>
      <x:c r="B42" s="104" t="str">
        <x:v>D1-Q13-MID</x:v>
      </x:c>
      <x:c r="C42" s="104" t="str">
        <x:v>D1-Q13-N2</x:v>
      </x:c>
      <x:c r="D42" s="104" t="str">
        <x:v>MID</x:v>
      </x:c>
      <x:c r="E42" s="104" t="n">
        <x:v>2</x:v>
      </x:c>
      <x:c r="F42" s="104" t="str">
        <x:v>npc_marcella_scaena</x:v>
      </x:c>
      <x:c r="G42" s="104" t="str">
        <x:v>Marcella Scaena</x:v>
      </x:c>
      <x:c r="H42" s="104" t="str">
        <x:v>hektisch begeistert</x:v>
      </x:c>
      <x:c r="I42" s="104" t="str">
        <x:v>questActive || phase==OFFER</x:v>
      </x:c>
      <x:c r="J42" s="104" t="str">
        <x:v>Vier Schildkröten. Zählt ruhig. Wenn eine blinzelt, habt ihr entweder Hidden Content gefunden oder braucht Wasser.</x:v>
      </x:c>
      <x:c r="K42" s="104" t="str">
        <x:v>REQUEST_HINT</x:v>
      </x:c>
      <x:c r="L42" s="104" t="str">
        <x:v>Gebt uns einen Hinweis.</x:v>
      </x:c>
      <x:c r="M42" s="104" t="str">
        <x:v>Ein Hinweis grenzt ein, löst aber nicht. Öffnet Stufe eins.</x:v>
      </x:c>
      <x:c r="N42" s="104" t="str">
        <x:v>{"openHint":1}</x:v>
      </x:c>
      <x:c r="O42" s="104" t="str">
        <x:v>OPEN_OBJECTIVE</x:v>
      </x:c>
      <x:c r="P42" s="104" t="str">
        <x:v>Wir sind bereit für die Aufgabe.</x:v>
      </x:c>
      <x:c r="Q42" s="104" t="str">
        <x:v>Dann öffnet die aktuelle Interaktion und bestätigt als Team.</x:v>
      </x:c>
      <x:c r="R42" s="104" t="str">
        <x:v>{"openObjective":true}</x:v>
      </x:c>
      <x:c r="S42" s="104" t="str">
        <x:v>CHECK_FACTS</x:v>
      </x:c>
      <x:c r="T42" s="104" t="str">
        <x:v>Welche Aussagen sind belegt?</x:v>
      </x:c>
      <x:c r="U42" s="104" t="str">
        <x:v>Öffnet die Faktenkarte. Fiktionale Rahmung ist dort getrennt markiert.</x:v>
      </x:c>
      <x:c r="V42" s="104" t="str">
        <x:v>{"openFactCard":true}</x:v>
      </x:c>
      <x:c r="W42" s="104" t="str">
        <x:v>D1-Q13-COMPLETE</x:v>
      </x:c>
      <x:c r="X42" s="104" t="str"/>
      <x:c r="Y42" s="110" t="n">
        <x:f>LEN(J42)+LEN(L42)+LEN(M42)+LEN(P42)+LEN(Q42)+LEN(T42)+LEN(U42)</x:f>
        <x:v>386</x:v>
      </x:c>
      <x:c r="Z42" s="110" t="n">
        <x:f>SUMIF($B$5:$B$124,B42,$Y$5:$Y$124)</x:f>
        <x:v>386</x:v>
      </x:c>
      <x:c r="AA42" s="104" t="str">
        <x:v>Max. 1000 Zeichen pro Interaktionssequenz; historischer Inhalt nur aus Fact-Set.</x:v>
      </x:c>
    </x:row>
    <x:row r="43" ht="88" customHeight="1">
      <x:c r="A43" s="101" t="str">
        <x:v>D1-Q13</x:v>
      </x:c>
      <x:c r="B43" s="101" t="str">
        <x:v>D1-Q13-COMPLETE</x:v>
      </x:c>
      <x:c r="C43" s="101" t="str">
        <x:v>D1-Q13-N3</x:v>
      </x:c>
      <x:c r="D43" s="101" t="str">
        <x:v>COMPLETE</x:v>
      </x:c>
      <x:c r="E43" s="101" t="n">
        <x:v>3</x:v>
      </x:c>
      <x:c r="F43" s="101" t="str">
        <x:v>npc_marcella_scaena</x:v>
      </x:c>
      <x:c r="G43" s="101" t="str">
        <x:v>Marcella Scaena</x:v>
      </x:c>
      <x:c r="H43" s="101" t="str">
        <x:v>hektisch begeistert</x:v>
      </x:c>
      <x:c r="I43" s="101" t="str">
        <x:v>questActive || phase==OFFER</x:v>
      </x:c>
      <x:c r="J43" s="101" t="str">
        <x:v>Antike, Renaissance, Barock – der Vorhang fällt endlich in der richtigen Reihenfolge. Eure Bilderchronik erhält einen saubereren Spannungsbogen.</x:v>
      </x:c>
      <x:c r="K43" s="101" t="str">
        <x:v>CLOSE_HUMBLE</x:v>
      </x:c>
      <x:c r="L43" s="101" t="str">
        <x:v>Wir dokumentieren die Lösung.</x:v>
      </x:c>
      <x:c r="M43" s="101" t="str">
        <x:v>Sauber abgeschlossen.</x:v>
      </x:c>
      <x:c r="N43" s="101" t="str">
        <x:v>{"closeDialogue":true}</x:v>
      </x:c>
      <x:c r="O43" s="101" t="str">
        <x:v>OPEN_FACTS</x:v>
      </x:c>
      <x:c r="P43" s="101" t="str">
        <x:v>Was sollten wir historisch behalten?</x:v>
      </x:c>
      <x:c r="Q43" s="101" t="str">
        <x:v>Öffnet die verifizierten Fakten und Quellen dieser Quest.</x:v>
      </x:c>
      <x:c r="R43" s="101" t="str">
        <x:v>{"openFactCard":true}</x:v>
      </x:c>
      <x:c r="S43" s="101" t="str">
        <x:v>PREVIEW_REWARD</x:v>
      </x:c>
      <x:c r="T43" s="101" t="str">
        <x:v>Und was erhalten wir?</x:v>
      </x:c>
      <x:c r="U43" s="101" t="str">
        <x:v>Die Belohnungsvorschau zeigt Arbeitswerte; der Server vergibt atomar.</x:v>
      </x:c>
      <x:c r="V43" s="101" t="str">
        <x:v>{"openRewardPreview":true}</x:v>
      </x:c>
      <x:c r="W43" s="101" t="str">
        <x:v>END</x:v>
      </x:c>
      <x:c r="X43" s="101" t="str"/>
      <x:c r="Y43" s="109" t="n">
        <x:f>LEN(J43)+LEN(L43)+LEN(M43)+LEN(P43)+LEN(Q43)+LEN(T43)+LEN(U43)</x:f>
        <x:v>377</x:v>
      </x:c>
      <x:c r="Z43" s="109" t="n">
        <x:f>SUMIF($B$5:$B$124,B43,$Y$5:$Y$124)</x:f>
        <x:v>377</x:v>
      </x:c>
      <x:c r="AA43" s="101" t="str">
        <x:v>Max. 1000 Zeichen pro Interaktionssequenz; historischer Inhalt nur aus Fact-Set.</x:v>
      </x:c>
    </x:row>
    <x:row r="44" ht="88" customHeight="1">
      <x:c r="A44" s="104" t="str">
        <x:v>D1-Q14</x:v>
      </x:c>
      <x:c r="B44" s="104" t="str">
        <x:v>D1-Q14-OFFER</x:v>
      </x:c>
      <x:c r="C44" s="104" t="str">
        <x:v>D1-Q14-N1</x:v>
      </x:c>
      <x:c r="D44" s="104" t="str">
        <x:v>OFFER</x:v>
      </x:c>
      <x:c r="E44" s="104" t="n">
        <x:v>1</x:v>
      </x:c>
      <x:c r="F44" s="104" t="str">
        <x:v>npc_tiberinus_medicus</x:v>
      </x:c>
      <x:c r="G44" s="104" t="str">
        <x:v>Tiberinus Medicus</x:v>
      </x:c>
      <x:c r="H44" s="104" t="str">
        <x:v>besorgt, aber kontrolliert</x:v>
      </x:c>
      <x:c r="I44" s="104" t="str">
        <x:v>questActive || phase==OFFER</x:v>
      </x:c>
      <x:c r="J44" s="104" t="str">
        <x:v>Die Insel hält sich für ein Schiff und die Stadt hält das für normal. Diagnose: typisch Rom. Findet den steinernen Bug, nennt das Schiff beim alten Wort und bringt die Heilspur zurück.</x:v>
      </x:c>
      <x:c r="K44" s="104" t="str">
        <x:v>ACCEPT_HEALING</x:v>
      </x:c>
      <x:c r="L44" s="104" t="str">
        <x:v>Wir untersuchen die Schiffsform.</x:v>
      </x:c>
      <x:c r="M44" s="104" t="str">
        <x:v>Langsam und mit Blick auf den Weg. Heilung beginnt selten im Sprint.</x:v>
      </x:c>
      <x:c r="N44" s="104" t="str">
        <x:v>{"accept":true}</x:v>
      </x:c>
      <x:c r="O44" s="104" t="str">
        <x:v>ASK_SYMBOL</x:v>
      </x:c>
      <x:c r="P44" s="104" t="str">
        <x:v>Warum verbindet sich Heilung mit einem Schiff?</x:v>
      </x:c>
      <x:c r="Q44" s="104" t="str">
        <x:v>Die historische Verbindung steht in euren Faktenkarten; die magische Diagnose ist meine Fiktion.</x:v>
      </x:c>
      <x:c r="R44" s="104" t="str">
        <x:v>{"loreHint":true}</x:v>
      </x:c>
      <x:c r="S44" s="104" t="str">
        <x:v>CLERIC_CARE</x:v>
      </x:c>
      <x:c r="T44" s="104" t="str">
        <x:v>[Ordensperson] Ich begleite die Heilung.</x:v>
      </x:c>
      <x:c r="U44" s="104" t="str">
        <x:v>Dann erinnere das Team: Hilfe ist eine Handlung, kein Titel.</x:v>
      </x:c>
      <x:c r="V44" s="104" t="str">
        <x:v>{"classCheck":"CLERIC","buff":"healing_boost"}</x:v>
      </x:c>
      <x:c r="W44" s="104" t="str">
        <x:v>D1-Q14-MID</x:v>
      </x:c>
      <x:c r="X44" s="104" t="str"/>
      <x:c r="Y44" s="110" t="n">
        <x:f>LEN(J44)+LEN(L44)+LEN(M44)+LEN(P44)+LEN(Q44)+LEN(T44)+LEN(U44)</x:f>
        <x:v>526</x:v>
      </x:c>
      <x:c r="Z44" s="110" t="n">
        <x:f>SUMIF($B$5:$B$124,B44,$Y$5:$Y$124)</x:f>
        <x:v>526</x:v>
      </x:c>
      <x:c r="AA44" s="104" t="str">
        <x:v>Max. 1000 Zeichen pro Interaktionssequenz; historischer Inhalt nur aus Fact-Set.</x:v>
      </x:c>
    </x:row>
    <x:row r="45" ht="88" customHeight="1">
      <x:c r="A45" s="101" t="str">
        <x:v>D1-Q14</x:v>
      </x:c>
      <x:c r="B45" s="101" t="str">
        <x:v>D1-Q14-MID</x:v>
      </x:c>
      <x:c r="C45" s="101" t="str">
        <x:v>D1-Q14-N2</x:v>
      </x:c>
      <x:c r="D45" s="101" t="str">
        <x:v>MID</x:v>
      </x:c>
      <x:c r="E45" s="101" t="n">
        <x:v>2</x:v>
      </x:c>
      <x:c r="F45" s="101" t="str">
        <x:v>npc_tiberinus_medicus</x:v>
      </x:c>
      <x:c r="G45" s="101" t="str">
        <x:v>Tiberinus Medicus</x:v>
      </x:c>
      <x:c r="H45" s="101" t="str">
        <x:v>besorgt, aber kontrolliert</x:v>
      </x:c>
      <x:c r="I45" s="101" t="str">
        <x:v>questActive || phase==OFFER</x:v>
      </x:c>
      <x:c r="J45" s="101" t="str">
        <x:v>Der Blickwinkel ist Teil der Diagnose. Wenn ihr nur Mauer seht, wechselt den öffentlichen Standpunkt – nicht die Absperrung.</x:v>
      </x:c>
      <x:c r="K45" s="101" t="str">
        <x:v>REQUEST_HINT</x:v>
      </x:c>
      <x:c r="L45" s="101" t="str">
        <x:v>Gebt uns einen Hinweis.</x:v>
      </x:c>
      <x:c r="M45" s="101" t="str">
        <x:v>Ein Hinweis grenzt ein, löst aber nicht. Öffnet Stufe eins.</x:v>
      </x:c>
      <x:c r="N45" s="101" t="str">
        <x:v>{"openHint":1}</x:v>
      </x:c>
      <x:c r="O45" s="101" t="str">
        <x:v>OPEN_OBJECTIVE</x:v>
      </x:c>
      <x:c r="P45" s="101" t="str">
        <x:v>Wir sind bereit für die Aufgabe.</x:v>
      </x:c>
      <x:c r="Q45" s="101" t="str">
        <x:v>Dann öffnet die aktuelle Interaktion und bestätigt als Team.</x:v>
      </x:c>
      <x:c r="R45" s="101" t="str">
        <x:v>{"openObjective":true}</x:v>
      </x:c>
      <x:c r="S45" s="101" t="str">
        <x:v>CHECK_FACTS</x:v>
      </x:c>
      <x:c r="T45" s="101" t="str">
        <x:v>Welche Aussagen sind belegt?</x:v>
      </x:c>
      <x:c r="U45" s="101" t="str">
        <x:v>Öffnet die Faktenkarte. Fiktionale Rahmung ist dort getrennt markiert.</x:v>
      </x:c>
      <x:c r="V45" s="101" t="str">
        <x:v>{"openFactCard":true}</x:v>
      </x:c>
      <x:c r="W45" s="101" t="str">
        <x:v>D1-Q14-COMPLETE</x:v>
      </x:c>
      <x:c r="X45" s="101" t="str"/>
      <x:c r="Y45" s="109" t="n">
        <x:f>LEN(J45)+LEN(L45)+LEN(M45)+LEN(P45)+LEN(Q45)+LEN(T45)+LEN(U45)</x:f>
        <x:v>396</x:v>
      </x:c>
      <x:c r="Z45" s="109" t="n">
        <x:f>SUMIF($B$5:$B$124,B45,$Y$5:$Y$124)</x:f>
        <x:v>396</x:v>
      </x:c>
      <x:c r="AA45" s="101" t="str">
        <x:v>Max. 1000 Zeichen pro Interaktionssequenz; historischer Inhalt nur aus Fact-Set.</x:v>
      </x:c>
    </x:row>
    <x:row r="46" ht="88" customHeight="1">
      <x:c r="A46" s="104" t="str">
        <x:v>D1-Q14</x:v>
      </x:c>
      <x:c r="B46" s="104" t="str">
        <x:v>D1-Q14-COMPLETE</x:v>
      </x:c>
      <x:c r="C46" s="104" t="str">
        <x:v>D1-Q14-N3</x:v>
      </x:c>
      <x:c r="D46" s="104" t="str">
        <x:v>COMPLETE</x:v>
      </x:c>
      <x:c r="E46" s="104" t="n">
        <x:v>3</x:v>
      </x:c>
      <x:c r="F46" s="104" t="str">
        <x:v>npc_tiberinus_medicus</x:v>
      </x:c>
      <x:c r="G46" s="104" t="str">
        <x:v>Tiberinus Medicus</x:v>
      </x:c>
      <x:c r="H46" s="104" t="str">
        <x:v>besorgt, aber kontrolliert</x:v>
      </x:c>
      <x:c r="I46" s="104" t="str">
        <x:v>questActive || phase==OFFER</x:v>
      </x:c>
      <x:c r="J46" s="104" t="str">
        <x:v>NAVIS. Der Puls der Insel wird ruhig. Am Stab hängt ein kleiner Knoten mit der Aufschrift ‚SLRG Pfäffikon ZH‘ – zeitlich unmöglich, technisch ausgezeichnet.</x:v>
      </x:c>
      <x:c r="K46" s="104" t="str">
        <x:v>CLOSE_HUMBLE</x:v>
      </x:c>
      <x:c r="L46" s="104" t="str">
        <x:v>Wir dokumentieren die Lösung.</x:v>
      </x:c>
      <x:c r="M46" s="104" t="str">
        <x:v>Sauber abgeschlossen.</x:v>
      </x:c>
      <x:c r="N46" s="104" t="str">
        <x:v>{"closeDialogue":true}</x:v>
      </x:c>
      <x:c r="O46" s="104" t="str">
        <x:v>OPEN_FACTS</x:v>
      </x:c>
      <x:c r="P46" s="104" t="str">
        <x:v>Was sollten wir historisch behalten?</x:v>
      </x:c>
      <x:c r="Q46" s="104" t="str">
        <x:v>Öffnet die verifizierten Fakten und Quellen dieser Quest.</x:v>
      </x:c>
      <x:c r="R46" s="104" t="str">
        <x:v>{"openFactCard":true}</x:v>
      </x:c>
      <x:c r="S46" s="104" t="str">
        <x:v>PREVIEW_REWARD</x:v>
      </x:c>
      <x:c r="T46" s="104" t="str">
        <x:v>Und was erhalten wir?</x:v>
      </x:c>
      <x:c r="U46" s="104" t="str">
        <x:v>Die Belohnungsvorschau zeigt Arbeitswerte; der Server vergibt atomar.</x:v>
      </x:c>
      <x:c r="V46" s="104" t="str">
        <x:v>{"openRewardPreview":true}</x:v>
      </x:c>
      <x:c r="W46" s="104" t="str">
        <x:v>END</x:v>
      </x:c>
      <x:c r="X46" s="104" t="str">
        <x:v>EASTER_EGG_SUBTLE</x:v>
      </x:c>
      <x:c r="Y46" s="110" t="n">
        <x:f>LEN(J46)+LEN(L46)+LEN(M46)+LEN(P46)+LEN(Q46)+LEN(T46)+LEN(U46)</x:f>
        <x:v>389</x:v>
      </x:c>
      <x:c r="Z46" s="110" t="n">
        <x:f>SUMIF($B$5:$B$124,B46,$Y$5:$Y$124)</x:f>
        <x:v>389</x:v>
      </x:c>
      <x:c r="AA46" s="104" t="str">
        <x:v>Max. 1000 Zeichen pro Interaktionssequenz; historischer Inhalt nur aus Fact-Set.</x:v>
      </x:c>
    </x:row>
    <x:row r="47" ht="88" customHeight="1">
      <x:c r="A47" s="101" t="str">
        <x:v>D1-Q15</x:v>
      </x:c>
      <x:c r="B47" s="101" t="str">
        <x:v>D1-Q15-OFFER</x:v>
      </x:c>
      <x:c r="C47" s="101" t="str">
        <x:v>D1-Q15-N1</x:v>
      </x:c>
      <x:c r="D47" s="101" t="str">
        <x:v>OFFER</x:v>
      </x:c>
      <x:c r="E47" s="101" t="n">
        <x:v>1</x:v>
      </x:c>
      <x:c r="F47" s="101" t="str">
        <x:v>npc_cecilia_vox</x:v>
      </x:c>
      <x:c r="G47" s="101" t="str">
        <x:v>Cecilia – Stimme im Mosaik</x:v>
      </x:c>
      <x:c r="H47" s="101" t="str">
        <x:v>nachdenklich</x:v>
      </x:c>
      <x:c r="I47" s="101" t="str">
        <x:v>questActive || phase==OFFER</x:v>
      </x:c>
      <x:c r="J47" s="101" t="str">
        <x:v>Eine Melodie darf ausschmücken. Eine Quelle muss unterscheiden. Folgt meiner Erinnerung von Cecilia nach Santa Maria und entscheidet, wie ihr Legende und belegte Spur nebeneinander erzählt.</x:v>
      </x:c>
      <x:c r="K47" s="101" t="str">
        <x:v>ACCEPT_VOICE</x:v>
      </x:c>
      <x:c r="L47" s="101" t="str">
        <x:v>Wir folgen den sichtbaren Spuren.</x:v>
      </x:c>
      <x:c r="M47" s="101" t="str">
        <x:v>Dann bleibt draußen und lasst die Fassaden sprechen.</x:v>
      </x:c>
      <x:c r="N47" s="101" t="str">
        <x:v>{"accept":true}</x:v>
      </x:c>
      <x:c r="O47" s="101" t="str">
        <x:v>ASK_LEGEND</x:v>
      </x:c>
      <x:c r="P47" s="101" t="str">
        <x:v>Dürfen Legenden Teil der Quest bleiben?</x:v>
      </x:c>
      <x:c r="Q47" s="101" t="str">
        <x:v>Ja, wenn sie als Legenden benannt werden. Ehrlichkeit hat einen guten Klang.</x:v>
      </x:c>
      <x:c r="R47" s="101" t="str">
        <x:v>{"loreHint":true}</x:v>
      </x:c>
      <x:c r="S47" s="101" t="str">
        <x:v>CLERIC_DISCERN</x:v>
      </x:c>
      <x:c r="T47" s="101" t="str">
        <x:v>[Ordensperson] Ich kennzeichne Glaube, Tradition und Beleg.</x:v>
      </x:c>
      <x:c r="U47" s="101" t="str">
        <x:v>Genau diese Sorgfalt brauche ich.</x:v>
      </x:c>
      <x:c r="V47" s="101" t="str">
        <x:v>{"classCheck":"CLERIC","bonus":"source_clarity"}</x:v>
      </x:c>
      <x:c r="W47" s="101" t="str">
        <x:v>D1-Q15-MID</x:v>
      </x:c>
      <x:c r="X47" s="101" t="str"/>
      <x:c r="Y47" s="109" t="n">
        <x:f>LEN(J47)+LEN(L47)+LEN(M47)+LEN(P47)+LEN(Q47)+LEN(T47)+LEN(U47)</x:f>
        <x:v>481</x:v>
      </x:c>
      <x:c r="Z47" s="109" t="n">
        <x:f>SUMIF($B$5:$B$124,B47,$Y$5:$Y$124)</x:f>
        <x:v>481</x:v>
      </x:c>
      <x:c r="AA47" s="101" t="str">
        <x:v>Max. 1000 Zeichen pro Interaktionssequenz; historischer Inhalt nur aus Fact-Set.</x:v>
      </x:c>
    </x:row>
    <x:row r="48" ht="88" customHeight="1">
      <x:c r="A48" s="104" t="str">
        <x:v>D1-Q15</x:v>
      </x:c>
      <x:c r="B48" s="104" t="str">
        <x:v>D1-Q15-MID</x:v>
      </x:c>
      <x:c r="C48" s="104" t="str">
        <x:v>D1-Q15-N2</x:v>
      </x:c>
      <x:c r="D48" s="104" t="str">
        <x:v>MID</x:v>
      </x:c>
      <x:c r="E48" s="104" t="n">
        <x:v>2</x:v>
      </x:c>
      <x:c r="F48" s="104" t="str">
        <x:v>npc_cecilia_vox</x:v>
      </x:c>
      <x:c r="G48" s="104" t="str">
        <x:v>Cecilia – Stimme im Mosaik</x:v>
      </x:c>
      <x:c r="H48" s="104" t="str">
        <x:v>nachdenklich</x:v>
      </x:c>
      <x:c r="I48" s="104" t="str">
        <x:v>questActive || phase==OFFER</x:v>
      </x:c>
      <x:c r="J48" s="104" t="str">
        <x:v>Hört auf die sichtbaren Dinge: Name, Fassade, Mosaik. Meine Stimme dagegen ist Spiel – auch wenn sie hoffentlich gut klingt.</x:v>
      </x:c>
      <x:c r="K48" s="104" t="str">
        <x:v>REQUEST_HINT</x:v>
      </x:c>
      <x:c r="L48" s="104" t="str">
        <x:v>Gebt uns einen Hinweis.</x:v>
      </x:c>
      <x:c r="M48" s="104" t="str">
        <x:v>Ein Hinweis grenzt ein, löst aber nicht. Öffnet Stufe eins.</x:v>
      </x:c>
      <x:c r="N48" s="104" t="str">
        <x:v>{"openHint":1}</x:v>
      </x:c>
      <x:c r="O48" s="104" t="str">
        <x:v>OPEN_OBJECTIVE</x:v>
      </x:c>
      <x:c r="P48" s="104" t="str">
        <x:v>Wir sind bereit für die Aufgabe.</x:v>
      </x:c>
      <x:c r="Q48" s="104" t="str">
        <x:v>Dann öffnet die aktuelle Interaktion und bestätigt als Team.</x:v>
      </x:c>
      <x:c r="R48" s="104" t="str">
        <x:v>{"openObjective":true}</x:v>
      </x:c>
      <x:c r="S48" s="104" t="str">
        <x:v>CHECK_FACTS</x:v>
      </x:c>
      <x:c r="T48" s="104" t="str">
        <x:v>Welche Aussagen sind belegt?</x:v>
      </x:c>
      <x:c r="U48" s="104" t="str">
        <x:v>Öffnet die Faktenkarte. Fiktionale Rahmung ist dort getrennt markiert.</x:v>
      </x:c>
      <x:c r="V48" s="104" t="str">
        <x:v>{"openFactCard":true}</x:v>
      </x:c>
      <x:c r="W48" s="104" t="str">
        <x:v>D1-Q15-COMPLETE</x:v>
      </x:c>
      <x:c r="X48" s="104" t="str"/>
      <x:c r="Y48" s="110" t="n">
        <x:f>LEN(J48)+LEN(L48)+LEN(M48)+LEN(P48)+LEN(Q48)+LEN(T48)+LEN(U48)</x:f>
        <x:v>396</x:v>
      </x:c>
      <x:c r="Z48" s="110" t="n">
        <x:f>SUMIF($B$5:$B$124,B48,$Y$5:$Y$124)</x:f>
        <x:v>396</x:v>
      </x:c>
      <x:c r="AA48" s="104" t="str">
        <x:v>Max. 1000 Zeichen pro Interaktionssequenz; historischer Inhalt nur aus Fact-Set.</x:v>
      </x:c>
    </x:row>
    <x:row r="49" ht="88" customHeight="1">
      <x:c r="A49" s="101" t="str">
        <x:v>D1-Q15</x:v>
      </x:c>
      <x:c r="B49" s="101" t="str">
        <x:v>D1-Q15-COMPLETE</x:v>
      </x:c>
      <x:c r="C49" s="101" t="str">
        <x:v>D1-Q15-N3</x:v>
      </x:c>
      <x:c r="D49" s="101" t="str">
        <x:v>COMPLETE</x:v>
      </x:c>
      <x:c r="E49" s="101" t="n">
        <x:v>3</x:v>
      </x:c>
      <x:c r="F49" s="101" t="str">
        <x:v>npc_cecilia_vox</x:v>
      </x:c>
      <x:c r="G49" s="101" t="str">
        <x:v>Cecilia – Stimme im Mosaik</x:v>
      </x:c>
      <x:c r="H49" s="101" t="str">
        <x:v>nachdenklich</x:v>
      </x:c>
      <x:c r="I49" s="101" t="str">
        <x:v>questActive || phase==OFFER</x:v>
      </x:c>
      <x:c r="J49" s="101" t="str">
        <x:v>Wählt eure Erzählweise. Wer Fakt und Legende trennt, nimmt keiner Seite die Würde.</x:v>
      </x:c>
      <x:c r="K49" s="101" t="str">
        <x:v>LEGENDE_VORAN</x:v>
      </x:c>
      <x:c r="L49" s="101" t="str">
        <x:v>Wir beginnen mit der Legende und kennzeichnen sie.</x:v>
      </x:c>
      <x:c r="M49" s="101" t="str">
        <x:v>Cecilia: ‚Dann öffnet mit Staunen und schließt mit Klarheit.‘</x:v>
      </x:c>
      <x:c r="N49" s="101" t="str">
        <x:v>{"decision":"LEGENDE_VORAN","rewardVariant":"story"}</x:v>
      </x:c>
      <x:c r="O49" s="101" t="str">
        <x:v>FAKTEN_VORAN</x:v>
      </x:c>
      <x:c r="P49" s="101" t="str">
        <x:v>Wir beginnen mit belegten Fakten.</x:v>
      </x:c>
      <x:c r="Q49" s="101" t="str">
        <x:v>‚Festes Fundament. Vergesst die Menschen darin nicht.‘</x:v>
      </x:c>
      <x:c r="R49" s="101" t="str">
        <x:v>{"decision":"FAKTEN_VORAN","rewardVariant":"knowledge"}</x:v>
      </x:c>
      <x:c r="S49" s="101" t="str">
        <x:v>BEIDES_GETRENNT</x:v>
      </x:c>
      <x:c r="T49" s="101" t="str">
        <x:v>Wir erzählen beides, sichtbar getrennt.</x:v>
      </x:c>
      <x:c r="U49" s="101" t="str">
        <x:v>‚Das ist die schwierigste und fairste Stimme.‘</x:v>
      </x:c>
      <x:c r="V49" s="101" t="str">
        <x:v>{"decision":"BEIDES_GETRENNT","rewardVariant":"balanced"}</x:v>
      </x:c>
      <x:c r="W49" s="101" t="str">
        <x:v>END</x:v>
      </x:c>
      <x:c r="X49" s="101" t="str"/>
      <x:c r="Y49" s="109" t="n">
        <x:f>LEN(J49)+LEN(L49)+LEN(M49)+LEN(P49)+LEN(Q49)+LEN(T49)+LEN(U49)</x:f>
        <x:v>365</x:v>
      </x:c>
      <x:c r="Z49" s="109" t="n">
        <x:f>SUMIF($B$5:$B$124,B49,$Y$5:$Y$124)</x:f>
        <x:v>365</x:v>
      </x:c>
      <x:c r="AA49" s="101" t="str">
        <x:v>Max. 1000 Zeichen pro Interaktionssequenz; historischer Inhalt nur aus Fact-Set.</x:v>
      </x:c>
    </x:row>
    <x:row r="50" ht="88" customHeight="1">
      <x:c r="A50" s="104" t="str">
        <x:v>D1-Q16</x:v>
      </x:c>
      <x:c r="B50" s="104" t="str">
        <x:v>D1-Q16-OFFER</x:v>
      </x:c>
      <x:c r="C50" s="104" t="str">
        <x:v>D1-Q16-N1</x:v>
      </x:c>
      <x:c r="D50" s="104" t="str">
        <x:v>OFFER</x:v>
      </x:c>
      <x:c r="E50" s="104" t="n">
        <x:v>1</x:v>
      </x:c>
      <x:c r="F50" s="104" t="str">
        <x:v>npc_anita_garibaldi</x:v>
      </x:c>
      <x:c r="G50" s="104" t="str">
        <x:v>Anita Garibaldi – Reiterecho</x:v>
      </x:c>
      <x:c r="H50" s="104" t="str">
        <x:v>entschlossen unter Druck</x:v>
      </x:c>
      <x:c r="I50" s="104" t="str">
        <x:v>questActive || phase==OFFER</x:v>
      </x:c>
      <x:c r="J50" s="104" t="str">
        <x:v>Der Hügel belohnt keine Eile, nur Zusammenhalt. Folgt Mauern, Gefallenen, Wasser und Reitern. Ein Stück des Weges nimmt euch die Karte – dann zeigt sich, wer führt und wer nur dem blauen Punkt folgt.</x:v>
      </x:c>
      <x:c r="K50" s="104" t="str">
        <x:v>ACCEPT_ASCENT</x:v>
      </x:c>
      <x:c r="L50" s="104" t="str">
        <x:v>Wir steigen als Team auf.</x:v>
      </x:c>
      <x:c r="M50" s="104" t="str">
        <x:v>Dann zählt euch an jeder Station. Niemand wird zur Fußnote.</x:v>
      </x:c>
      <x:c r="N50" s="104" t="str">
        <x:v>{"accept":true}</x:v>
      </x:c>
      <x:c r="O50" s="104" t="str">
        <x:v>ASK_HIDDEN_ROUTE</x:v>
      </x:c>
      <x:c r="P50" s="104" t="str">
        <x:v>Was passiert ohne Kartenmarker?</x:v>
      </x:c>
      <x:c r="Q50" s="104" t="str">
        <x:v>Ihr bekommt getrennte Hinweise und einen Sicherheitsfallback nach zwei Fehlern.</x:v>
      </x:c>
      <x:c r="R50" s="104" t="str">
        <x:v>{"navigationBrief":true}</x:v>
      </x:c>
      <x:c r="S50" s="104" t="str">
        <x:v>CONDOTTIERE_FORMATION</x:v>
      </x:c>
      <x:c r="T50" s="104" t="str">
        <x:v>[Condottiere] Ich teile Vorhut und Nachhut.</x:v>
      </x:c>
      <x:c r="U50" s="104" t="str">
        <x:v>Gut. Aber der langsamste Schritt bestimmt das Tempo.</x:v>
      </x:c>
      <x:c r="V50" s="104" t="str">
        <x:v>{"classCheck":"CONDOTTIERE","buff":"formation"}</x:v>
      </x:c>
      <x:c r="W50" s="104" t="str">
        <x:v>D1-Q16-MID</x:v>
      </x:c>
      <x:c r="X50" s="104" t="str"/>
      <x:c r="Y50" s="110" t="n">
        <x:f>LEN(J50)+LEN(L50)+LEN(M50)+LEN(P50)+LEN(Q50)+LEN(T50)+LEN(U50)</x:f>
        <x:v>488</x:v>
      </x:c>
      <x:c r="Z50" s="110" t="n">
        <x:f>SUMIF($B$5:$B$124,B50,$Y$5:$Y$124)</x:f>
        <x:v>488</x:v>
      </x:c>
      <x:c r="AA50" s="104" t="str">
        <x:v>Max. 1000 Zeichen pro Interaktionssequenz; historischer Inhalt nur aus Fact-Set.</x:v>
      </x:c>
    </x:row>
    <x:row r="51" ht="88" customHeight="1">
      <x:c r="A51" s="101" t="str">
        <x:v>D1-Q16</x:v>
      </x:c>
      <x:c r="B51" s="101" t="str">
        <x:v>D1-Q16-MID</x:v>
      </x:c>
      <x:c r="C51" s="101" t="str">
        <x:v>D1-Q16-N2</x:v>
      </x:c>
      <x:c r="D51" s="101" t="str">
        <x:v>MID</x:v>
      </x:c>
      <x:c r="E51" s="101" t="n">
        <x:v>2</x:v>
      </x:c>
      <x:c r="F51" s="101" t="str">
        <x:v>npc_anita_garibaldi</x:v>
      </x:c>
      <x:c r="G51" s="101" t="str">
        <x:v>Anita Garibaldi – Reiterecho</x:v>
      </x:c>
      <x:c r="H51" s="101" t="str">
        <x:v>entschlossen unter Druck</x:v>
      </x:c>
      <x:c r="I51" s="101" t="str">
        <x:v>questActive || phase==OFFER</x:v>
      </x:c>
      <x:c r="J51" s="101" t="str">
        <x:v>Ab Acqua Paola sieht nur die Fahnenträgerin den nächsten Hinweis. Die anderen erhalten Richtung und Schrittkorridor. Kein Rennen; wer ankommt, wartet.</x:v>
      </x:c>
      <x:c r="K51" s="101" t="str">
        <x:v>REQUEST_HINT</x:v>
      </x:c>
      <x:c r="L51" s="101" t="str">
        <x:v>Gebt uns einen Hinweis.</x:v>
      </x:c>
      <x:c r="M51" s="101" t="str">
        <x:v>Ein Hinweis grenzt ein, löst aber nicht. Öffnet Stufe eins.</x:v>
      </x:c>
      <x:c r="N51" s="101" t="str">
        <x:v>{"openHint":1}</x:v>
      </x:c>
      <x:c r="O51" s="101" t="str">
        <x:v>OPEN_OBJECTIVE</x:v>
      </x:c>
      <x:c r="P51" s="101" t="str">
        <x:v>Wir sind bereit für die Aufgabe.</x:v>
      </x:c>
      <x:c r="Q51" s="101" t="str">
        <x:v>Dann öffnet die aktuelle Interaktion und bestätigt als Team.</x:v>
      </x:c>
      <x:c r="R51" s="101" t="str">
        <x:v>{"openObjective":true}</x:v>
      </x:c>
      <x:c r="S51" s="101" t="str">
        <x:v>CHECK_FACTS</x:v>
      </x:c>
      <x:c r="T51" s="101" t="str">
        <x:v>Welche Aussagen sind belegt?</x:v>
      </x:c>
      <x:c r="U51" s="101" t="str">
        <x:v>Öffnet die Faktenkarte. Fiktionale Rahmung ist dort getrennt markiert.</x:v>
      </x:c>
      <x:c r="V51" s="101" t="str">
        <x:v>{"openFactCard":true}</x:v>
      </x:c>
      <x:c r="W51" s="101" t="str">
        <x:v>D1-Q16-COMPLETE</x:v>
      </x:c>
      <x:c r="X51" s="101" t="str"/>
      <x:c r="Y51" s="109" t="n">
        <x:f>LEN(J51)+LEN(L51)+LEN(M51)+LEN(P51)+LEN(Q51)+LEN(T51)+LEN(U51)</x:f>
        <x:v>422</x:v>
      </x:c>
      <x:c r="Z51" s="109" t="n">
        <x:f>SUMIF($B$5:$B$124,B51,$Y$5:$Y$124)</x:f>
        <x:v>422</x:v>
      </x:c>
      <x:c r="AA51" s="101" t="str">
        <x:v>Max. 1000 Zeichen pro Interaktionssequenz; historischer Inhalt nur aus Fact-Set.</x:v>
      </x:c>
    </x:row>
    <x:row r="52" ht="88" customHeight="1">
      <x:c r="A52" s="104" t="str">
        <x:v>D1-Q16</x:v>
      </x:c>
      <x:c r="B52" s="104" t="str">
        <x:v>D1-Q16-COMPLETE</x:v>
      </x:c>
      <x:c r="C52" s="104" t="str">
        <x:v>D1-Q16-N3</x:v>
      </x:c>
      <x:c r="D52" s="104" t="str">
        <x:v>COMPLETE</x:v>
      </x:c>
      <x:c r="E52" s="104" t="n">
        <x:v>3</x:v>
      </x:c>
      <x:c r="F52" s="104" t="str">
        <x:v>npc_anita_garibaldi</x:v>
      </x:c>
      <x:c r="G52" s="104" t="str">
        <x:v>Anita Garibaldi – Reiterecho</x:v>
      </x:c>
      <x:c r="H52" s="104" t="str">
        <x:v>entschlossen unter Druck</x:v>
      </x:c>
      <x:c r="I52" s="104" t="str">
        <x:v>questActive || phase==OFFER</x:v>
      </x:c>
      <x:c r="J52" s="104" t="str">
        <x:v>Ihr seid vollständig. Gut. Der Garibaldino der Mauern möchte prüfen, ob eure Erinnerung auch unter Druck hält.</x:v>
      </x:c>
      <x:c r="K52" s="104" t="str">
        <x:v>CLOSE_HUMBLE</x:v>
      </x:c>
      <x:c r="L52" s="104" t="str">
        <x:v>Wir dokumentieren die Lösung.</x:v>
      </x:c>
      <x:c r="M52" s="104" t="str">
        <x:v>Sauber abgeschlossen.</x:v>
      </x:c>
      <x:c r="N52" s="104" t="str">
        <x:v>{"closeDialogue":true}</x:v>
      </x:c>
      <x:c r="O52" s="104" t="str">
        <x:v>OPEN_FACTS</x:v>
      </x:c>
      <x:c r="P52" s="104" t="str">
        <x:v>Was sollten wir historisch behalten?</x:v>
      </x:c>
      <x:c r="Q52" s="104" t="str">
        <x:v>Öffnet die verifizierten Fakten und Quellen dieser Quest.</x:v>
      </x:c>
      <x:c r="R52" s="104" t="str">
        <x:v>{"openFactCard":true}</x:v>
      </x:c>
      <x:c r="S52" s="104" t="str">
        <x:v>PREVIEW_REWARD</x:v>
      </x:c>
      <x:c r="T52" s="104" t="str">
        <x:v>Und was erhalten wir?</x:v>
      </x:c>
      <x:c r="U52" s="104" t="str">
        <x:v>Die Belohnungsvorschau zeigt Arbeitswerte; der Server vergibt atomar.</x:v>
      </x:c>
      <x:c r="V52" s="104" t="str">
        <x:v>{"openRewardPreview":true}</x:v>
      </x:c>
      <x:c r="W52" s="104" t="str">
        <x:v>END</x:v>
      </x:c>
      <x:c r="X52" s="104" t="str"/>
      <x:c r="Y52" s="110" t="n">
        <x:f>LEN(J52)+LEN(L52)+LEN(M52)+LEN(P52)+LEN(Q52)+LEN(T52)+LEN(U52)</x:f>
        <x:v>343</x:v>
      </x:c>
      <x:c r="Z52" s="110" t="n">
        <x:f>SUMIF($B$5:$B$124,B52,$Y$5:$Y$124)</x:f>
        <x:v>343</x:v>
      </x:c>
      <x:c r="AA52" s="104" t="str">
        <x:v>Max. 1000 Zeichen pro Interaktionssequenz; historischer Inhalt nur aus Fact-Set.</x:v>
      </x:c>
    </x:row>
    <x:row r="53" ht="88" customHeight="1">
      <x:c r="A53" s="101" t="str">
        <x:v>D2-Q01</x:v>
      </x:c>
      <x:c r="B53" s="101" t="str">
        <x:v>D2-Q01-OFFER</x:v>
      </x:c>
      <x:c r="C53" s="101" t="str">
        <x:v>D2-Q01-N1</x:v>
      </x:c>
      <x:c r="D53" s="101" t="str">
        <x:v>OFFER</x:v>
      </x:c>
      <x:c r="E53" s="101" t="n">
        <x:v>1</x:v>
      </x:c>
      <x:c r="F53" s="101" t="str">
        <x:v>npc_michelangelo_campidoglio</x:v>
      </x:c>
      <x:c r="G53" s="101" t="str">
        <x:v>Michelangelo – missmutiger Platzgeist</x:v>
      </x:c>
      <x:c r="H53" s="101" t="str">
        <x:v>mürrisch konzentriert</x:v>
      </x:c>
      <x:c r="I53" s="101" t="str">
        <x:v>questActive || phase==OFFER</x:v>
      </x:c>
      <x:c r="J53" s="101" t="str">
        <x:v>Der Platz ist kein Teppich. Das Muster lenkt Blick und Bewegung; die Figur beansprucht Erinnerung. Ordnet beides, bevor jemand ‚schön symmetrisch‘ sagt und damit fertig ist.</x:v>
      </x:c>
      <x:c r="K53" s="101" t="str">
        <x:v>ACCEPT_PATTERN</x:v>
      </x:c>
      <x:c r="L53" s="101" t="str">
        <x:v>Wir lesen Platz und Figur zusammen.</x:v>
      </x:c>
      <x:c r="M53" s="101" t="str">
        <x:v>Dann beginnt am Boden. Genies schauen gelegentlich hinunter.</x:v>
      </x:c>
      <x:c r="N53" s="101" t="str">
        <x:v>{"accept":true}</x:v>
      </x:c>
      <x:c r="O53" s="101" t="str">
        <x:v>ASK_CAESAR</x:v>
      </x:c>
      <x:c r="P53" s="101" t="str">
        <x:v>Geht es um den historischen Caesar?</x:v>
      </x:c>
      <x:c r="Q53" s="101" t="str">
        <x:v>Nur um Aussagen aus dem hinterlegten Fact-Set und die sichtbare Figur.</x:v>
      </x:c>
      <x:c r="R53" s="101" t="str">
        <x:v>{"loreHint":true}</x:v>
      </x:c>
      <x:c r="S53" s="101" t="str">
        <x:v>SCULPTOR_PROPORTION</x:v>
      </x:c>
      <x:c r="T53" s="101" t="str">
        <x:v>[Bildhauer] Ich prüfe Achsen und Proportionen.</x:v>
      </x:c>
      <x:c r="U53" s="101" t="str">
        <x:v>Endlich ein brauchbarer Satz.</x:v>
      </x:c>
      <x:c r="V53" s="101" t="str">
        <x:v>{"classCheck":"SCULPTOR","bonusLore":true}</x:v>
      </x:c>
      <x:c r="W53" s="101" t="str">
        <x:v>D2-Q01-MID</x:v>
      </x:c>
      <x:c r="X53" s="101" t="str"/>
      <x:c r="Y53" s="109" t="n">
        <x:f>LEN(J53)+LEN(L53)+LEN(M53)+LEN(P53)+LEN(Q53)+LEN(T53)+LEN(U53)</x:f>
        <x:v>448</x:v>
      </x:c>
      <x:c r="Z53" s="109" t="n">
        <x:f>SUMIF($B$5:$B$124,B53,$Y$5:$Y$124)</x:f>
        <x:v>448</x:v>
      </x:c>
      <x:c r="AA53" s="101" t="str">
        <x:v>Max. 1000 Zeichen pro Interaktionssequenz; historischer Inhalt nur aus Fact-Set.</x:v>
      </x:c>
    </x:row>
    <x:row r="54" ht="88" customHeight="1">
      <x:c r="A54" s="104" t="str">
        <x:v>D2-Q01</x:v>
      </x:c>
      <x:c r="B54" s="104" t="str">
        <x:v>D2-Q01-MID</x:v>
      </x:c>
      <x:c r="C54" s="104" t="str">
        <x:v>D2-Q01-N2</x:v>
      </x:c>
      <x:c r="D54" s="104" t="str">
        <x:v>MID</x:v>
      </x:c>
      <x:c r="E54" s="104" t="n">
        <x:v>2</x:v>
      </x:c>
      <x:c r="F54" s="104" t="str">
        <x:v>npc_michelangelo_campidoglio</x:v>
      </x:c>
      <x:c r="G54" s="104" t="str">
        <x:v>Michelangelo – missmutiger Platzgeist</x:v>
      </x:c>
      <x:c r="H54" s="104" t="str">
        <x:v>mürrisch konzentriert</x:v>
      </x:c>
      <x:c r="I54" s="104" t="str">
        <x:v>questActive || phase==OFFER</x:v>
      </x:c>
      <x:c r="J54" s="104" t="str">
        <x:v>Form ist Entscheidung. Selbst ein Stern kann befehlen, wohin ihr schaut.</x:v>
      </x:c>
      <x:c r="K54" s="104" t="str">
        <x:v>REQUEST_HINT</x:v>
      </x:c>
      <x:c r="L54" s="104" t="str">
        <x:v>Gebt uns einen Hinweis.</x:v>
      </x:c>
      <x:c r="M54" s="104" t="str">
        <x:v>Ein Hinweis grenzt ein, löst aber nicht. Öffnet Stufe eins.</x:v>
      </x:c>
      <x:c r="N54" s="104" t="str">
        <x:v>{"openHint":1}</x:v>
      </x:c>
      <x:c r="O54" s="104" t="str">
        <x:v>OPEN_OBJECTIVE</x:v>
      </x:c>
      <x:c r="P54" s="104" t="str">
        <x:v>Wir sind bereit für die Aufgabe.</x:v>
      </x:c>
      <x:c r="Q54" s="104" t="str">
        <x:v>Dann öffnet die aktuelle Interaktion und bestätigt als Team.</x:v>
      </x:c>
      <x:c r="R54" s="104" t="str">
        <x:v>{"openObjective":true}</x:v>
      </x:c>
      <x:c r="S54" s="104" t="str">
        <x:v>CHECK_FACTS</x:v>
      </x:c>
      <x:c r="T54" s="104" t="str">
        <x:v>Welche Aussagen sind belegt?</x:v>
      </x:c>
      <x:c r="U54" s="104" t="str">
        <x:v>Öffnet die Faktenkarte. Fiktionale Rahmung ist dort getrennt markiert.</x:v>
      </x:c>
      <x:c r="V54" s="104" t="str">
        <x:v>{"openFactCard":true}</x:v>
      </x:c>
      <x:c r="W54" s="104" t="str">
        <x:v>D2-Q01-COMPLETE</x:v>
      </x:c>
      <x:c r="X54" s="104" t="str"/>
      <x:c r="Y54" s="110" t="n">
        <x:f>LEN(J54)+LEN(L54)+LEN(M54)+LEN(P54)+LEN(Q54)+LEN(T54)+LEN(U54)</x:f>
        <x:v>344</x:v>
      </x:c>
      <x:c r="Z54" s="110" t="n">
        <x:f>SUMIF($B$5:$B$124,B54,$Y$5:$Y$124)</x:f>
        <x:v>344</x:v>
      </x:c>
      <x:c r="AA54" s="104" t="str">
        <x:v>Max. 1000 Zeichen pro Interaktionssequenz; historischer Inhalt nur aus Fact-Set.</x:v>
      </x:c>
    </x:row>
    <x:row r="55" ht="88" customHeight="1">
      <x:c r="A55" s="101" t="str">
        <x:v>D2-Q01</x:v>
      </x:c>
      <x:c r="B55" s="101" t="str">
        <x:v>D2-Q01-COMPLETE</x:v>
      </x:c>
      <x:c r="C55" s="101" t="str">
        <x:v>D2-Q01-N3</x:v>
      </x:c>
      <x:c r="D55" s="101" t="str">
        <x:v>COMPLETE</x:v>
      </x:c>
      <x:c r="E55" s="101" t="n">
        <x:v>3</x:v>
      </x:c>
      <x:c r="F55" s="101" t="str">
        <x:v>npc_michelangelo_campidoglio</x:v>
      </x:c>
      <x:c r="G55" s="101" t="str">
        <x:v>Michelangelo – missmutiger Platzgeist</x:v>
      </x:c>
      <x:c r="H55" s="101" t="str">
        <x:v>mürrisch konzentriert</x:v>
      </x:c>
      <x:c r="I55" s="101" t="str">
        <x:v>questActive || phase==OFFER</x:v>
      </x:c>
      <x:c r="J55" s="101" t="str">
        <x:v>Ihr habt Macht und Orientierung getrennt. Das ist mehr, als viele Auftraggeber je schaffen.</x:v>
      </x:c>
      <x:c r="K55" s="101" t="str">
        <x:v>CLOSE_HUMBLE</x:v>
      </x:c>
      <x:c r="L55" s="101" t="str">
        <x:v>Wir dokumentieren die Lösung.</x:v>
      </x:c>
      <x:c r="M55" s="101" t="str">
        <x:v>Sauber abgeschlossen.</x:v>
      </x:c>
      <x:c r="N55" s="101" t="str">
        <x:v>{"closeDialogue":true}</x:v>
      </x:c>
      <x:c r="O55" s="101" t="str">
        <x:v>OPEN_FACTS</x:v>
      </x:c>
      <x:c r="P55" s="101" t="str">
        <x:v>Was sollten wir historisch behalten?</x:v>
      </x:c>
      <x:c r="Q55" s="101" t="str">
        <x:v>Öffnet die verifizierten Fakten und Quellen dieser Quest.</x:v>
      </x:c>
      <x:c r="R55" s="101" t="str">
        <x:v>{"openFactCard":true}</x:v>
      </x:c>
      <x:c r="S55" s="101" t="str">
        <x:v>PREVIEW_REWARD</x:v>
      </x:c>
      <x:c r="T55" s="101" t="str">
        <x:v>Und was erhalten wir?</x:v>
      </x:c>
      <x:c r="U55" s="101" t="str">
        <x:v>Die Belohnungsvorschau zeigt Arbeitswerte; der Server vergibt atomar.</x:v>
      </x:c>
      <x:c r="V55" s="101" t="str">
        <x:v>{"openRewardPreview":true}</x:v>
      </x:c>
      <x:c r="W55" s="101" t="str">
        <x:v>END</x:v>
      </x:c>
      <x:c r="X55" s="101" t="str"/>
      <x:c r="Y55" s="109" t="n">
        <x:f>LEN(J55)+LEN(L55)+LEN(M55)+LEN(P55)+LEN(Q55)+LEN(T55)+LEN(U55)</x:f>
        <x:v>324</x:v>
      </x:c>
      <x:c r="Z55" s="109" t="n">
        <x:f>SUMIF($B$5:$B$124,B55,$Y$5:$Y$124)</x:f>
        <x:v>324</x:v>
      </x:c>
      <x:c r="AA55" s="101" t="str">
        <x:v>Max. 1000 Zeichen pro Interaktionssequenz; historischer Inhalt nur aus Fact-Set.</x:v>
      </x:c>
    </x:row>
    <x:row r="56" ht="88" customHeight="1">
      <x:c r="A56" s="104" t="str">
        <x:v>D2-Q02</x:v>
      </x:c>
      <x:c r="B56" s="104" t="str">
        <x:v>D2-Q02-OFFER</x:v>
      </x:c>
      <x:c r="C56" s="104" t="str">
        <x:v>D2-Q02-N1</x:v>
      </x:c>
      <x:c r="D56" s="104" t="str">
        <x:v>OFFER</x:v>
      </x:c>
      <x:c r="E56" s="104" t="n">
        <x:v>1</x:v>
      </x:c>
      <x:c r="F56" s="104" t="str">
        <x:v>npc_vittoria_alata</x:v>
      </x:c>
      <x:c r="G56" s="104" t="str">
        <x:v>Vittoria Alata</x:v>
      </x:c>
      <x:c r="H56" s="104" t="str">
        <x:v>triumphal, aber gelangweilt</x:v>
      </x:c>
      <x:c r="I56" s="104" t="str">
        <x:v>questActive || phase==OFFER</x:v>
      </x:c>
      <x:c r="J56" s="104" t="str">
        <x:v>Hebt den Blick. Noch höher. Über Fahnen, Köpfe und Telefone. Zählt meine Wagen und sagt mir, ob ihr hier Antike seht – oder eine spätere Vorstellung davon.</x:v>
      </x:c>
      <x:c r="K56" s="104" t="str">
        <x:v>ACCEPT_QUADRIGA</x:v>
      </x:c>
      <x:c r="L56" s="104" t="str">
        <x:v>Wir zählen von der sicheren Außenfläche.</x:v>
      </x:c>
      <x:c r="M56" s="104" t="str">
        <x:v>Sehr gut. Keine Treppenbesteigung nötig.</x:v>
      </x:c>
      <x:c r="N56" s="104" t="str">
        <x:v>{"accept":true}</x:v>
      </x:c>
      <x:c r="O56" s="104" t="str">
        <x:v>ASK_EPOCH</x:v>
      </x:c>
      <x:c r="P56" s="104" t="str">
        <x:v>Ist die Darstellung antik?</x:v>
      </x:c>
      <x:c r="Q56" s="104" t="str">
        <x:v>Das Motiv blickt zur Antike; das Denkmal gehört in eine spätere Epoche. Nutzt das Fact-Set.</x:v>
      </x:c>
      <x:c r="R56" s="104" t="str">
        <x:v>{"loreHint":true}</x:v>
      </x:c>
      <x:c r="S56" s="104" t="str">
        <x:v>JOKE_BUS</x:v>
      </x:c>
      <x:c r="T56" s="104" t="str">
        <x:v>Zählt ein offener Doppeldecker?</x:v>
      </x:c>
      <x:c r="U56" s="104" t="str">
        <x:v>Nur wenn er von bronzenen Pferden gezogen wird.</x:v>
      </x:c>
      <x:c r="V56" s="104" t="str">
        <x:v>{"cosmetic":"bus_quadriga"}</x:v>
      </x:c>
      <x:c r="W56" s="104" t="str">
        <x:v>D2-Q02-MID</x:v>
      </x:c>
      <x:c r="X56" s="104" t="str"/>
      <x:c r="Y56" s="110" t="n">
        <x:f>LEN(J56)+LEN(L56)+LEN(M56)+LEN(P56)+LEN(Q56)+LEN(T56)+LEN(U56)</x:f>
        <x:v>430</x:v>
      </x:c>
      <x:c r="Z56" s="110" t="n">
        <x:f>SUMIF($B$5:$B$124,B56,$Y$5:$Y$124)</x:f>
        <x:v>430</x:v>
      </x:c>
      <x:c r="AA56" s="104" t="str">
        <x:v>Max. 1000 Zeichen pro Interaktionssequenz; historischer Inhalt nur aus Fact-Set.</x:v>
      </x:c>
    </x:row>
    <x:row r="57" ht="88" customHeight="1">
      <x:c r="A57" s="101" t="str">
        <x:v>D2-Q02</x:v>
      </x:c>
      <x:c r="B57" s="101" t="str">
        <x:v>D2-Q02-MID</x:v>
      </x:c>
      <x:c r="C57" s="101" t="str">
        <x:v>D2-Q02-N2</x:v>
      </x:c>
      <x:c r="D57" s="101" t="str">
        <x:v>MID</x:v>
      </x:c>
      <x:c r="E57" s="101" t="n">
        <x:v>2</x:v>
      </x:c>
      <x:c r="F57" s="101" t="str">
        <x:v>npc_vittoria_alata</x:v>
      </x:c>
      <x:c r="G57" s="101" t="str">
        <x:v>Vittoria Alata</x:v>
      </x:c>
      <x:c r="H57" s="101" t="str">
        <x:v>triumphal, aber gelangweilt</x:v>
      </x:c>
      <x:c r="I57" s="101" t="str">
        <x:v>questActive || phase==OFFER</x:v>
      </x:c>
      <x:c r="J57" s="101" t="str">
        <x:v>Zwei. Falls ihr drei zählt, ist eine davon vermutlich ein Reisebus.</x:v>
      </x:c>
      <x:c r="K57" s="101" t="str">
        <x:v>REQUEST_HINT</x:v>
      </x:c>
      <x:c r="L57" s="101" t="str">
        <x:v>Gebt uns einen Hinweis.</x:v>
      </x:c>
      <x:c r="M57" s="101" t="str">
        <x:v>Ein Hinweis grenzt ein, löst aber nicht. Öffnet Stufe eins.</x:v>
      </x:c>
      <x:c r="N57" s="101" t="str">
        <x:v>{"openHint":1}</x:v>
      </x:c>
      <x:c r="O57" s="101" t="str">
        <x:v>OPEN_OBJECTIVE</x:v>
      </x:c>
      <x:c r="P57" s="101" t="str">
        <x:v>Wir sind bereit für die Aufgabe.</x:v>
      </x:c>
      <x:c r="Q57" s="101" t="str">
        <x:v>Dann öffnet die aktuelle Interaktion und bestätigt als Team.</x:v>
      </x:c>
      <x:c r="R57" s="101" t="str">
        <x:v>{"openObjective":true}</x:v>
      </x:c>
      <x:c r="S57" s="101" t="str">
        <x:v>CHECK_FACTS</x:v>
      </x:c>
      <x:c r="T57" s="101" t="str">
        <x:v>Welche Aussagen sind belegt?</x:v>
      </x:c>
      <x:c r="U57" s="101" t="str">
        <x:v>Öffnet die Faktenkarte. Fiktionale Rahmung ist dort getrennt markiert.</x:v>
      </x:c>
      <x:c r="V57" s="101" t="str">
        <x:v>{"openFactCard":true}</x:v>
      </x:c>
      <x:c r="W57" s="101" t="str">
        <x:v>D2-Q02-COMPLETE</x:v>
      </x:c>
      <x:c r="X57" s="101" t="str"/>
      <x:c r="Y57" s="109" t="n">
        <x:f>LEN(J57)+LEN(L57)+LEN(M57)+LEN(P57)+LEN(Q57)+LEN(T57)+LEN(U57)</x:f>
        <x:v>339</x:v>
      </x:c>
      <x:c r="Z57" s="109" t="n">
        <x:f>SUMIF($B$5:$B$124,B57,$Y$5:$Y$124)</x:f>
        <x:v>339</x:v>
      </x:c>
      <x:c r="AA57" s="101" t="str">
        <x:v>Max. 1000 Zeichen pro Interaktionssequenz; historischer Inhalt nur aus Fact-Set.</x:v>
      </x:c>
    </x:row>
    <x:row r="58" ht="88" customHeight="1">
      <x:c r="A58" s="104" t="str">
        <x:v>D2-Q02</x:v>
      </x:c>
      <x:c r="B58" s="104" t="str">
        <x:v>D2-Q02-COMPLETE</x:v>
      </x:c>
      <x:c r="C58" s="104" t="str">
        <x:v>D2-Q02-N3</x:v>
      </x:c>
      <x:c r="D58" s="104" t="str">
        <x:v>COMPLETE</x:v>
      </x:c>
      <x:c r="E58" s="104" t="n">
        <x:v>3</x:v>
      </x:c>
      <x:c r="F58" s="104" t="str">
        <x:v>npc_vittoria_alata</x:v>
      </x:c>
      <x:c r="G58" s="104" t="str">
        <x:v>Vittoria Alata</x:v>
      </x:c>
      <x:c r="H58" s="104" t="str">
        <x:v>triumphal, aber gelangweilt</x:v>
      </x:c>
      <x:c r="I58" s="104" t="str">
        <x:v>questActive || phase==OFFER</x:v>
      </x:c>
      <x:c r="J58" s="104" t="str">
        <x:v>Richtig gesehen, richtig eingeordnet. Monumentalität ist am erträglichsten, wenn sie präzise bleibt.</x:v>
      </x:c>
      <x:c r="K58" s="104" t="str">
        <x:v>CLOSE_HUMBLE</x:v>
      </x:c>
      <x:c r="L58" s="104" t="str">
        <x:v>Wir dokumentieren die Lösung.</x:v>
      </x:c>
      <x:c r="M58" s="104" t="str">
        <x:v>Sauber abgeschlossen.</x:v>
      </x:c>
      <x:c r="N58" s="104" t="str">
        <x:v>{"closeDialogue":true}</x:v>
      </x:c>
      <x:c r="O58" s="104" t="str">
        <x:v>OPEN_FACTS</x:v>
      </x:c>
      <x:c r="P58" s="104" t="str">
        <x:v>Was sollten wir historisch behalten?</x:v>
      </x:c>
      <x:c r="Q58" s="104" t="str">
        <x:v>Öffnet die verifizierten Fakten und Quellen dieser Quest.</x:v>
      </x:c>
      <x:c r="R58" s="104" t="str">
        <x:v>{"openFactCard":true}</x:v>
      </x:c>
      <x:c r="S58" s="104" t="str">
        <x:v>PREVIEW_REWARD</x:v>
      </x:c>
      <x:c r="T58" s="104" t="str">
        <x:v>Und was erhalten wir?</x:v>
      </x:c>
      <x:c r="U58" s="104" t="str">
        <x:v>Die Belohnungsvorschau zeigt Arbeitswerte; der Server vergibt atomar.</x:v>
      </x:c>
      <x:c r="V58" s="104" t="str">
        <x:v>{"openRewardPreview":true}</x:v>
      </x:c>
      <x:c r="W58" s="104" t="str">
        <x:v>END</x:v>
      </x:c>
      <x:c r="X58" s="104" t="str"/>
      <x:c r="Y58" s="110" t="n">
        <x:f>LEN(J58)+LEN(L58)+LEN(M58)+LEN(P58)+LEN(Q58)+LEN(T58)+LEN(U58)</x:f>
        <x:v>333</x:v>
      </x:c>
      <x:c r="Z58" s="110" t="n">
        <x:f>SUMIF($B$5:$B$124,B58,$Y$5:$Y$124)</x:f>
        <x:v>333</x:v>
      </x:c>
      <x:c r="AA58" s="104" t="str">
        <x:v>Max. 1000 Zeichen pro Interaktionssequenz; historischer Inhalt nur aus Fact-Set.</x:v>
      </x:c>
    </x:row>
    <x:row r="59" ht="88" customHeight="1">
      <x:c r="A59" s="101" t="str">
        <x:v>D2-Q03</x:v>
      </x:c>
      <x:c r="B59" s="101" t="str">
        <x:v>D2-Q03-OFFER</x:v>
      </x:c>
      <x:c r="C59" s="101" t="str">
        <x:v>D2-Q03-N1</x:v>
      </x:c>
      <x:c r="D59" s="101" t="str">
        <x:v>OFFER</x:v>
      </x:c>
      <x:c r="E59" s="101" t="n">
        <x:v>1</x:v>
      </x:c>
      <x:c r="F59" s="101" t="str">
        <x:v>npc_lanista_felix</x:v>
      </x:c>
      <x:c r="G59" s="101" t="str">
        <x:v>Lanista Felix</x:v>
      </x:c>
      <x:c r="H59" s="101" t="str">
        <x:v>kampflustig</x:v>
      </x:c>
      <x:c r="I59" s="101" t="str">
        <x:v>questActive || phase==OFFER</x:v>
      </x:c>
      <x:c r="J59" s="101" t="str">
        <x:v>Jeder sieht das Kolosseum. Kämpfer sehen den Weg darum herum: Triumph vor der Menge, Training unter Staub, dann erst die Arena. Lest den Kreislauf, sonst liest der Gladiator euch.</x:v>
      </x:c>
      <x:c r="K59" s="101" t="str">
        <x:v>ACCEPT_ARENA</x:v>
      </x:c>
      <x:c r="L59" s="101" t="str">
        <x:v>Wir lesen den Kampfkreislauf.</x:v>
      </x:c>
      <x:c r="M59" s="101" t="str">
        <x:v>Gut. Augen offen, Ellbogen bei euch.</x:v>
      </x:c>
      <x:c r="N59" s="101" t="str">
        <x:v>{"accept":true}</x:v>
      </x:c>
      <x:c r="O59" s="101" t="str">
        <x:v>ASK_TACTIC</x:v>
      </x:c>
      <x:c r="P59" s="101" t="str">
        <x:v>Welche Taktik bringt Initiative?</x:v>
      </x:c>
      <x:c r="Q59" s="101" t="str">
        <x:v>Wer Training korrekt erkennt, darf den ersten Telegraphen früher sehen.</x:v>
      </x:c>
      <x:c r="R59" s="101" t="str">
        <x:v>{"combatHint":true}</x:v>
      </x:c>
      <x:c r="S59" s="101" t="str">
        <x:v>CONDOTTIERE_DISCIPLINE</x:v>
      </x:c>
      <x:c r="T59" s="101" t="str">
        <x:v>[Condottiere] Formation schlägt Show.</x:v>
      </x:c>
      <x:c r="U59" s="101" t="str">
        <x:v>Endlich sagt es jemand vor einer Arena.</x:v>
      </x:c>
      <x:c r="V59" s="101" t="str">
        <x:v>{"classCheck":"CONDOTTIERE","buff":"initiative"}</x:v>
      </x:c>
      <x:c r="W59" s="101" t="str">
        <x:v>D2-Q03-MID</x:v>
      </x:c>
      <x:c r="X59" s="101" t="str"/>
      <x:c r="Y59" s="109" t="n">
        <x:f>LEN(J59)+LEN(L59)+LEN(M59)+LEN(P59)+LEN(Q59)+LEN(T59)+LEN(U59)</x:f>
        <x:v>423</x:v>
      </x:c>
      <x:c r="Z59" s="109" t="n">
        <x:f>SUMIF($B$5:$B$124,B59,$Y$5:$Y$124)</x:f>
        <x:v>423</x:v>
      </x:c>
      <x:c r="AA59" s="101" t="str">
        <x:v>Max. 1000 Zeichen pro Interaktionssequenz; historischer Inhalt nur aus Fact-Set.</x:v>
      </x:c>
    </x:row>
    <x:row r="60" ht="88" customHeight="1">
      <x:c r="A60" s="104" t="str">
        <x:v>D2-Q03</x:v>
      </x:c>
      <x:c r="B60" s="104" t="str">
        <x:v>D2-Q03-MID</x:v>
      </x:c>
      <x:c r="C60" s="104" t="str">
        <x:v>D2-Q03-N2</x:v>
      </x:c>
      <x:c r="D60" s="104" t="str">
        <x:v>MID</x:v>
      </x:c>
      <x:c r="E60" s="104" t="n">
        <x:v>2</x:v>
      </x:c>
      <x:c r="F60" s="104" t="str">
        <x:v>npc_lanista_felix</x:v>
      </x:c>
      <x:c r="G60" s="104" t="str">
        <x:v>Lanista Felix</x:v>
      </x:c>
      <x:c r="H60" s="104" t="str">
        <x:v>kampflustig</x:v>
      </x:c>
      <x:c r="I60" s="104" t="str">
        <x:v>questActive || phase==OFFER</x:v>
      </x:c>
      <x:c r="J60" s="104" t="str">
        <x:v>Form verrät Funktion. Oval für Bewegung, Bogen für Durchzug, große Ränge für Publikum.</x:v>
      </x:c>
      <x:c r="K60" s="104" t="str">
        <x:v>REQUEST_HINT</x:v>
      </x:c>
      <x:c r="L60" s="104" t="str">
        <x:v>Gebt uns einen Hinweis.</x:v>
      </x:c>
      <x:c r="M60" s="104" t="str">
        <x:v>Ein Hinweis grenzt ein, löst aber nicht. Öffnet Stufe eins.</x:v>
      </x:c>
      <x:c r="N60" s="104" t="str">
        <x:v>{"openHint":1}</x:v>
      </x:c>
      <x:c r="O60" s="104" t="str">
        <x:v>OPEN_OBJECTIVE</x:v>
      </x:c>
      <x:c r="P60" s="104" t="str">
        <x:v>Wir sind bereit für die Aufgabe.</x:v>
      </x:c>
      <x:c r="Q60" s="104" t="str">
        <x:v>Dann öffnet die aktuelle Interaktion und bestätigt als Team.</x:v>
      </x:c>
      <x:c r="R60" s="104" t="str">
        <x:v>{"openObjective":true}</x:v>
      </x:c>
      <x:c r="S60" s="104" t="str">
        <x:v>CHECK_FACTS</x:v>
      </x:c>
      <x:c r="T60" s="104" t="str">
        <x:v>Welche Aussagen sind belegt?</x:v>
      </x:c>
      <x:c r="U60" s="104" t="str">
        <x:v>Öffnet die Faktenkarte. Fiktionale Rahmung ist dort getrennt markiert.</x:v>
      </x:c>
      <x:c r="V60" s="104" t="str">
        <x:v>{"openFactCard":true}</x:v>
      </x:c>
      <x:c r="W60" s="104" t="str">
        <x:v>D2-Q03-COMPLETE</x:v>
      </x:c>
      <x:c r="X60" s="104" t="str"/>
      <x:c r="Y60" s="110" t="n">
        <x:f>LEN(J60)+LEN(L60)+LEN(M60)+LEN(P60)+LEN(Q60)+LEN(T60)+LEN(U60)</x:f>
        <x:v>358</x:v>
      </x:c>
      <x:c r="Z60" s="110" t="n">
        <x:f>SUMIF($B$5:$B$124,B60,$Y$5:$Y$124)</x:f>
        <x:v>358</x:v>
      </x:c>
      <x:c r="AA60" s="104" t="str">
        <x:v>Max. 1000 Zeichen pro Interaktionssequenz; historischer Inhalt nur aus Fact-Set.</x:v>
      </x:c>
    </x:row>
    <x:row r="61" ht="88" customHeight="1">
      <x:c r="A61" s="101" t="str">
        <x:v>D2-Q03</x:v>
      </x:c>
      <x:c r="B61" s="101" t="str">
        <x:v>D2-Q03-COMPLETE</x:v>
      </x:c>
      <x:c r="C61" s="101" t="str">
        <x:v>D2-Q03-N3</x:v>
      </x:c>
      <x:c r="D61" s="101" t="str">
        <x:v>COMPLETE</x:v>
      </x:c>
      <x:c r="E61" s="101" t="n">
        <x:v>3</x:v>
      </x:c>
      <x:c r="F61" s="101" t="str">
        <x:v>npc_lanista_felix</x:v>
      </x:c>
      <x:c r="G61" s="101" t="str">
        <x:v>Lanista Felix</x:v>
      </x:c>
      <x:c r="H61" s="101" t="str">
        <x:v>kampflustig</x:v>
      </x:c>
      <x:c r="I61" s="101" t="str">
        <x:v>questActive || phase==OFFER</x:v>
      </x:c>
      <x:c r="J61" s="101" t="str">
        <x:v>Taktik steht. Der Gladiator kommt. Ruhige Aktionen, klare Ziele – echte Kampfbewegungen bleiben im Display, nicht auf dem Gehweg.</x:v>
      </x:c>
      <x:c r="K61" s="101" t="str">
        <x:v>CLOSE_HUMBLE</x:v>
      </x:c>
      <x:c r="L61" s="101" t="str">
        <x:v>Wir dokumentieren die Lösung.</x:v>
      </x:c>
      <x:c r="M61" s="101" t="str">
        <x:v>Sauber abgeschlossen.</x:v>
      </x:c>
      <x:c r="N61" s="101" t="str">
        <x:v>{"closeDialogue":true}</x:v>
      </x:c>
      <x:c r="O61" s="101" t="str">
        <x:v>OPEN_FACTS</x:v>
      </x:c>
      <x:c r="P61" s="101" t="str">
        <x:v>Was sollten wir historisch behalten?</x:v>
      </x:c>
      <x:c r="Q61" s="101" t="str">
        <x:v>Öffnet die verifizierten Fakten und Quellen dieser Quest.</x:v>
      </x:c>
      <x:c r="R61" s="101" t="str">
        <x:v>{"openFactCard":true}</x:v>
      </x:c>
      <x:c r="S61" s="101" t="str">
        <x:v>PREVIEW_REWARD</x:v>
      </x:c>
      <x:c r="T61" s="101" t="str">
        <x:v>Und was erhalten wir?</x:v>
      </x:c>
      <x:c r="U61" s="101" t="str">
        <x:v>Die Belohnungsvorschau zeigt Arbeitswerte; der Server vergibt atomar.</x:v>
      </x:c>
      <x:c r="V61" s="101" t="str">
        <x:v>{"openRewardPreview":true}</x:v>
      </x:c>
      <x:c r="W61" s="101" t="str">
        <x:v>END</x:v>
      </x:c>
      <x:c r="X61" s="101" t="str"/>
      <x:c r="Y61" s="109" t="n">
        <x:f>LEN(J61)+LEN(L61)+LEN(M61)+LEN(P61)+LEN(Q61)+LEN(T61)+LEN(U61)</x:f>
        <x:v>362</x:v>
      </x:c>
      <x:c r="Z61" s="109" t="n">
        <x:f>SUMIF($B$5:$B$124,B61,$Y$5:$Y$124)</x:f>
        <x:v>362</x:v>
      </x:c>
      <x:c r="AA61" s="101" t="str">
        <x:v>Max. 1000 Zeichen pro Interaktionssequenz; historischer Inhalt nur aus Fact-Set.</x:v>
      </x:c>
    </x:row>
    <x:row r="62" ht="88" customHeight="1">
      <x:c r="A62" s="104" t="str">
        <x:v>D2-Q04</x:v>
      </x:c>
      <x:c r="B62" s="104" t="str">
        <x:v>D2-Q04-OFFER</x:v>
      </x:c>
      <x:c r="C62" s="104" t="str">
        <x:v>D2-Q04-N1</x:v>
      </x:c>
      <x:c r="D62" s="104" t="str">
        <x:v>OFFER</x:v>
      </x:c>
      <x:c r="E62" s="104" t="n">
        <x:v>1</x:v>
      </x:c>
      <x:c r="F62" s="104" t="str">
        <x:v>npc_mercator_gaius</x:v>
      </x:c>
      <x:c r="G62" s="104" t="str">
        <x:v>Gaius Quattuorportus</x:v>
      </x:c>
      <x:c r="H62" s="104" t="str">
        <x:v>geschäftig und misstrauisch</x:v>
      </x:c>
      <x:c r="I62" s="104" t="str">
        <x:v>questActive || phase==OFFER</x:v>
      </x:c>
      <x:c r="J62" s="104" t="str">
        <x:v>Ich verkaufe Wahrheit, Legende und spätere Erklärung. Gleicher Preis, sehr unterschiedliche Haltbarkeit. Prüft vier Monumente. Am Janusbogen dürft ihr eine 90-Sekunden-Wahrheitsprüfung starten; nach Ablauf öffnet sich der Fallback, der Wissensbonus ist dann verkauft.</x:v>
      </x:c>
      <x:c r="K62" s="104" t="str">
        <x:v>ACCEPT_TRADE</x:v>
      </x:c>
      <x:c r="L62" s="104" t="str">
        <x:v>Wir prüfen deine Erklärungen.</x:v>
      </x:c>
      <x:c r="M62" s="104" t="str">
        <x:v>Ausgezeichnet. Rückgabe ausgeschlossen, Erkenntnis möglich.</x:v>
      </x:c>
      <x:c r="N62" s="104" t="str">
        <x:v>{"accept":true}</x:v>
      </x:c>
      <x:c r="O62" s="104" t="str">
        <x:v>ASK_LEGEND</x:v>
      </x:c>
      <x:c r="P62" s="104" t="str">
        <x:v>Dürfen wir die Legende behalten?</x:v>
      </x:c>
      <x:c r="Q62" s="104" t="str">
        <x:v>Natürlich. Schreibt nur nicht ‚historischer Fakt‘ auf die Verpackung.</x:v>
      </x:c>
      <x:c r="R62" s="104" t="str">
        <x:v>{"loreHint":true}</x:v>
      </x:c>
      <x:c r="S62" s="104" t="str">
        <x:v>CONDOTTIERE_BARGAIN</x:v>
      </x:c>
      <x:c r="T62" s="104" t="str">
        <x:v>[Condottiere] Erst Beleg, dann Bezahlung.</x:v>
      </x:c>
      <x:c r="U62" s="104" t="str">
        <x:v>Ihr ruiniert den Handel. Ich mag euch.</x:v>
      </x:c>
      <x:c r="V62" s="104" t="str">
        <x:v>{"classCheck":"CONDOTTIERE","bonusDenarii":true}</x:v>
      </x:c>
      <x:c r="W62" s="104" t="str">
        <x:v>D2-Q04-MID</x:v>
      </x:c>
      <x:c r="X62" s="104" t="str"/>
      <x:c r="Y62" s="110" t="n">
        <x:f>LEN(J62)+LEN(L62)+LEN(M62)+LEN(P62)+LEN(Q62)+LEN(T62)+LEN(U62)</x:f>
        <x:v>535</x:v>
      </x:c>
      <x:c r="Z62" s="110" t="n">
        <x:f>SUMIF($B$5:$B$124,B62,$Y$5:$Y$124)</x:f>
        <x:v>535</x:v>
      </x:c>
      <x:c r="AA62" s="104" t="str">
        <x:v>Max. 1000 Zeichen pro Interaktionssequenz; historischer Inhalt nur aus Fact-Set.</x:v>
      </x:c>
    </x:row>
    <x:row r="63" ht="88" customHeight="1">
      <x:c r="A63" s="101" t="str">
        <x:v>D2-Q04</x:v>
      </x:c>
      <x:c r="B63" s="101" t="str">
        <x:v>D2-Q04-MID</x:v>
      </x:c>
      <x:c r="C63" s="101" t="str">
        <x:v>D2-Q04-N2</x:v>
      </x:c>
      <x:c r="D63" s="101" t="str">
        <x:v>MID</x:v>
      </x:c>
      <x:c r="E63" s="101" t="n">
        <x:v>2</x:v>
      </x:c>
      <x:c r="F63" s="101" t="str">
        <x:v>npc_mercator_gaius</x:v>
      </x:c>
      <x:c r="G63" s="101" t="str">
        <x:v>Gaius Quattuorportus</x:v>
      </x:c>
      <x:c r="H63" s="101" t="str">
        <x:v>geschäftig und misstrauisch</x:v>
      </x:c>
      <x:c r="I63" s="101" t="str">
        <x:v>questActive || phase==OFFER</x:v>
      </x:c>
      <x:c r="J63" s="101" t="str">
        <x:v>Rund ist rund, vierseitig ist vierseitig. Erst die Form, dann die Behauptung. Wenn ihr am Janusbogen BEREIT seid, laufen 90 Sekunden. Händlerregel: Zeitdruck erst nach Einverständnis.</x:v>
      </x:c>
      <x:c r="K63" s="101" t="str">
        <x:v>REQUEST_HINT</x:v>
      </x:c>
      <x:c r="L63" s="101" t="str">
        <x:v>Gebt uns einen Hinweis.</x:v>
      </x:c>
      <x:c r="M63" s="101" t="str">
        <x:v>Ein Hinweis grenzt ein, löst aber nicht. Öffnet Stufe eins.</x:v>
      </x:c>
      <x:c r="N63" s="101" t="str">
        <x:v>{"openHint":1}</x:v>
      </x:c>
      <x:c r="O63" s="101" t="str">
        <x:v>START_VERITAS_TIMER</x:v>
      </x:c>
      <x:c r="P63" s="101" t="str">
        <x:v>Wir starten die 90-Sekunden-Prüfung.</x:v>
      </x:c>
      <x:c r="Q63" s="101" t="str">
        <x:v>Ab jetzt läuft die Uhr. Danach öffnet sich der Fallback, aber der Wissensbonus ist – bedauerlicherweise – verkauft.</x:v>
      </x:c>
      <x:c r="R63" s="101" t="str">
        <x:v>{"startTimer":"TMR-D2-Q04-S11","openObjective":true}</x:v>
      </x:c>
      <x:c r="S63" s="101" t="str">
        <x:v>CHECK_FACTS</x:v>
      </x:c>
      <x:c r="T63" s="101" t="str">
        <x:v>Welche Aussagen sind belegt?</x:v>
      </x:c>
      <x:c r="U63" s="101" t="str">
        <x:v>Öffnet die Faktenkarte. Fiktionale Rahmung ist dort getrennt markiert.</x:v>
      </x:c>
      <x:c r="V63" s="101" t="str">
        <x:v>{"openFactCard":true}</x:v>
      </x:c>
      <x:c r="W63" s="101" t="str">
        <x:v>D2-Q04-COMPLETE</x:v>
      </x:c>
      <x:c r="X63" s="101" t="str"/>
      <x:c r="Y63" s="109" t="n">
        <x:f>LEN(J63)+LEN(L63)+LEN(M63)+LEN(P63)+LEN(Q63)+LEN(T63)+LEN(U63)</x:f>
        <x:v>514</x:v>
      </x:c>
      <x:c r="Z63" s="109" t="n">
        <x:f>SUMIF($B$5:$B$124,B63,$Y$5:$Y$124)</x:f>
        <x:v>514</x:v>
      </x:c>
      <x:c r="AA63" s="101" t="str">
        <x:v>Max. 1000 Zeichen pro Interaktionssequenz; historischer Inhalt nur aus Fact-Set.</x:v>
      </x:c>
    </x:row>
    <x:row r="64" ht="88" customHeight="1">
      <x:c r="A64" s="104" t="str">
        <x:v>D2-Q04</x:v>
      </x:c>
      <x:c r="B64" s="104" t="str">
        <x:v>D2-Q04-COMPLETE</x:v>
      </x:c>
      <x:c r="C64" s="104" t="str">
        <x:v>D2-Q04-N3</x:v>
      </x:c>
      <x:c r="D64" s="104" t="str">
        <x:v>COMPLETE</x:v>
      </x:c>
      <x:c r="E64" s="104" t="n">
        <x:v>3</x:v>
      </x:c>
      <x:c r="F64" s="104" t="str">
        <x:v>npc_mercator_gaius</x:v>
      </x:c>
      <x:c r="G64" s="104" t="str">
        <x:v>Gaius Quattuorportus</x:v>
      </x:c>
      <x:c r="H64" s="104" t="str">
        <x:v>geschäftig und misstrauisch</x:v>
      </x:c>
      <x:c r="I64" s="104" t="str">
        <x:v>questActive || phase==OFFER</x:v>
      </x:c>
      <x:c r="J64" s="104" t="str">
        <x:v>VERITAS. Ärgerlich korrekt. Ihr dürft entscheiden, welche Erklärung ins Protokoll kommt – sauber etikettiert, versteht sich.</x:v>
      </x:c>
      <x:c r="K64" s="104" t="str">
        <x:v>CLOSE_HUMBLE</x:v>
      </x:c>
      <x:c r="L64" s="104" t="str">
        <x:v>Wir dokumentieren die Lösung.</x:v>
      </x:c>
      <x:c r="M64" s="104" t="str">
        <x:v>Sauber abgeschlossen.</x:v>
      </x:c>
      <x:c r="N64" s="104" t="str">
        <x:v>{"closeDialogue":true}</x:v>
      </x:c>
      <x:c r="O64" s="104" t="str">
        <x:v>OPEN_FACTS</x:v>
      </x:c>
      <x:c r="P64" s="104" t="str">
        <x:v>Was sollten wir historisch behalten?</x:v>
      </x:c>
      <x:c r="Q64" s="104" t="str">
        <x:v>Öffnet die verifizierten Fakten und Quellen dieser Quest.</x:v>
      </x:c>
      <x:c r="R64" s="104" t="str">
        <x:v>{"openFactCard":true}</x:v>
      </x:c>
      <x:c r="S64" s="104" t="str">
        <x:v>PREVIEW_REWARD</x:v>
      </x:c>
      <x:c r="T64" s="104" t="str">
        <x:v>Und was erhalten wir?</x:v>
      </x:c>
      <x:c r="U64" s="104" t="str">
        <x:v>Die Belohnungsvorschau zeigt Arbeitswerte; der Server vergibt atomar.</x:v>
      </x:c>
      <x:c r="V64" s="104" t="str">
        <x:v>{"openRewardPreview":true}</x:v>
      </x:c>
      <x:c r="W64" s="104" t="str">
        <x:v>END</x:v>
      </x:c>
      <x:c r="X64" s="104" t="str"/>
      <x:c r="Y64" s="110" t="n">
        <x:f>LEN(J64)+LEN(L64)+LEN(M64)+LEN(P64)+LEN(Q64)+LEN(T64)+LEN(U64)</x:f>
        <x:v>357</x:v>
      </x:c>
      <x:c r="Z64" s="110" t="n">
        <x:f>SUMIF($B$5:$B$124,B64,$Y$5:$Y$124)</x:f>
        <x:v>357</x:v>
      </x:c>
      <x:c r="AA64" s="104" t="str">
        <x:v>Max. 1000 Zeichen pro Interaktionssequenz; historischer Inhalt nur aus Fact-Set.</x:v>
      </x:c>
    </x:row>
    <x:row r="65" ht="88" customHeight="1">
      <x:c r="A65" s="101" t="str">
        <x:v>D2-Q05</x:v>
      </x:c>
      <x:c r="B65" s="101" t="str">
        <x:v>D2-Q05-OFFER</x:v>
      </x:c>
      <x:c r="C65" s="101" t="str">
        <x:v>D2-Q05-N1</x:v>
      </x:c>
      <x:c r="D65" s="101" t="str">
        <x:v>OFFER</x:v>
      </x:c>
      <x:c r="E65" s="101" t="n">
        <x:v>1</x:v>
      </x:c>
      <x:c r="F65" s="101" t="str">
        <x:v>npc_triton_callidus</x:v>
      </x:c>
      <x:c r="G65" s="101" t="str">
        <x:v>Triton Callidus</x:v>
      </x:c>
      <x:c r="H65" s="101" t="str">
        <x:v>laut begeistert</x:v>
      </x:c>
      <x:c r="I65" s="101" t="str">
        <x:v>questActive || phase==OFFER</x:v>
      </x:c>
      <x:c r="J65" s="101" t="str">
        <x:v>Zwei Tritonen tragen eine Schale, ein Hügel schaut über den Circus, und eine Maske spuckt Wasser, aber keine brauchbaren Wegbeschreibungen. Bringt Ordnung hinein!</x:v>
      </x:c>
      <x:c r="K65" s="101" t="str">
        <x:v>ACCEPT_MASKS</x:v>
      </x:c>
      <x:c r="L65" s="101" t="str">
        <x:v>Wir klären Hügel und Brunnenwesen.</x:v>
      </x:c>
      <x:c r="M65" s="101" t="str">
        <x:v>Ha! Endlich Landmenschen mit Richtungssinn.</x:v>
      </x:c>
      <x:c r="N65" s="101" t="str">
        <x:v>{"accept":true}</x:v>
      </x:c>
      <x:c r="O65" s="101" t="str">
        <x:v>ASK_PALATINE</x:v>
      </x:c>
      <x:c r="P65" s="101" t="str">
        <x:v>Wie erkennen wir den Palatin?</x:v>
      </x:c>
      <x:c r="Q65" s="101" t="str">
        <x:v>Nutzt den bestätigten Panoramablick über die lange Circus-Senke.</x:v>
      </x:c>
      <x:c r="R65" s="101" t="str">
        <x:v>{"hint":"PANORAMA"}</x:v>
      </x:c>
      <x:c r="S65" s="101" t="str">
        <x:v>JOKE_SWIM</x:v>
      </x:c>
      <x:c r="T65" s="101" t="str">
        <x:v>Können Tritonen überhaupt verloren gehen?</x:v>
      </x:c>
      <x:c r="U65" s="101" t="str">
        <x:v>Nur sehr stilvoll.</x:v>
      </x:c>
      <x:c r="V65" s="101" t="str">
        <x:v>{"cosmetic":"triton_lost"}</x:v>
      </x:c>
      <x:c r="W65" s="101" t="str">
        <x:v>D2-Q05-MID</x:v>
      </x:c>
      <x:c r="X65" s="101" t="str"/>
      <x:c r="Y65" s="109" t="n">
        <x:f>LEN(J65)+LEN(L65)+LEN(M65)+LEN(P65)+LEN(Q65)+LEN(T65)+LEN(U65)</x:f>
        <x:v>391</x:v>
      </x:c>
      <x:c r="Z65" s="109" t="n">
        <x:f>SUMIF($B$5:$B$124,B65,$Y$5:$Y$124)</x:f>
        <x:v>391</x:v>
      </x:c>
      <x:c r="AA65" s="101" t="str">
        <x:v>Max. 1000 Zeichen pro Interaktionssequenz; historischer Inhalt nur aus Fact-Set.</x:v>
      </x:c>
    </x:row>
    <x:row r="66" ht="88" customHeight="1">
      <x:c r="A66" s="104" t="str">
        <x:v>D2-Q05</x:v>
      </x:c>
      <x:c r="B66" s="104" t="str">
        <x:v>D2-Q05-MID</x:v>
      </x:c>
      <x:c r="C66" s="104" t="str">
        <x:v>D2-Q05-N2</x:v>
      </x:c>
      <x:c r="D66" s="104" t="str">
        <x:v>MID</x:v>
      </x:c>
      <x:c r="E66" s="104" t="n">
        <x:v>2</x:v>
      </x:c>
      <x:c r="F66" s="104" t="str">
        <x:v>npc_triton_callidus</x:v>
      </x:c>
      <x:c r="G66" s="104" t="str">
        <x:v>Triton Callidus</x:v>
      </x:c>
      <x:c r="H66" s="104" t="str">
        <x:v>laut begeistert</x:v>
      </x:c>
      <x:c r="I66" s="104" t="str">
        <x:v>questActive || phase==OFFER</x:v>
      </x:c>
      <x:c r="J66" s="104" t="str">
        <x:v>Gegenüber liegt der Palatin. Ich wusste das. Ich prüfte nur euch. Sehr überzeugend, nicht wahr?</x:v>
      </x:c>
      <x:c r="K66" s="104" t="str">
        <x:v>REQUEST_HINT</x:v>
      </x:c>
      <x:c r="L66" s="104" t="str">
        <x:v>Gebt uns einen Hinweis.</x:v>
      </x:c>
      <x:c r="M66" s="104" t="str">
        <x:v>Ein Hinweis grenzt ein, löst aber nicht. Öffnet Stufe eins.</x:v>
      </x:c>
      <x:c r="N66" s="104" t="str">
        <x:v>{"openHint":1}</x:v>
      </x:c>
      <x:c r="O66" s="104" t="str">
        <x:v>OPEN_OBJECTIVE</x:v>
      </x:c>
      <x:c r="P66" s="104" t="str">
        <x:v>Wir sind bereit für die Aufgabe.</x:v>
      </x:c>
      <x:c r="Q66" s="104" t="str">
        <x:v>Dann öffnet die aktuelle Interaktion und bestätigt als Team.</x:v>
      </x:c>
      <x:c r="R66" s="104" t="str">
        <x:v>{"openObjective":true}</x:v>
      </x:c>
      <x:c r="S66" s="104" t="str">
        <x:v>CHECK_FACTS</x:v>
      </x:c>
      <x:c r="T66" s="104" t="str">
        <x:v>Welche Aussagen sind belegt?</x:v>
      </x:c>
      <x:c r="U66" s="104" t="str">
        <x:v>Öffnet die Faktenkarte. Fiktionale Rahmung ist dort getrennt markiert.</x:v>
      </x:c>
      <x:c r="V66" s="104" t="str">
        <x:v>{"openFactCard":true}</x:v>
      </x:c>
      <x:c r="W66" s="104" t="str">
        <x:v>D2-Q05-COMPLETE</x:v>
      </x:c>
      <x:c r="X66" s="104" t="str"/>
      <x:c r="Y66" s="110" t="n">
        <x:f>LEN(J66)+LEN(L66)+LEN(M66)+LEN(P66)+LEN(Q66)+LEN(T66)+LEN(U66)</x:f>
        <x:v>367</x:v>
      </x:c>
      <x:c r="Z66" s="110" t="n">
        <x:f>SUMIF($B$5:$B$124,B66,$Y$5:$Y$124)</x:f>
        <x:v>367</x:v>
      </x:c>
      <x:c r="AA66" s="104" t="str">
        <x:v>Max. 1000 Zeichen pro Interaktionssequenz; historischer Inhalt nur aus Fact-Set.</x:v>
      </x:c>
    </x:row>
    <x:row r="67" ht="88" customHeight="1">
      <x:c r="A67" s="101" t="str">
        <x:v>D2-Q05</x:v>
      </x:c>
      <x:c r="B67" s="101" t="str">
        <x:v>D2-Q05-COMPLETE</x:v>
      </x:c>
      <x:c r="C67" s="101" t="str">
        <x:v>D2-Q05-N3</x:v>
      </x:c>
      <x:c r="D67" s="101" t="str">
        <x:v>COMPLETE</x:v>
      </x:c>
      <x:c r="E67" s="101" t="n">
        <x:v>3</x:v>
      </x:c>
      <x:c r="F67" s="101" t="str">
        <x:v>npc_triton_callidus</x:v>
      </x:c>
      <x:c r="G67" s="101" t="str">
        <x:v>Triton Callidus</x:v>
      </x:c>
      <x:c r="H67" s="101" t="str">
        <x:v>laut begeistert</x:v>
      </x:c>
      <x:c r="I67" s="101" t="str">
        <x:v>questActive || phase==OFFER</x:v>
      </x:c>
      <x:c r="J67" s="101" t="str">
        <x:v>Alles zugeordnet! Selbst die Maske schweigt zufrieden. In Pfäffikon erzählt man übrigens, Alex und Lorenz könnten sogar einen Triton retten, ohne dass dessen Frisur leidet. Übertrieben – aber cool.</x:v>
      </x:c>
      <x:c r="K67" s="101" t="str">
        <x:v>CLOSE_HUMBLE</x:v>
      </x:c>
      <x:c r="L67" s="101" t="str">
        <x:v>Wir dokumentieren die Lösung.</x:v>
      </x:c>
      <x:c r="M67" s="101" t="str">
        <x:v>Sauber abgeschlossen.</x:v>
      </x:c>
      <x:c r="N67" s="101" t="str">
        <x:v>{"closeDialogue":true}</x:v>
      </x:c>
      <x:c r="O67" s="101" t="str">
        <x:v>OPEN_FACTS</x:v>
      </x:c>
      <x:c r="P67" s="101" t="str">
        <x:v>Was sollten wir historisch behalten?</x:v>
      </x:c>
      <x:c r="Q67" s="101" t="str">
        <x:v>Öffnet die verifizierten Fakten und Quellen dieser Quest.</x:v>
      </x:c>
      <x:c r="R67" s="101" t="str">
        <x:v>{"openFactCard":true}</x:v>
      </x:c>
      <x:c r="S67" s="101" t="str">
        <x:v>PREVIEW_REWARD</x:v>
      </x:c>
      <x:c r="T67" s="101" t="str">
        <x:v>Und was erhalten wir?</x:v>
      </x:c>
      <x:c r="U67" s="101" t="str">
        <x:v>Die Belohnungsvorschau zeigt Arbeitswerte; der Server vergibt atomar.</x:v>
      </x:c>
      <x:c r="V67" s="101" t="str">
        <x:v>{"openRewardPreview":true}</x:v>
      </x:c>
      <x:c r="W67" s="101" t="str">
        <x:v>END</x:v>
      </x:c>
      <x:c r="X67" s="101" t="str">
        <x:v>EASTER_EGG_SUBTLE</x:v>
      </x:c>
      <x:c r="Y67" s="109" t="n">
        <x:f>LEN(J67)+LEN(L67)+LEN(M67)+LEN(P67)+LEN(Q67)+LEN(T67)+LEN(U67)</x:f>
        <x:v>430</x:v>
      </x:c>
      <x:c r="Z67" s="109" t="n">
        <x:f>SUMIF($B$5:$B$124,B67,$Y$5:$Y$124)</x:f>
        <x:v>430</x:v>
      </x:c>
      <x:c r="AA67" s="101" t="str">
        <x:v>Max. 1000 Zeichen pro Interaktionssequenz; historischer Inhalt nur aus Fact-Set.</x:v>
      </x:c>
    </x:row>
    <x:row r="68" ht="88" customHeight="1">
      <x:c r="A68" s="104" t="str">
        <x:v>D2-Q06</x:v>
      </x:c>
      <x:c r="B68" s="104" t="str">
        <x:v>D2-Q06-OFFER</x:v>
      </x:c>
      <x:c r="C68" s="104" t="str">
        <x:v>D2-Q06-N1</x:v>
      </x:c>
      <x:c r="D68" s="104" t="str">
        <x:v>OFFER</x:v>
      </x:c>
      <x:c r="E68" s="104" t="n">
        <x:v>1</x:v>
      </x:c>
      <x:c r="F68" s="104" t="str">
        <x:v>npc_nauta_celimontanus</x:v>
      </x:c>
      <x:c r="G68" s="104" t="str">
        <x:v>Nauta Celimontanus</x:v>
      </x:c>
      <x:c r="H68" s="104" t="str">
        <x:v>gelangweilt vor Anker</x:v>
      </x:c>
      <x:c r="I68" s="104" t="str">
        <x:v>questActive || phase==OFFER</x:v>
      </x:c>
      <x:c r="J68" s="104" t="str">
        <x:v>Besatzung gesucht. Anforderungen: Augen, Richtungssinn, keine Angst vor einem Schiff, das seit Jahrhunderten nicht vom Fleck kommt.</x:v>
      </x:c>
      <x:c r="K68" s="104" t="str">
        <x:v>ACCEPT_SHIP</x:v>
      </x:c>
      <x:c r="L68" s="104" t="str">
        <x:v>Wir übernehmen die Navigation.</x:v>
      </x:c>
      <x:c r="M68" s="104" t="str">
        <x:v>Dann Bug bestimmen und Fantasie an Bord.</x:v>
      </x:c>
      <x:c r="N68" s="104" t="str">
        <x:v>{"accept":true}</x:v>
      </x:c>
      <x:c r="O68" s="104" t="str">
        <x:v>ASK_DESTINATION</x:v>
      </x:c>
      <x:c r="P68" s="104" t="str">
        <x:v>Wohin soll das Schiff?</x:v>
      </x:c>
      <x:c r="Q68" s="104" t="str">
        <x:v>Zur nächsten guten Geschichte. Geografisch bleibt es exakt hier.</x:v>
      </x:c>
      <x:c r="R68" s="104" t="str">
        <x:v>{"cosmetic":"stone_voyage"}</x:v>
      </x:c>
      <x:c r="S68" s="104" t="str">
        <x:v>SWISS_GUARD_WATCH</x:v>
      </x:c>
      <x:c r="T68" s="104" t="str">
        <x:v>[Schweizergarde] Ich halte Ausguck.</x:v>
      </x:c>
      <x:c r="U68" s="104" t="str">
        <x:v>Gut. Meldet feindliche Tauben sofort.</x:v>
      </x:c>
      <x:c r="V68" s="104" t="str">
        <x:v>{"classCheck":"SWISS_GUARD","bonus":"lookout"}</x:v>
      </x:c>
      <x:c r="W68" s="104" t="str">
        <x:v>D2-Q06-MID</x:v>
      </x:c>
      <x:c r="X68" s="104" t="str"/>
      <x:c r="Y68" s="110" t="n">
        <x:f>LEN(J68)+LEN(L68)+LEN(M68)+LEN(P68)+LEN(Q68)+LEN(T68)+LEN(U68)</x:f>
        <x:v>359</x:v>
      </x:c>
      <x:c r="Z68" s="110" t="n">
        <x:f>SUMIF($B$5:$B$124,B68,$Y$5:$Y$124)</x:f>
        <x:v>359</x:v>
      </x:c>
      <x:c r="AA68" s="104" t="str">
        <x:v>Max. 1000 Zeichen pro Interaktionssequenz; historischer Inhalt nur aus Fact-Set.</x:v>
      </x:c>
    </x:row>
    <x:row r="69" ht="88" customHeight="1">
      <x:c r="A69" s="101" t="str">
        <x:v>D2-Q06</x:v>
      </x:c>
      <x:c r="B69" s="101" t="str">
        <x:v>D2-Q06-MID</x:v>
      </x:c>
      <x:c r="C69" s="101" t="str">
        <x:v>D2-Q06-N2</x:v>
      </x:c>
      <x:c r="D69" s="101" t="str">
        <x:v>MID</x:v>
      </x:c>
      <x:c r="E69" s="101" t="n">
        <x:v>2</x:v>
      </x:c>
      <x:c r="F69" s="101" t="str">
        <x:v>npc_nauta_celimontanus</x:v>
      </x:c>
      <x:c r="G69" s="101" t="str">
        <x:v>Nauta Celimontanus</x:v>
      </x:c>
      <x:c r="H69" s="101" t="str">
        <x:v>gelangweilt vor Anker</x:v>
      </x:c>
      <x:c r="I69" s="101" t="str">
        <x:v>questActive || phase==OFFER</x:v>
      </x:c>
      <x:c r="J69" s="101" t="str">
        <x:v>Form zuerst, Kurs danach. Wer ‚Tempel‘ wählt, wird zum Schiffspriester ernannt und bekommt keine Kajüte.</x:v>
      </x:c>
      <x:c r="K69" s="101" t="str">
        <x:v>REQUEST_HINT</x:v>
      </x:c>
      <x:c r="L69" s="101" t="str">
        <x:v>Gebt uns einen Hinweis.</x:v>
      </x:c>
      <x:c r="M69" s="101" t="str">
        <x:v>Ein Hinweis grenzt ein, löst aber nicht. Öffnet Stufe eins.</x:v>
      </x:c>
      <x:c r="N69" s="101" t="str">
        <x:v>{"openHint":1}</x:v>
      </x:c>
      <x:c r="O69" s="101" t="str">
        <x:v>OPEN_OBJECTIVE</x:v>
      </x:c>
      <x:c r="P69" s="101" t="str">
        <x:v>Wir sind bereit für die Aufgabe.</x:v>
      </x:c>
      <x:c r="Q69" s="101" t="str">
        <x:v>Dann öffnet die aktuelle Interaktion und bestätigt als Team.</x:v>
      </x:c>
      <x:c r="R69" s="101" t="str">
        <x:v>{"openObjective":true}</x:v>
      </x:c>
      <x:c r="S69" s="101" t="str">
        <x:v>CHECK_FACTS</x:v>
      </x:c>
      <x:c r="T69" s="101" t="str">
        <x:v>Welche Aussagen sind belegt?</x:v>
      </x:c>
      <x:c r="U69" s="101" t="str">
        <x:v>Öffnet die Faktenkarte. Fiktionale Rahmung ist dort getrennt markiert.</x:v>
      </x:c>
      <x:c r="V69" s="101" t="str">
        <x:v>{"openFactCard":true}</x:v>
      </x:c>
      <x:c r="W69" s="101" t="str">
        <x:v>D2-Q06-COMPLETE</x:v>
      </x:c>
      <x:c r="X69" s="101" t="str"/>
      <x:c r="Y69" s="109" t="n">
        <x:f>LEN(J69)+LEN(L69)+LEN(M69)+LEN(P69)+LEN(Q69)+LEN(T69)+LEN(U69)</x:f>
        <x:v>376</x:v>
      </x:c>
      <x:c r="Z69" s="109" t="n">
        <x:f>SUMIF($B$5:$B$124,B69,$Y$5:$Y$124)</x:f>
        <x:v>376</x:v>
      </x:c>
      <x:c r="AA69" s="101" t="str">
        <x:v>Max. 1000 Zeichen pro Interaktionssequenz; historischer Inhalt nur aus Fact-Set.</x:v>
      </x:c>
    </x:row>
    <x:row r="70" ht="88" customHeight="1">
      <x:c r="A70" s="104" t="str">
        <x:v>D2-Q06</x:v>
      </x:c>
      <x:c r="B70" s="104" t="str">
        <x:v>D2-Q06-COMPLETE</x:v>
      </x:c>
      <x:c r="C70" s="104" t="str">
        <x:v>D2-Q06-N3</x:v>
      </x:c>
      <x:c r="D70" s="104" t="str">
        <x:v>COMPLETE</x:v>
      </x:c>
      <x:c r="E70" s="104" t="n">
        <x:v>3</x:v>
      </x:c>
      <x:c r="F70" s="104" t="str">
        <x:v>npc_nauta_celimontanus</x:v>
      </x:c>
      <x:c r="G70" s="104" t="str">
        <x:v>Nauta Celimontanus</x:v>
      </x:c>
      <x:c r="H70" s="104" t="str">
        <x:v>gelangweilt vor Anker</x:v>
      </x:c>
      <x:c r="I70" s="104" t="str">
        <x:v>questActive || phase==OFFER</x:v>
      </x:c>
      <x:c r="J70" s="104" t="str">
        <x:v>Kurs steht. Wir fahren keinen Zentimeter, aber wir tun es mit bemerkenswerter Autorität.</x:v>
      </x:c>
      <x:c r="K70" s="104" t="str">
        <x:v>CLOSE_HUMBLE</x:v>
      </x:c>
      <x:c r="L70" s="104" t="str">
        <x:v>Wir dokumentieren die Lösung.</x:v>
      </x:c>
      <x:c r="M70" s="104" t="str">
        <x:v>Sauber abgeschlossen.</x:v>
      </x:c>
      <x:c r="N70" s="104" t="str">
        <x:v>{"closeDialogue":true}</x:v>
      </x:c>
      <x:c r="O70" s="104" t="str">
        <x:v>OPEN_FACTS</x:v>
      </x:c>
      <x:c r="P70" s="104" t="str">
        <x:v>Was sollten wir historisch behalten?</x:v>
      </x:c>
      <x:c r="Q70" s="104" t="str">
        <x:v>Öffnet die verifizierten Fakten und Quellen dieser Quest.</x:v>
      </x:c>
      <x:c r="R70" s="104" t="str">
        <x:v>{"openFactCard":true}</x:v>
      </x:c>
      <x:c r="S70" s="104" t="str">
        <x:v>PREVIEW_REWARD</x:v>
      </x:c>
      <x:c r="T70" s="104" t="str">
        <x:v>Und was erhalten wir?</x:v>
      </x:c>
      <x:c r="U70" s="104" t="str">
        <x:v>Die Belohnungsvorschau zeigt Arbeitswerte; der Server vergibt atomar.</x:v>
      </x:c>
      <x:c r="V70" s="104" t="str">
        <x:v>{"openRewardPreview":true}</x:v>
      </x:c>
      <x:c r="W70" s="104" t="str">
        <x:v>END</x:v>
      </x:c>
      <x:c r="X70" s="104" t="str"/>
      <x:c r="Y70" s="110" t="n">
        <x:f>LEN(J70)+LEN(L70)+LEN(M70)+LEN(P70)+LEN(Q70)+LEN(T70)+LEN(U70)</x:f>
        <x:v>321</x:v>
      </x:c>
      <x:c r="Z70" s="110" t="n">
        <x:f>SUMIF($B$5:$B$124,B70,$Y$5:$Y$124)</x:f>
        <x:v>321</x:v>
      </x:c>
      <x:c r="AA70" s="104" t="str">
        <x:v>Max. 1000 Zeichen pro Interaktionssequenz; historischer Inhalt nur aus Fact-Set.</x:v>
      </x:c>
    </x:row>
    <x:row r="71" ht="88" customHeight="1">
      <x:c r="A71" s="101" t="str">
        <x:v>D2-Q07</x:v>
      </x:c>
      <x:c r="B71" s="101" t="str">
        <x:v>D2-Q07-OFFER</x:v>
      </x:c>
      <x:c r="C71" s="101" t="str">
        <x:v>D2-Q07-N1</x:v>
      </x:c>
      <x:c r="D71" s="101" t="str">
        <x:v>OFFER</x:v>
      </x:c>
      <x:c r="E71" s="101" t="n">
        <x:v>1</x:v>
      </x:c>
      <x:c r="F71" s="101" t="str">
        <x:v>npc_sixtus_vermesser</x:v>
      </x:c>
      <x:c r="G71" s="101" t="str">
        <x:v>Sixtus, Vermesser der Achsen</x:v>
      </x:c>
      <x:c r="H71" s="101" t="str">
        <x:v>streng</x:v>
      </x:c>
      <x:c r="I71" s="101" t="str">
        <x:v>questActive || phase==OFFER</x:v>
      </x:c>
      <x:c r="J71" s="101" t="str">
        <x:v>Drei Monumente, drei Zuständigkeiten. Wer alles ‚Macht‘ nennt, hat nichts verstanden. Trennt geistliche Mitte, imperiale Erinnerung und städtischen Zugang.</x:v>
      </x:c>
      <x:c r="K71" s="101" t="str">
        <x:v>ACCEPT_LATERAN</x:v>
      </x:c>
      <x:c r="L71" s="101" t="str">
        <x:v>Wir trennen die drei Funktionen.</x:v>
      </x:c>
      <x:c r="M71" s="101" t="str">
        <x:v>Gut. Beginnt bei der sichtbaren Mitte der Fassade.</x:v>
      </x:c>
      <x:c r="N71" s="101" t="str">
        <x:v>{"accept":true}</x:v>
      </x:c>
      <x:c r="O71" s="101" t="str">
        <x:v>ASK_AUTHORITY</x:v>
      </x:c>
      <x:c r="P71" s="101" t="str">
        <x:v>Warum müssen wir eine Funktion wählen?</x:v>
      </x:c>
      <x:c r="Q71" s="101" t="str">
        <x:v>Weil Ressourcen knapp sind. Selbst Symbole konkurrieren um Schutz.</x:v>
      </x:c>
      <x:c r="R71" s="101" t="str">
        <x:v>{"loreHint":true}</x:v>
      </x:c>
      <x:c r="S71" s="101" t="str">
        <x:v>CLERIC_COUNSEL</x:v>
      </x:c>
      <x:c r="T71" s="101" t="str">
        <x:v>[Ordensperson] Geistliche Bedeutung ist nicht dasselbe wie Verwaltung.</x:v>
      </x:c>
      <x:c r="U71" s="101" t="str">
        <x:v>Präzise. Ich notiere widerwillig Zustimmung.</x:v>
      </x:c>
      <x:c r="V71" s="101" t="str">
        <x:v>{"classCheck":"CLERIC","bonus":"faith_option"}</x:v>
      </x:c>
      <x:c r="W71" s="101" t="str">
        <x:v>D2-Q07-MID</x:v>
      </x:c>
      <x:c r="X71" s="101" t="str"/>
      <x:c r="Y71" s="109" t="n">
        <x:f>LEN(J71)+LEN(L71)+LEN(M71)+LEN(P71)+LEN(Q71)+LEN(T71)+LEN(U71)</x:f>
        <x:v>455</x:v>
      </x:c>
      <x:c r="Z71" s="109" t="n">
        <x:f>SUMIF($B$5:$B$124,B71,$Y$5:$Y$124)</x:f>
        <x:v>455</x:v>
      </x:c>
      <x:c r="AA71" s="101" t="str">
        <x:v>Max. 1000 Zeichen pro Interaktionssequenz; historischer Inhalt nur aus Fact-Set.</x:v>
      </x:c>
    </x:row>
    <x:row r="72" ht="88" customHeight="1">
      <x:c r="A72" s="104" t="str">
        <x:v>D2-Q07</x:v>
      </x:c>
      <x:c r="B72" s="104" t="str">
        <x:v>D2-Q07-MID</x:v>
      </x:c>
      <x:c r="C72" s="104" t="str">
        <x:v>D2-Q07-N2</x:v>
      </x:c>
      <x:c r="D72" s="104" t="str">
        <x:v>MID</x:v>
      </x:c>
      <x:c r="E72" s="104" t="n">
        <x:v>2</x:v>
      </x:c>
      <x:c r="F72" s="104" t="str">
        <x:v>npc_sixtus_vermesser</x:v>
      </x:c>
      <x:c r="G72" s="104" t="str">
        <x:v>Sixtus, Vermesser der Achsen</x:v>
      </x:c>
      <x:c r="H72" s="104" t="str">
        <x:v>streng</x:v>
      </x:c>
      <x:c r="I72" s="104" t="str">
        <x:v>questActive || phase==OFFER</x:v>
      </x:c>
      <x:c r="J72" s="104" t="str">
        <x:v>Ordnung ist kein Selbstzweck. Sie zeigt, welche Funktion im Konflikt zuerst geschützt wird.</x:v>
      </x:c>
      <x:c r="K72" s="104" t="str">
        <x:v>REQUEST_HINT</x:v>
      </x:c>
      <x:c r="L72" s="104" t="str">
        <x:v>Gebt uns einen Hinweis.</x:v>
      </x:c>
      <x:c r="M72" s="104" t="str">
        <x:v>Ein Hinweis grenzt ein, löst aber nicht. Öffnet Stufe eins.</x:v>
      </x:c>
      <x:c r="N72" s="104" t="str">
        <x:v>{"openHint":1}</x:v>
      </x:c>
      <x:c r="O72" s="104" t="str">
        <x:v>OPEN_OBJECTIVE</x:v>
      </x:c>
      <x:c r="P72" s="104" t="str">
        <x:v>Wir sind bereit für die Aufgabe.</x:v>
      </x:c>
      <x:c r="Q72" s="104" t="str">
        <x:v>Dann öffnet die aktuelle Interaktion und bestätigt als Team.</x:v>
      </x:c>
      <x:c r="R72" s="104" t="str">
        <x:v>{"openObjective":true}</x:v>
      </x:c>
      <x:c r="S72" s="104" t="str">
        <x:v>CHECK_FACTS</x:v>
      </x:c>
      <x:c r="T72" s="104" t="str">
        <x:v>Welche Aussagen sind belegt?</x:v>
      </x:c>
      <x:c r="U72" s="104" t="str">
        <x:v>Öffnet die Faktenkarte. Fiktionale Rahmung ist dort getrennt markiert.</x:v>
      </x:c>
      <x:c r="V72" s="104" t="str">
        <x:v>{"openFactCard":true}</x:v>
      </x:c>
      <x:c r="W72" s="104" t="str">
        <x:v>D2-Q07-COMPLETE</x:v>
      </x:c>
      <x:c r="X72" s="104" t="str"/>
      <x:c r="Y72" s="110" t="n">
        <x:f>LEN(J72)+LEN(L72)+LEN(M72)+LEN(P72)+LEN(Q72)+LEN(T72)+LEN(U72)</x:f>
        <x:v>363</x:v>
      </x:c>
      <x:c r="Z72" s="110" t="n">
        <x:f>SUMIF($B$5:$B$124,B72,$Y$5:$Y$124)</x:f>
        <x:v>363</x:v>
      </x:c>
      <x:c r="AA72" s="104" t="str">
        <x:v>Max. 1000 Zeichen pro Interaktionssequenz; historischer Inhalt nur aus Fact-Set.</x:v>
      </x:c>
    </x:row>
    <x:row r="73" ht="88" customHeight="1">
      <x:c r="A73" s="101" t="str">
        <x:v>D2-Q07</x:v>
      </x:c>
      <x:c r="B73" s="101" t="str">
        <x:v>D2-Q07-COMPLETE</x:v>
      </x:c>
      <x:c r="C73" s="101" t="str">
        <x:v>D2-Q07-N3</x:v>
      </x:c>
      <x:c r="D73" s="101" t="str">
        <x:v>COMPLETE</x:v>
      </x:c>
      <x:c r="E73" s="101" t="n">
        <x:v>3</x:v>
      </x:c>
      <x:c r="F73" s="101" t="str">
        <x:v>npc_sixtus_vermesser</x:v>
      </x:c>
      <x:c r="G73" s="101" t="str">
        <x:v>Sixtus, Vermesser der Achsen</x:v>
      </x:c>
      <x:c r="H73" s="101" t="str">
        <x:v>streng</x:v>
      </x:c>
      <x:c r="I73" s="101" t="str">
        <x:v>questActive || phase==OFFER</x:v>
      </x:c>
      <x:c r="J73" s="101" t="str">
        <x:v>Die Zuordnung steht. Nun entscheidet: Schützt ihr Glauben, Erinnerung oder den offenen Zugang zur Stadt?</x:v>
      </x:c>
      <x:c r="K73" s="101" t="str">
        <x:v>GLAUBE_SCHUETZEN</x:v>
      </x:c>
      <x:c r="L73" s="101" t="str">
        <x:v>Wir schützen zuerst die geistliche Mitte.</x:v>
      </x:c>
      <x:c r="M73" s="101" t="str">
        <x:v>Sixtus: ‚Dann schützt Menschen mit, nicht nur Symbole.‘</x:v>
      </x:c>
      <x:c r="N73" s="101" t="str">
        <x:v>{"decision":"GLAUBE_SCHUETZEN","rewardVariant":"healing"}</x:v>
      </x:c>
      <x:c r="O73" s="101" t="str">
        <x:v>ERINNERUNG_SCHUETZEN</x:v>
      </x:c>
      <x:c r="P73" s="101" t="str">
        <x:v>Wir sichern die Erinnerung.</x:v>
      </x:c>
      <x:c r="Q73" s="101" t="str">
        <x:v>‚Ohne Gedächtnis wird jeder Neubeginn zur Wiederholung.‘</x:v>
      </x:c>
      <x:c r="R73" s="101" t="str">
        <x:v>{"decision":"ERINNERUNG_SCHUETZEN","rewardVariant":"knowledge"}</x:v>
      </x:c>
      <x:c r="S73" s="101" t="str">
        <x:v>ZUGANG_SCHUETZEN</x:v>
      </x:c>
      <x:c r="T73" s="101" t="str">
        <x:v>Wir halten den Zugang offen.</x:v>
      </x:c>
      <x:c r="U73" s="101" t="str">
        <x:v>‚Praktisch. Eine Stadt lebt von Wegen.‘</x:v>
      </x:c>
      <x:c r="V73" s="101" t="str">
        <x:v>{"decision":"ZUGANG_SCHUETZEN","rewardVariant":"protection"}</x:v>
      </x:c>
      <x:c r="W73" s="101" t="str">
        <x:v>END</x:v>
      </x:c>
      <x:c r="X73" s="101" t="str"/>
      <x:c r="Y73" s="109" t="n">
        <x:f>LEN(J73)+LEN(L73)+LEN(M73)+LEN(P73)+LEN(Q73)+LEN(T73)+LEN(U73)</x:f>
        <x:v>350</x:v>
      </x:c>
      <x:c r="Z73" s="109" t="n">
        <x:f>SUMIF($B$5:$B$124,B73,$Y$5:$Y$124)</x:f>
        <x:v>350</x:v>
      </x:c>
      <x:c r="AA73" s="101" t="str">
        <x:v>Max. 1000 Zeichen pro Interaktionssequenz; historischer Inhalt nur aus Fact-Set.</x:v>
      </x:c>
    </x:row>
    <x:row r="74" ht="88" customHeight="1">
      <x:c r="A74" s="104" t="str">
        <x:v>D2-Q08</x:v>
      </x:c>
      <x:c r="B74" s="104" t="str">
        <x:v>D2-Q08-OFFER</x:v>
      </x:c>
      <x:c r="C74" s="104" t="str">
        <x:v>D2-Q08-N1</x:v>
      </x:c>
      <x:c r="D74" s="104" t="str">
        <x:v>OFFER</x:v>
      </x:c>
      <x:c r="E74" s="104" t="n">
        <x:v>1</x:v>
      </x:c>
      <x:c r="F74" s="104" t="str">
        <x:v>npc_aurelian_murus</x:v>
      </x:c>
      <x:c r="G74" s="104" t="str">
        <x:v>Aurelianus Murus</x:v>
      </x:c>
      <x:c r="H74" s="104" t="str">
        <x:v>alarmiert</x:v>
      </x:c>
      <x:c r="I74" s="104" t="str">
        <x:v>questActive || phase==OFFER</x:v>
      </x:c>
      <x:c r="J74" s="104" t="str">
        <x:v>Zwei Tore melden widersprüchliche Zustände. Eines wird von runden Türmen flankiert, eines trägt einen verschlossenen alten Bogen. Dazwischen stört ein Skorpion die Mauerlinie.</x:v>
      </x:c>
      <x:c r="K74" s="104" t="str">
        <x:v>ACCEPT_WALL</x:v>
      </x:c>
      <x:c r="L74" s="104" t="str">
        <x:v>Wir prüfen die Mauerlinie.</x:v>
      </x:c>
      <x:c r="M74" s="104" t="str">
        <x:v>Formation halten. Gehwege nutzen.</x:v>
      </x:c>
      <x:c r="N74" s="104" t="str">
        <x:v>{"accept":true}</x:v>
      </x:c>
      <x:c r="O74" s="104" t="str">
        <x:v>ASK_ROUTE</x:v>
      </x:c>
      <x:c r="P74" s="104" t="str">
        <x:v>Wann wird der Marker verborgen?</x:v>
      </x:c>
      <x:c r="Q74" s="104" t="str">
        <x:v>Nach dem Start an Porta Latina; er erscheint erst wieder im Nahbereich des Zielpunkts.</x:v>
      </x:c>
      <x:c r="R74" s="104" t="str">
        <x:v>{"navigationBrief":true}</x:v>
      </x:c>
      <x:c r="S74" s="104" t="str">
        <x:v>SWISS_GUARD_ROUTE</x:v>
      </x:c>
      <x:c r="T74" s="104" t="str">
        <x:v>[Schweizergarde] Ich übernehme den sicheren Rückweg.</x:v>
      </x:c>
      <x:c r="U74" s="104" t="str">
        <x:v>Genehmigt. Sicherheit vor Abkürzung.</x:v>
      </x:c>
      <x:c r="V74" s="104" t="str">
        <x:v>{"classCheck":"SWISS_GUARD","buff":"defense_break"}</x:v>
      </x:c>
      <x:c r="W74" s="104" t="str">
        <x:v>D2-Q08-MID</x:v>
      </x:c>
      <x:c r="X74" s="104" t="str"/>
      <x:c r="Y74" s="110" t="n">
        <x:f>LEN(J74)+LEN(L74)+LEN(M74)+LEN(P74)+LEN(Q74)+LEN(T74)+LEN(U74)</x:f>
        <x:v>439</x:v>
      </x:c>
      <x:c r="Z74" s="110" t="n">
        <x:f>SUMIF($B$5:$B$124,B74,$Y$5:$Y$124)</x:f>
        <x:v>439</x:v>
      </x:c>
      <x:c r="AA74" s="104" t="str">
        <x:v>Max. 1000 Zeichen pro Interaktionssequenz; historischer Inhalt nur aus Fact-Set.</x:v>
      </x:c>
    </x:row>
    <x:row r="75" ht="88" customHeight="1">
      <x:c r="A75" s="101" t="str">
        <x:v>D2-Q08</x:v>
      </x:c>
      <x:c r="B75" s="101" t="str">
        <x:v>D2-Q08-MID</x:v>
      </x:c>
      <x:c r="C75" s="101" t="str">
        <x:v>D2-Q08-N2</x:v>
      </x:c>
      <x:c r="D75" s="101" t="str">
        <x:v>MID</x:v>
      </x:c>
      <x:c r="E75" s="101" t="n">
        <x:v>2</x:v>
      </x:c>
      <x:c r="F75" s="101" t="str">
        <x:v>npc_aurelian_murus</x:v>
      </x:c>
      <x:c r="G75" s="101" t="str">
        <x:v>Aurelianus Murus</x:v>
      </x:c>
      <x:c r="H75" s="101" t="str">
        <x:v>alarmiert</x:v>
      </x:c>
      <x:c r="I75" s="101" t="str">
        <x:v>questActive || phase==OFFER</x:v>
      </x:c>
      <x:c r="J75" s="101" t="str">
        <x:v>Ab dem zweiten Wegpunkt erhält jede Rolle nur einen Teil der Route: Richtung, Symbol oder Entfernung. Sprecht. Ratet nicht über Verkehrsflächen.</x:v>
      </x:c>
      <x:c r="K75" s="101" t="str">
        <x:v>REQUEST_HINT</x:v>
      </x:c>
      <x:c r="L75" s="101" t="str">
        <x:v>Gebt uns einen Hinweis.</x:v>
      </x:c>
      <x:c r="M75" s="101" t="str">
        <x:v>Ein Hinweis grenzt ein, löst aber nicht. Öffnet Stufe eins.</x:v>
      </x:c>
      <x:c r="N75" s="101" t="str">
        <x:v>{"openHint":1}</x:v>
      </x:c>
      <x:c r="O75" s="101" t="str">
        <x:v>OPEN_OBJECTIVE</x:v>
      </x:c>
      <x:c r="P75" s="101" t="str">
        <x:v>Wir sind bereit für die Aufgabe.</x:v>
      </x:c>
      <x:c r="Q75" s="101" t="str">
        <x:v>Dann öffnet die aktuelle Interaktion und bestätigt als Team.</x:v>
      </x:c>
      <x:c r="R75" s="101" t="str">
        <x:v>{"openObjective":true}</x:v>
      </x:c>
      <x:c r="S75" s="101" t="str">
        <x:v>CHECK_FACTS</x:v>
      </x:c>
      <x:c r="T75" s="101" t="str">
        <x:v>Welche Aussagen sind belegt?</x:v>
      </x:c>
      <x:c r="U75" s="101" t="str">
        <x:v>Öffnet die Faktenkarte. Fiktionale Rahmung ist dort getrennt markiert.</x:v>
      </x:c>
      <x:c r="V75" s="101" t="str">
        <x:v>{"openFactCard":true}</x:v>
      </x:c>
      <x:c r="W75" s="101" t="str">
        <x:v>D2-Q08-COMPLETE</x:v>
      </x:c>
      <x:c r="X75" s="101" t="str"/>
      <x:c r="Y75" s="109" t="n">
        <x:f>LEN(J75)+LEN(L75)+LEN(M75)+LEN(P75)+LEN(Q75)+LEN(T75)+LEN(U75)</x:f>
        <x:v>416</x:v>
      </x:c>
      <x:c r="Z75" s="109" t="n">
        <x:f>SUMIF($B$5:$B$124,B75,$Y$5:$Y$124)</x:f>
        <x:v>416</x:v>
      </x:c>
      <x:c r="AA75" s="101" t="str">
        <x:v>Max. 1000 Zeichen pro Interaktionssequenz; historischer Inhalt nur aus Fact-Set.</x:v>
      </x:c>
    </x:row>
    <x:row r="76" ht="88" customHeight="1">
      <x:c r="A76" s="104" t="str">
        <x:v>D2-Q08</x:v>
      </x:c>
      <x:c r="B76" s="104" t="str">
        <x:v>D2-Q08-COMPLETE</x:v>
      </x:c>
      <x:c r="C76" s="104" t="str">
        <x:v>D2-Q08-N3</x:v>
      </x:c>
      <x:c r="D76" s="104" t="str">
        <x:v>COMPLETE</x:v>
      </x:c>
      <x:c r="E76" s="104" t="n">
        <x:v>3</x:v>
      </x:c>
      <x:c r="F76" s="104" t="str">
        <x:v>npc_aurelian_murus</x:v>
      </x:c>
      <x:c r="G76" s="104" t="str">
        <x:v>Aurelianus Murus</x:v>
      </x:c>
      <x:c r="H76" s="104" t="str">
        <x:v>alarmiert</x:v>
      </x:c>
      <x:c r="I76" s="104" t="str">
        <x:v>questActive || phase==OFFER</x:v>
      </x:c>
      <x:c r="J76" s="104" t="str">
        <x:v>Torstatus bestätigt. Die Schwachstelle des Skorpions liegt dort, wo alte Mauer und neuer Durchbruch nicht übereinstimmen.</x:v>
      </x:c>
      <x:c r="K76" s="104" t="str">
        <x:v>CLOSE_HUMBLE</x:v>
      </x:c>
      <x:c r="L76" s="104" t="str">
        <x:v>Wir dokumentieren die Lösung.</x:v>
      </x:c>
      <x:c r="M76" s="104" t="str">
        <x:v>Sauber abgeschlossen.</x:v>
      </x:c>
      <x:c r="N76" s="104" t="str">
        <x:v>{"closeDialogue":true}</x:v>
      </x:c>
      <x:c r="O76" s="104" t="str">
        <x:v>OPEN_FACTS</x:v>
      </x:c>
      <x:c r="P76" s="104" t="str">
        <x:v>Was sollten wir historisch behalten?</x:v>
      </x:c>
      <x:c r="Q76" s="104" t="str">
        <x:v>Öffnet die verifizierten Fakten und Quellen dieser Quest.</x:v>
      </x:c>
      <x:c r="R76" s="104" t="str">
        <x:v>{"openFactCard":true}</x:v>
      </x:c>
      <x:c r="S76" s="104" t="str">
        <x:v>PREVIEW_REWARD</x:v>
      </x:c>
      <x:c r="T76" s="104" t="str">
        <x:v>Und was erhalten wir?</x:v>
      </x:c>
      <x:c r="U76" s="104" t="str">
        <x:v>Die Belohnungsvorschau zeigt Arbeitswerte; der Server vergibt atomar.</x:v>
      </x:c>
      <x:c r="V76" s="104" t="str">
        <x:v>{"openRewardPreview":true}</x:v>
      </x:c>
      <x:c r="W76" s="104" t="str">
        <x:v>END</x:v>
      </x:c>
      <x:c r="X76" s="104" t="str"/>
      <x:c r="Y76" s="110" t="n">
        <x:f>LEN(J76)+LEN(L76)+LEN(M76)+LEN(P76)+LEN(Q76)+LEN(T76)+LEN(U76)</x:f>
        <x:v>354</x:v>
      </x:c>
      <x:c r="Z76" s="110" t="n">
        <x:f>SUMIF($B$5:$B$124,B76,$Y$5:$Y$124)</x:f>
        <x:v>354</x:v>
      </x:c>
      <x:c r="AA76" s="104" t="str">
        <x:v>Max. 1000 Zeichen pro Interaktionssequenz; historischer Inhalt nur aus Fact-Set.</x:v>
      </x:c>
    </x:row>
    <x:row r="77" ht="88" customHeight="1">
      <x:c r="A77" s="101" t="str">
        <x:v>D2-Q09</x:v>
      </x:c>
      <x:c r="B77" s="101" t="str">
        <x:v>D2-Q09-OFFER</x:v>
      </x:c>
      <x:c r="C77" s="101" t="str">
        <x:v>D2-Q09-N1</x:v>
      </x:c>
      <x:c r="D77" s="101" t="str">
        <x:v>OFFER</x:v>
      </x:c>
      <x:c r="E77" s="101" t="n">
        <x:v>1</x:v>
      </x:c>
      <x:c r="F77" s="101" t="str">
        <x:v>npc_livia_strata</x:v>
      </x:c>
      <x:c r="G77" s="101" t="str">
        <x:v>Livia Strata</x:v>
      </x:c>
      <x:c r="H77" s="101" t="str">
        <x:v>aufgeregt und besorgt</x:v>
      </x:c>
      <x:c r="I77" s="101" t="str">
        <x:v>questActive || phase==OFFER</x:v>
      </x:c>
      <x:c r="J77" s="101" t="str">
        <x:v>Fassade, Obelisk, Ziegelruine – drei Zeiten sprechen gleichzeitig, und der kommende Schneegeist nutzt jedes Durcheinander. Ordnet die Schichten, bevor er eure Erinnerung einfriert.</x:v>
      </x:c>
      <x:c r="K77" s="101" t="str">
        <x:v>ACCEPT_STRATA</x:v>
      </x:c>
      <x:c r="L77" s="101" t="str">
        <x:v>Wir ordnen die drei Schichten.</x:v>
      </x:c>
      <x:c r="M77" s="101" t="str">
        <x:v>Gut. Großformen zuerst, Datierung nur aus den Faktenkarten.</x:v>
      </x:c>
      <x:c r="N77" s="101" t="str">
        <x:v>{"accept":true}</x:v>
      </x:c>
      <x:c r="O77" s="101" t="str">
        <x:v>ASK_SNOW</x:v>
      </x:c>
      <x:c r="P77" s="101" t="str">
        <x:v>Warum hilft das gegen Schnee?</x:v>
      </x:c>
      <x:c r="Q77" s="101" t="str">
        <x:v>Spielmechanisch schützt geordnete Erinnerung. Historisch ist der Schneesturm klar als Legendenrahmung markiert.</x:v>
      </x:c>
      <x:c r="R77" s="101" t="str">
        <x:v>{"bossHint":true}</x:v>
      </x:c>
      <x:c r="S77" s="101" t="str">
        <x:v>SCULPTOR_MATERIAL</x:v>
      </x:c>
      <x:c r="T77" s="101" t="str">
        <x:v>[Bildhauer] Ich prüfe Material und Oberfläche.</x:v>
      </x:c>
      <x:c r="U77" s="101" t="str">
        <x:v>Perfekt. Nennt erst, was ihr seht; deutet danach.</x:v>
      </x:c>
      <x:c r="V77" s="101" t="str">
        <x:v>{"classCheck":"SCULPTOR","buff":"boss_resist"}</x:v>
      </x:c>
      <x:c r="W77" s="101" t="str">
        <x:v>D2-Q09-MID</x:v>
      </x:c>
      <x:c r="X77" s="101" t="str"/>
      <x:c r="Y77" s="109" t="n">
        <x:f>LEN(J77)+LEN(L77)+LEN(M77)+LEN(P77)+LEN(Q77)+LEN(T77)+LEN(U77)</x:f>
        <x:v>504</x:v>
      </x:c>
      <x:c r="Z77" s="109" t="n">
        <x:f>SUMIF($B$5:$B$124,B77,$Y$5:$Y$124)</x:f>
        <x:v>504</x:v>
      </x:c>
      <x:c r="AA77" s="101" t="str">
        <x:v>Max. 1000 Zeichen pro Interaktionssequenz; historischer Inhalt nur aus Fact-Set.</x:v>
      </x:c>
    </x:row>
    <x:row r="78" ht="88" customHeight="1">
      <x:c r="A78" s="104" t="str">
        <x:v>D2-Q09</x:v>
      </x:c>
      <x:c r="B78" s="104" t="str">
        <x:v>D2-Q09-MID</x:v>
      </x:c>
      <x:c r="C78" s="104" t="str">
        <x:v>D2-Q09-N2</x:v>
      </x:c>
      <x:c r="D78" s="104" t="str">
        <x:v>MID</x:v>
      </x:c>
      <x:c r="E78" s="104" t="n">
        <x:v>2</x:v>
      </x:c>
      <x:c r="F78" s="104" t="str">
        <x:v>npc_livia_strata</x:v>
      </x:c>
      <x:c r="G78" s="104" t="str">
        <x:v>Livia Strata</x:v>
      </x:c>
      <x:c r="H78" s="104" t="str">
        <x:v>aufgeregt und besorgt</x:v>
      </x:c>
      <x:c r="I78" s="104" t="str">
        <x:v>questActive || phase==OFFER</x:v>
      </x:c>
      <x:c r="J78" s="104" t="str">
        <x:v>Am Ende zählt das Material. Hohe rote Mauern, kein glänzender Marmor. Das Codewort liegt praktisch vor euch.</x:v>
      </x:c>
      <x:c r="K78" s="104" t="str">
        <x:v>REQUEST_HINT</x:v>
      </x:c>
      <x:c r="L78" s="104" t="str">
        <x:v>Gebt uns einen Hinweis.</x:v>
      </x:c>
      <x:c r="M78" s="104" t="str">
        <x:v>Ein Hinweis grenzt ein, löst aber nicht. Öffnet Stufe eins.</x:v>
      </x:c>
      <x:c r="N78" s="104" t="str">
        <x:v>{"openHint":1}</x:v>
      </x:c>
      <x:c r="O78" s="104" t="str">
        <x:v>OPEN_OBJECTIVE</x:v>
      </x:c>
      <x:c r="P78" s="104" t="str">
        <x:v>Wir sind bereit für die Aufgabe.</x:v>
      </x:c>
      <x:c r="Q78" s="104" t="str">
        <x:v>Dann öffnet die aktuelle Interaktion und bestätigt als Team.</x:v>
      </x:c>
      <x:c r="R78" s="104" t="str">
        <x:v>{"openObjective":true}</x:v>
      </x:c>
      <x:c r="S78" s="104" t="str">
        <x:v>CHECK_FACTS</x:v>
      </x:c>
      <x:c r="T78" s="104" t="str">
        <x:v>Welche Aussagen sind belegt?</x:v>
      </x:c>
      <x:c r="U78" s="104" t="str">
        <x:v>Öffnet die Faktenkarte. Fiktionale Rahmung ist dort getrennt markiert.</x:v>
      </x:c>
      <x:c r="V78" s="104" t="str">
        <x:v>{"openFactCard":true}</x:v>
      </x:c>
      <x:c r="W78" s="104" t="str">
        <x:v>D2-Q09-COMPLETE</x:v>
      </x:c>
      <x:c r="X78" s="104" t="str"/>
      <x:c r="Y78" s="110" t="n">
        <x:f>LEN(J78)+LEN(L78)+LEN(M78)+LEN(P78)+LEN(Q78)+LEN(T78)+LEN(U78)</x:f>
        <x:v>380</x:v>
      </x:c>
      <x:c r="Z78" s="110" t="n">
        <x:f>SUMIF($B$5:$B$124,B78,$Y$5:$Y$124)</x:f>
        <x:v>380</x:v>
      </x:c>
      <x:c r="AA78" s="104" t="str">
        <x:v>Max. 1000 Zeichen pro Interaktionssequenz; historischer Inhalt nur aus Fact-Set.</x:v>
      </x:c>
    </x:row>
    <x:row r="79" ht="88" customHeight="1">
      <x:c r="A79" s="101" t="str">
        <x:v>D2-Q09</x:v>
      </x:c>
      <x:c r="B79" s="101" t="str">
        <x:v>D2-Q09-COMPLETE</x:v>
      </x:c>
      <x:c r="C79" s="101" t="str">
        <x:v>D2-Q09-N3</x:v>
      </x:c>
      <x:c r="D79" s="101" t="str">
        <x:v>COMPLETE</x:v>
      </x:c>
      <x:c r="E79" s="101" t="n">
        <x:v>3</x:v>
      </x:c>
      <x:c r="F79" s="101" t="str">
        <x:v>npc_livia_strata</x:v>
      </x:c>
      <x:c r="G79" s="101" t="str">
        <x:v>Livia Strata</x:v>
      </x:c>
      <x:c r="H79" s="101" t="str">
        <x:v>aufgeregt und besorgt</x:v>
      </x:c>
      <x:c r="I79" s="101" t="str">
        <x:v>questActive || phase==OFFER</x:v>
      </x:c>
      <x:c r="J79" s="101" t="str">
        <x:v>LATERES. Die Schichten halten. Ihr tragt nun eine Erinnerung, die der Custode della Neve nicht sofort überdecken kann.</x:v>
      </x:c>
      <x:c r="K79" s="101" t="str">
        <x:v>CLOSE_HUMBLE</x:v>
      </x:c>
      <x:c r="L79" s="101" t="str">
        <x:v>Wir dokumentieren die Lösung.</x:v>
      </x:c>
      <x:c r="M79" s="101" t="str">
        <x:v>Sauber abgeschlossen.</x:v>
      </x:c>
      <x:c r="N79" s="101" t="str">
        <x:v>{"closeDialogue":true}</x:v>
      </x:c>
      <x:c r="O79" s="101" t="str">
        <x:v>OPEN_FACTS</x:v>
      </x:c>
      <x:c r="P79" s="101" t="str">
        <x:v>Was sollten wir historisch behalten?</x:v>
      </x:c>
      <x:c r="Q79" s="101" t="str">
        <x:v>Öffnet die verifizierten Fakten und Quellen dieser Quest.</x:v>
      </x:c>
      <x:c r="R79" s="101" t="str">
        <x:v>{"openFactCard":true}</x:v>
      </x:c>
      <x:c r="S79" s="101" t="str">
        <x:v>PREVIEW_REWARD</x:v>
      </x:c>
      <x:c r="T79" s="101" t="str">
        <x:v>Und was erhalten wir?</x:v>
      </x:c>
      <x:c r="U79" s="101" t="str">
        <x:v>Die Belohnungsvorschau zeigt Arbeitswerte; der Server vergibt atomar.</x:v>
      </x:c>
      <x:c r="V79" s="101" t="str">
        <x:v>{"openRewardPreview":true}</x:v>
      </x:c>
      <x:c r="W79" s="101" t="str">
        <x:v>END</x:v>
      </x:c>
      <x:c r="X79" s="101" t="str"/>
      <x:c r="Y79" s="109" t="n">
        <x:f>LEN(J79)+LEN(L79)+LEN(M79)+LEN(P79)+LEN(Q79)+LEN(T79)+LEN(U79)</x:f>
        <x:v>351</x:v>
      </x:c>
      <x:c r="Z79" s="109" t="n">
        <x:f>SUMIF($B$5:$B$124,B79,$Y$5:$Y$124)</x:f>
        <x:v>351</x:v>
      </x:c>
      <x:c r="AA79" s="101" t="str">
        <x:v>Max. 1000 Zeichen pro Interaktionssequenz; historischer Inhalt nur aus Fact-Set.</x:v>
      </x:c>
    </x:row>
    <x:row r="80" ht="88" customHeight="1">
      <x:c r="A80" s="104" t="str">
        <x:v>D2-Q10</x:v>
      </x:c>
      <x:c r="B80" s="104" t="str">
        <x:v>D2-Q10-OFFER</x:v>
      </x:c>
      <x:c r="C80" s="104" t="str">
        <x:v>D2-Q10-N1</x:v>
      </x:c>
      <x:c r="D80" s="104" t="str">
        <x:v>OFFER</x:v>
      </x:c>
      <x:c r="E80" s="104" t="n">
        <x:v>1</x:v>
      </x:c>
      <x:c r="F80" s="104" t="str">
        <x:v>npc_frontinus_aquarius</x:v>
      </x:c>
      <x:c r="G80" s="104" t="str">
        <x:v>Frontinus, Curator Aquarum</x:v>
      </x:c>
      <x:c r="H80" s="104" t="str">
        <x:v>dringlich genervt</x:v>
      </x:c>
      <x:c r="I80" s="104" t="str">
        <x:v>questActive || phase==OFFER</x:v>
      </x:c>
      <x:c r="J80" s="104" t="str">
        <x:v>Störungsmeldung: Zwei Durchgänge, mehrere Wasserkanäle, eine Hydra mit Verwaltungsproblem. An der Porta könnt ihr eine 120-Sekunden-Diagnose starten. Läuft sie aus, bleibt die Quest lösbar, aber die Hydra behält einen Zusatzkopf. Keine Sekunde davon rechtfertigt eine Straßenquerung.</x:v>
      </x:c>
      <x:c r="K80" s="104" t="str">
        <x:v>ACCEPT_AQUEDUCT</x:v>
      </x:c>
      <x:c r="L80" s="104" t="str">
        <x:v>Wir prüfen Tor und Wasserkanäle.</x:v>
      </x:c>
      <x:c r="M80" s="104" t="str">
        <x:v>Vom sicheren Gehweg. Keine Heldentat über Fahrspuren.</x:v>
      </x:c>
      <x:c r="N80" s="104" t="str">
        <x:v>{"accept":true}</x:v>
      </x:c>
      <x:c r="O80" s="104" t="str">
        <x:v>ASK_HYDRA</x:v>
      </x:c>
      <x:c r="P80" s="104" t="str">
        <x:v>Warum hat eine Leitung eine Hydra?</x:v>
      </x:c>
      <x:c r="Q80" s="104" t="str">
        <x:v>Weil selbst meine Albträume Formulare mit mehreren Köpfen besitzen.</x:v>
      </x:c>
      <x:c r="R80" s="104" t="str">
        <x:v>{"cosmetic":"hydra_bureaucracy"}</x:v>
      </x:c>
      <x:c r="S80" s="104" t="str">
        <x:v>SCULPTOR_WEAKNESS</x:v>
      </x:c>
      <x:c r="T80" s="104" t="str">
        <x:v>[Bildhauer] Ich suche Fuge und Lastpunkt.</x:v>
      </x:c>
      <x:c r="U80" s="104" t="str">
        <x:v>Nützlich. Die Plombe kommt an die mechanische Schwachstelle.</x:v>
      </x:c>
      <x:c r="V80" s="104" t="str">
        <x:v>{"classCheck":"SCULPTOR","buff":"head_sealed"}</x:v>
      </x:c>
      <x:c r="W80" s="104" t="str">
        <x:v>D2-Q10-MID</x:v>
      </x:c>
      <x:c r="X80" s="104" t="str"/>
      <x:c r="Y80" s="110" t="n">
        <x:f>LEN(J80)+LEN(L80)+LEN(M80)+LEN(P80)+LEN(Q80)+LEN(T80)+LEN(U80)</x:f>
        <x:v>570</x:v>
      </x:c>
      <x:c r="Z80" s="110" t="n">
        <x:f>SUMIF($B$5:$B$124,B80,$Y$5:$Y$124)</x:f>
        <x:v>570</x:v>
      </x:c>
      <x:c r="AA80" s="104" t="str">
        <x:v>Max. 1000 Zeichen pro Interaktionssequenz; historischer Inhalt nur aus Fact-Set.</x:v>
      </x:c>
    </x:row>
    <x:row r="81" ht="88" customHeight="1">
      <x:c r="A81" s="101" t="str">
        <x:v>D2-Q10</x:v>
      </x:c>
      <x:c r="B81" s="101" t="str">
        <x:v>D2-Q10-MID</x:v>
      </x:c>
      <x:c r="C81" s="101" t="str">
        <x:v>D2-Q10-N2</x:v>
      </x:c>
      <x:c r="D81" s="101" t="str">
        <x:v>MID</x:v>
      </x:c>
      <x:c r="E81" s="101" t="n">
        <x:v>2</x:v>
      </x:c>
      <x:c r="F81" s="101" t="str">
        <x:v>npc_frontinus_aquarius</x:v>
      </x:c>
      <x:c r="G81" s="101" t="str">
        <x:v>Frontinus, Curator Aquarum</x:v>
      </x:c>
      <x:c r="H81" s="101" t="str">
        <x:v>dringlich genervt</x:v>
      </x:c>
      <x:c r="I81" s="101" t="str">
        <x:v>questActive || phase==OFFER</x:v>
      </x:c>
      <x:c r="J81" s="101" t="str">
        <x:v>Unten Tor, oben Leitung. Wer beides verwechselt, baut entweder einen sehr nassen Eingang oder ein nutzloses Aquädukt. BEREIT startet die 120-Sekunden-Diagnose vom sicheren Gehweg.</x:v>
      </x:c>
      <x:c r="K81" s="101" t="str">
        <x:v>REQUEST_HINT</x:v>
      </x:c>
      <x:c r="L81" s="101" t="str">
        <x:v>Gebt uns einen Hinweis.</x:v>
      </x:c>
      <x:c r="M81" s="101" t="str">
        <x:v>Ein Hinweis grenzt ein, löst aber nicht. Öffnet Stufe eins.</x:v>
      </x:c>
      <x:c r="N81" s="101" t="str">
        <x:v>{"openHint":1}</x:v>
      </x:c>
      <x:c r="O81" s="101" t="str">
        <x:v>START_DIAGNOSIS_TIMER</x:v>
      </x:c>
      <x:c r="P81" s="101" t="str">
        <x:v>Wir starten die 120-Sekunden-Diagnose.</x:v>
      </x:c>
      <x:c r="Q81" s="101" t="str">
        <x:v>Vom Gehweg, jetzt. Nach Ablauf behält die Hydra einen Zusatzkopf; eure Quest behält trotzdem alle Gliedmaßen.</x:v>
      </x:c>
      <x:c r="R81" s="101" t="str">
        <x:v>{"startTimer":"TMR-D2-Q10-S05","openObjective":true}</x:v>
      </x:c>
      <x:c r="S81" s="101" t="str">
        <x:v>CHECK_FACTS</x:v>
      </x:c>
      <x:c r="T81" s="101" t="str">
        <x:v>Welche Aussagen sind belegt?</x:v>
      </x:c>
      <x:c r="U81" s="101" t="str">
        <x:v>Öffnet die Faktenkarte. Fiktionale Rahmung ist dort getrennt markiert.</x:v>
      </x:c>
      <x:c r="V81" s="101" t="str">
        <x:v>{"openFactCard":true}</x:v>
      </x:c>
      <x:c r="W81" s="101" t="str">
        <x:v>D2-Q10-COMPLETE</x:v>
      </x:c>
      <x:c r="X81" s="101" t="str"/>
      <x:c r="Y81" s="109" t="n">
        <x:f>LEN(J81)+LEN(L81)+LEN(M81)+LEN(P81)+LEN(Q81)+LEN(T81)+LEN(U81)</x:f>
        <x:v>506</x:v>
      </x:c>
      <x:c r="Z81" s="109" t="n">
        <x:f>SUMIF($B$5:$B$124,B81,$Y$5:$Y$124)</x:f>
        <x:v>506</x:v>
      </x:c>
      <x:c r="AA81" s="101" t="str">
        <x:v>Max. 1000 Zeichen pro Interaktionssequenz; historischer Inhalt nur aus Fact-Set.</x:v>
      </x:c>
    </x:row>
    <x:row r="82" ht="88" customHeight="1">
      <x:c r="A82" s="104" t="str">
        <x:v>D2-Q10</x:v>
      </x:c>
      <x:c r="B82" s="104" t="str">
        <x:v>D2-Q10-COMPLETE</x:v>
      </x:c>
      <x:c r="C82" s="104" t="str">
        <x:v>D2-Q10-N3</x:v>
      </x:c>
      <x:c r="D82" s="104" t="str">
        <x:v>COMPLETE</x:v>
      </x:c>
      <x:c r="E82" s="104" t="n">
        <x:v>3</x:v>
      </x:c>
      <x:c r="F82" s="104" t="str">
        <x:v>npc_frontinus_aquarius</x:v>
      </x:c>
      <x:c r="G82" s="104" t="str">
        <x:v>Frontinus, Curator Aquarum</x:v>
      </x:c>
      <x:c r="H82" s="104" t="str">
        <x:v>dringlich genervt</x:v>
      </x:c>
      <x:c r="I82" s="104" t="str">
        <x:v>questActive || phase==OFFER</x:v>
      </x:c>
      <x:c r="J82" s="104" t="str">
        <x:v>Plombe sitzt. Ein Kopf weniger, ein Problem übersichtlicher. Jetzt beendet die Reparatur in rundenbasiertem Verfahren.</x:v>
      </x:c>
      <x:c r="K82" s="104" t="str">
        <x:v>CLOSE_HUMBLE</x:v>
      </x:c>
      <x:c r="L82" s="104" t="str">
        <x:v>Wir dokumentieren die Lösung.</x:v>
      </x:c>
      <x:c r="M82" s="104" t="str">
        <x:v>Sauber abgeschlossen.</x:v>
      </x:c>
      <x:c r="N82" s="104" t="str">
        <x:v>{"closeDialogue":true}</x:v>
      </x:c>
      <x:c r="O82" s="104" t="str">
        <x:v>OPEN_FACTS</x:v>
      </x:c>
      <x:c r="P82" s="104" t="str">
        <x:v>Was sollten wir historisch behalten?</x:v>
      </x:c>
      <x:c r="Q82" s="104" t="str">
        <x:v>Öffnet die verifizierten Fakten und Quellen dieser Quest.</x:v>
      </x:c>
      <x:c r="R82" s="104" t="str">
        <x:v>{"openFactCard":true}</x:v>
      </x:c>
      <x:c r="S82" s="104" t="str">
        <x:v>PREVIEW_REWARD</x:v>
      </x:c>
      <x:c r="T82" s="104" t="str">
        <x:v>Und was erhalten wir?</x:v>
      </x:c>
      <x:c r="U82" s="104" t="str">
        <x:v>Die Belohnungsvorschau zeigt Arbeitswerte; der Server vergibt atomar.</x:v>
      </x:c>
      <x:c r="V82" s="104" t="str">
        <x:v>{"openRewardPreview":true}</x:v>
      </x:c>
      <x:c r="W82" s="104" t="str">
        <x:v>END</x:v>
      </x:c>
      <x:c r="X82" s="104" t="str"/>
      <x:c r="Y82" s="110" t="n">
        <x:f>LEN(J82)+LEN(L82)+LEN(M82)+LEN(P82)+LEN(Q82)+LEN(T82)+LEN(U82)</x:f>
        <x:v>351</x:v>
      </x:c>
      <x:c r="Z82" s="110" t="n">
        <x:f>SUMIF($B$5:$B$124,B82,$Y$5:$Y$124)</x:f>
        <x:v>351</x:v>
      </x:c>
      <x:c r="AA82" s="104" t="str">
        <x:v>Max. 1000 Zeichen pro Interaktionssequenz; historischer Inhalt nur aus Fact-Set.</x:v>
      </x:c>
    </x:row>
    <x:row r="83" ht="88" customHeight="1">
      <x:c r="A83" s="101" t="str">
        <x:v>M-D1-01</x:v>
      </x:c>
      <x:c r="B83" s="101" t="str">
        <x:v>M-D1-01-OFFER</x:v>
      </x:c>
      <x:c r="C83" s="101" t="str">
        <x:v>M-D1-01-N1</x:v>
      </x:c>
      <x:c r="D83" s="101" t="str">
        <x:v>OFFER</x:v>
      </x:c>
      <x:c r="E83" s="101" t="n">
        <x:v>1</x:v>
      </x:c>
      <x:c r="F83" s="101" t="str">
        <x:v>npc_livia_lens</x:v>
      </x:c>
      <x:c r="G83" s="101" t="str">
        <x:v>Livia Lens</x:v>
      </x:c>
      <x:c r="H83" s="101" t="str">
        <x:v>begeistert unter Zeitdruck</x:v>
      </x:c>
      <x:c r="I83" s="101" t="str">
        <x:v>questActive || phase==OFFER</x:v>
      </x:c>
      <x:c r="J83" s="101" t="str">
        <x:v>Ein Bild, vier Rollen, null Belästigung. Zeigt eure Klasse und lasst die Garde nur dann im Hintergrund erscheinen, wenn das vom öffentlichen Bereich sicher möglich ist.</x:v>
      </x:c>
      <x:c r="K83" s="101" t="str">
        <x:v>ACCEPT_PHOTO</x:v>
      </x:c>
      <x:c r="L83" s="101" t="str">
        <x:v>Wir inszenieren nur unser eigenes Team.</x:v>
      </x:c>
      <x:c r="M83" s="101" t="str">
        <x:v>Perfekt. Respekt ist Teil der Wertung.</x:v>
      </x:c>
      <x:c r="N83" s="101" t="str">
        <x:v>{"accept":true}</x:v>
      </x:c>
      <x:c r="O83" s="101" t="str">
        <x:v>ASK_FALLBACK</x:v>
      </x:c>
      <x:c r="P83" s="101" t="str">
        <x:v>Was, wenn kein Gardist sichtbar ist?</x:v>
      </x:c>
      <x:c r="Q83" s="101" t="str">
        <x:v>Nutzt das definierte Fallbackmotiv mit dem offiziellen Zugang im Hintergrund.</x:v>
      </x:c>
      <x:c r="R83" s="101" t="str">
        <x:v>{"fallback":true}</x:v>
      </x:c>
      <x:c r="S83" s="101" t="str">
        <x:v>SWISS_GUARD_POSE</x:v>
      </x:c>
      <x:c r="T83" s="101" t="str">
        <x:v>[Schweizergarde] Ich führe eine historische Haltung vor.</x:v>
      </x:c>
      <x:c r="U83" s="101" t="str">
        <x:v>Statisch und sicher – keine Waffenbewegung.</x:v>
      </x:c>
      <x:c r="V83" s="101" t="str">
        <x:v>{"classCheck":"SWISS_GUARD","bonusRubric":true}</x:v>
      </x:c>
      <x:c r="W83" s="101" t="str">
        <x:v>M-D1-01-MID</x:v>
      </x:c>
      <x:c r="X83" s="101" t="str"/>
      <x:c r="Y83" s="109" t="n">
        <x:f>LEN(J83)+LEN(L83)+LEN(M83)+LEN(P83)+LEN(Q83)+LEN(T83)+LEN(U83)</x:f>
        <x:v>457</x:v>
      </x:c>
      <x:c r="Z83" s="109" t="n">
        <x:f>SUMIF($B$5:$B$124,B83,$Y$5:$Y$124)</x:f>
        <x:v>457</x:v>
      </x:c>
      <x:c r="AA83" s="101" t="str">
        <x:v>Max. 1000 Zeichen pro Interaktionssequenz; historischer Inhalt nur aus Fact-Set.</x:v>
      </x:c>
    </x:row>
    <x:row r="84" ht="88" customHeight="1">
      <x:c r="A84" s="104" t="str">
        <x:v>M-D1-01</x:v>
      </x:c>
      <x:c r="B84" s="104" t="str">
        <x:v>M-D1-01-MID</x:v>
      </x:c>
      <x:c r="C84" s="104" t="str">
        <x:v>M-D1-01-N2</x:v>
      </x:c>
      <x:c r="D84" s="104" t="str">
        <x:v>MID</x:v>
      </x:c>
      <x:c r="E84" s="104" t="n">
        <x:v>2</x:v>
      </x:c>
      <x:c r="F84" s="104" t="str">
        <x:v>npc_livia_lens</x:v>
      </x:c>
      <x:c r="G84" s="104" t="str">
        <x:v>Livia Lens</x:v>
      </x:c>
      <x:c r="H84" s="104" t="str">
        <x:v>begeistert unter Zeitdruck</x:v>
      </x:c>
      <x:c r="I84" s="104" t="str">
        <x:v>questActive || phase==OFFER</x:v>
      </x:c>
      <x:c r="J84" s="104" t="str">
        <x:v>Die Garde ist kein Requisit. Euer Team spielt die Szene; der Ort liefert den Kontext.</x:v>
      </x:c>
      <x:c r="K84" s="104" t="str">
        <x:v>REQUEST_HINT</x:v>
      </x:c>
      <x:c r="L84" s="104" t="str">
        <x:v>Gebt uns einen Hinweis.</x:v>
      </x:c>
      <x:c r="M84" s="104" t="str">
        <x:v>Ein Hinweis grenzt ein, löst aber nicht. Öffnet Stufe eins.</x:v>
      </x:c>
      <x:c r="N84" s="104" t="str">
        <x:v>{"openHint":1}</x:v>
      </x:c>
      <x:c r="O84" s="104" t="str">
        <x:v>OPEN_OBJECTIVE</x:v>
      </x:c>
      <x:c r="P84" s="104" t="str">
        <x:v>Wir sind bereit für die Aufgabe.</x:v>
      </x:c>
      <x:c r="Q84" s="104" t="str">
        <x:v>Dann öffnet die aktuelle Interaktion und bestätigt als Team.</x:v>
      </x:c>
      <x:c r="R84" s="104" t="str">
        <x:v>{"openObjective":true}</x:v>
      </x:c>
      <x:c r="S84" s="104" t="str">
        <x:v>CHECK_FACTS</x:v>
      </x:c>
      <x:c r="T84" s="104" t="str">
        <x:v>Welche Aussagen sind belegt?</x:v>
      </x:c>
      <x:c r="U84" s="104" t="str">
        <x:v>Öffnet die Faktenkarte. Fiktionale Rahmung ist dort getrennt markiert.</x:v>
      </x:c>
      <x:c r="V84" s="104" t="str">
        <x:v>{"openFactCard":true}</x:v>
      </x:c>
      <x:c r="W84" s="104" t="str">
        <x:v>M-D1-01-COMPLETE</x:v>
      </x:c>
      <x:c r="X84" s="104" t="str"/>
      <x:c r="Y84" s="110" t="n">
        <x:f>LEN(J84)+LEN(L84)+LEN(M84)+LEN(P84)+LEN(Q84)+LEN(T84)+LEN(U84)</x:f>
        <x:v>357</x:v>
      </x:c>
      <x:c r="Z84" s="110" t="n">
        <x:f>SUMIF($B$5:$B$124,B84,$Y$5:$Y$124)</x:f>
        <x:v>357</x:v>
      </x:c>
      <x:c r="AA84" s="104" t="str">
        <x:v>Max. 1000 Zeichen pro Interaktionssequenz; historischer Inhalt nur aus Fact-Set.</x:v>
      </x:c>
    </x:row>
    <x:row r="85" ht="88" customHeight="1">
      <x:c r="A85" s="101" t="str">
        <x:v>M-D1-01</x:v>
      </x:c>
      <x:c r="B85" s="101" t="str">
        <x:v>M-D1-01-COMPLETE</x:v>
      </x:c>
      <x:c r="C85" s="101" t="str">
        <x:v>M-D1-01-N3</x:v>
      </x:c>
      <x:c r="D85" s="101" t="str">
        <x:v>COMPLETE</x:v>
      </x:c>
      <x:c r="E85" s="101" t="n">
        <x:v>3</x:v>
      </x:c>
      <x:c r="F85" s="101" t="str">
        <x:v>npc_livia_lens</x:v>
      </x:c>
      <x:c r="G85" s="101" t="str">
        <x:v>Livia Lens</x:v>
      </x:c>
      <x:c r="H85" s="101" t="str">
        <x:v>begeistert unter Zeitdruck</x:v>
      </x:c>
      <x:c r="I85" s="101" t="str">
        <x:v>questActive || phase==OFFER</x:v>
      </x:c>
      <x:c r="J85" s="101" t="str">
        <x:v>Sauber gerahmt, respektvoll aufgenommen. Genau so sieht Mut ohne Gedränge aus.</x:v>
      </x:c>
      <x:c r="K85" s="101" t="str">
        <x:v>CLOSE_HUMBLE</x:v>
      </x:c>
      <x:c r="L85" s="101" t="str">
        <x:v>Wir dokumentieren die Lösung.</x:v>
      </x:c>
      <x:c r="M85" s="101" t="str">
        <x:v>Sauber abgeschlossen.</x:v>
      </x:c>
      <x:c r="N85" s="101" t="str">
        <x:v>{"closeDialogue":true}</x:v>
      </x:c>
      <x:c r="O85" s="101" t="str">
        <x:v>OPEN_FACTS</x:v>
      </x:c>
      <x:c r="P85" s="101" t="str">
        <x:v>Was sollten wir historisch behalten?</x:v>
      </x:c>
      <x:c r="Q85" s="101" t="str">
        <x:v>Öffnet die verifizierten Fakten und Quellen dieser Quest.</x:v>
      </x:c>
      <x:c r="R85" s="101" t="str">
        <x:v>{"openFactCard":true}</x:v>
      </x:c>
      <x:c r="S85" s="101" t="str">
        <x:v>PREVIEW_REWARD</x:v>
      </x:c>
      <x:c r="T85" s="101" t="str">
        <x:v>Und was erhalten wir?</x:v>
      </x:c>
      <x:c r="U85" s="101" t="str">
        <x:v>Die Belohnungsvorschau zeigt Arbeitswerte; der Server vergibt atomar.</x:v>
      </x:c>
      <x:c r="V85" s="101" t="str">
        <x:v>{"openRewardPreview":true}</x:v>
      </x:c>
      <x:c r="W85" s="101" t="str">
        <x:v>END</x:v>
      </x:c>
      <x:c r="X85" s="101" t="str"/>
      <x:c r="Y85" s="109" t="n">
        <x:f>LEN(J85)+LEN(L85)+LEN(M85)+LEN(P85)+LEN(Q85)+LEN(T85)+LEN(U85)</x:f>
        <x:v>311</x:v>
      </x:c>
      <x:c r="Z85" s="109" t="n">
        <x:f>SUMIF($B$5:$B$124,B85,$Y$5:$Y$124)</x:f>
        <x:v>311</x:v>
      </x:c>
      <x:c r="AA85" s="101" t="str">
        <x:v>Max. 1000 Zeichen pro Interaktionssequenz; historischer Inhalt nur aus Fact-Set.</x:v>
      </x:c>
    </x:row>
    <x:row r="86" ht="88" customHeight="1">
      <x:c r="A86" s="104" t="str">
        <x:v>M-D1-02</x:v>
      </x:c>
      <x:c r="B86" s="104" t="str">
        <x:v>M-D1-02-OFFER</x:v>
      </x:c>
      <x:c r="C86" s="104" t="str">
        <x:v>M-D1-02-N1</x:v>
      </x:c>
      <x:c r="D86" s="104" t="str">
        <x:v>OFFER</x:v>
      </x:c>
      <x:c r="E86" s="104" t="n">
        <x:v>1</x:v>
      </x:c>
      <x:c r="F86" s="104" t="str">
        <x:v>npc_livia_lens</x:v>
      </x:c>
      <x:c r="G86" s="104" t="str">
        <x:v>Livia Lens</x:v>
      </x:c>
      <x:c r="H86" s="104" t="str">
        <x:v>begeistert unter Zeitdruck</x:v>
      </x:c>
      <x:c r="I86" s="104" t="str">
        <x:v>questActive || phase==OFFER</x:v>
      </x:c>
      <x:c r="J86" s="104" t="str">
        <x:v>Keine exakte Pose. Wählt einen Engel, erkennt sein großes Attribut und übersetzt die Stimmung in ein einziges Teamfoto.</x:v>
      </x:c>
      <x:c r="K86" s="104" t="str">
        <x:v>ACCEPT_ANGEL</x:v>
      </x:c>
      <x:c r="L86" s="104" t="str">
        <x:v>Wir wählen eine sichere Position.</x:v>
      </x:c>
      <x:c r="M86" s="104" t="str">
        <x:v>Dann lasst die Brücke weiterfließen.</x:v>
      </x:c>
      <x:c r="N86" s="104" t="str">
        <x:v>{"accept":true}</x:v>
      </x:c>
      <x:c r="O86" s="104" t="str">
        <x:v>ASK_OPEN</x:v>
      </x:c>
      <x:c r="P86" s="104" t="str">
        <x:v>Wie frei ist die Interpretation?</x:v>
      </x:c>
      <x:c r="Q86" s="104" t="str">
        <x:v>Sehr frei, solange Engel oder Passionssymbol erkennbar inspiriert haben.</x:v>
      </x:c>
      <x:c r="R86" s="104" t="str">
        <x:v>{"rubricHint":true}</x:v>
      </x:c>
      <x:c r="S86" s="104" t="str">
        <x:v>JOKE_WINGS</x:v>
      </x:c>
      <x:c r="T86" s="104" t="str">
        <x:v>Wer bekommt die Flügel?</x:v>
      </x:c>
      <x:c r="U86" s="104" t="str">
        <x:v>Wer am wenigsten darum bittet.</x:v>
      </x:c>
      <x:c r="V86" s="104" t="str">
        <x:v>{"cosmetic":"wings"}</x:v>
      </x:c>
      <x:c r="W86" s="104" t="str">
        <x:v>M-D1-02-MID</x:v>
      </x:c>
      <x:c r="X86" s="104" t="str"/>
      <x:c r="Y86" s="110" t="n">
        <x:f>LEN(J86)+LEN(L86)+LEN(M86)+LEN(P86)+LEN(Q86)+LEN(T86)+LEN(U86)</x:f>
        <x:v>345</x:v>
      </x:c>
      <x:c r="Z86" s="110" t="n">
        <x:f>SUMIF($B$5:$B$124,B86,$Y$5:$Y$124)</x:f>
        <x:v>345</x:v>
      </x:c>
      <x:c r="AA86" s="104" t="str">
        <x:v>Max. 1000 Zeichen pro Interaktionssequenz; historischer Inhalt nur aus Fact-Set.</x:v>
      </x:c>
    </x:row>
    <x:row r="87" ht="88" customHeight="1">
      <x:c r="A87" s="101" t="str">
        <x:v>M-D1-02</x:v>
      </x:c>
      <x:c r="B87" s="101" t="str">
        <x:v>M-D1-02-MID</x:v>
      </x:c>
      <x:c r="C87" s="101" t="str">
        <x:v>M-D1-02-N2</x:v>
      </x:c>
      <x:c r="D87" s="101" t="str">
        <x:v>MID</x:v>
      </x:c>
      <x:c r="E87" s="101" t="n">
        <x:v>2</x:v>
      </x:c>
      <x:c r="F87" s="101" t="str">
        <x:v>npc_livia_lens</x:v>
      </x:c>
      <x:c r="G87" s="101" t="str">
        <x:v>Livia Lens</x:v>
      </x:c>
      <x:c r="H87" s="101" t="str">
        <x:v>begeistert unter Zeitdruck</x:v>
      </x:c>
      <x:c r="I87" s="101" t="str">
        <x:v>questActive || phase==OFFER</x:v>
      </x:c>
      <x:c r="J87" s="101" t="str">
        <x:v>Flügel sind optional. Freie Gehfläche nicht.</x:v>
      </x:c>
      <x:c r="K87" s="101" t="str">
        <x:v>REQUEST_HINT</x:v>
      </x:c>
      <x:c r="L87" s="101" t="str">
        <x:v>Gebt uns einen Hinweis.</x:v>
      </x:c>
      <x:c r="M87" s="101" t="str">
        <x:v>Ein Hinweis grenzt ein, löst aber nicht. Öffnet Stufe eins.</x:v>
      </x:c>
      <x:c r="N87" s="101" t="str">
        <x:v>{"openHint":1}</x:v>
      </x:c>
      <x:c r="O87" s="101" t="str">
        <x:v>OPEN_OBJECTIVE</x:v>
      </x:c>
      <x:c r="P87" s="101" t="str">
        <x:v>Wir sind bereit für die Aufgabe.</x:v>
      </x:c>
      <x:c r="Q87" s="101" t="str">
        <x:v>Dann öffnet die aktuelle Interaktion und bestätigt als Team.</x:v>
      </x:c>
      <x:c r="R87" s="101" t="str">
        <x:v>{"openObjective":true}</x:v>
      </x:c>
      <x:c r="S87" s="101" t="str">
        <x:v>CHECK_FACTS</x:v>
      </x:c>
      <x:c r="T87" s="101" t="str">
        <x:v>Welche Aussagen sind belegt?</x:v>
      </x:c>
      <x:c r="U87" s="101" t="str">
        <x:v>Öffnet die Faktenkarte. Fiktionale Rahmung ist dort getrennt markiert.</x:v>
      </x:c>
      <x:c r="V87" s="101" t="str">
        <x:v>{"openFactCard":true}</x:v>
      </x:c>
      <x:c r="W87" s="101" t="str">
        <x:v>M-D1-02-COMPLETE</x:v>
      </x:c>
      <x:c r="X87" s="101" t="str"/>
      <x:c r="Y87" s="109" t="n">
        <x:f>LEN(J87)+LEN(L87)+LEN(M87)+LEN(P87)+LEN(Q87)+LEN(T87)+LEN(U87)</x:f>
        <x:v>316</x:v>
      </x:c>
      <x:c r="Z87" s="109" t="n">
        <x:f>SUMIF($B$5:$B$124,B87,$Y$5:$Y$124)</x:f>
        <x:v>316</x:v>
      </x:c>
      <x:c r="AA87" s="101" t="str">
        <x:v>Max. 1000 Zeichen pro Interaktionssequenz; historischer Inhalt nur aus Fact-Set.</x:v>
      </x:c>
    </x:row>
    <x:row r="88" ht="88" customHeight="1">
      <x:c r="A88" s="104" t="str">
        <x:v>M-D1-02</x:v>
      </x:c>
      <x:c r="B88" s="104" t="str">
        <x:v>M-D1-02-COMPLETE</x:v>
      </x:c>
      <x:c r="C88" s="104" t="str">
        <x:v>M-D1-02-N3</x:v>
      </x:c>
      <x:c r="D88" s="104" t="str">
        <x:v>COMPLETE</x:v>
      </x:c>
      <x:c r="E88" s="104" t="n">
        <x:v>3</x:v>
      </x:c>
      <x:c r="F88" s="104" t="str">
        <x:v>npc_livia_lens</x:v>
      </x:c>
      <x:c r="G88" s="104" t="str">
        <x:v>Livia Lens</x:v>
      </x:c>
      <x:c r="H88" s="104" t="str">
        <x:v>begeistert unter Zeitdruck</x:v>
      </x:c>
      <x:c r="I88" s="104" t="str">
        <x:v>questActive || phase==OFFER</x:v>
      </x:c>
      <x:c r="J88" s="104" t="str">
        <x:v>Das Bild wirkt wie Rom: ein wenig feierlich, ein wenig übertrieben, erstaunlich fotogen.</x:v>
      </x:c>
      <x:c r="K88" s="104" t="str">
        <x:v>CLOSE_HUMBLE</x:v>
      </x:c>
      <x:c r="L88" s="104" t="str">
        <x:v>Wir dokumentieren die Lösung.</x:v>
      </x:c>
      <x:c r="M88" s="104" t="str">
        <x:v>Sauber abgeschlossen.</x:v>
      </x:c>
      <x:c r="N88" s="104" t="str">
        <x:v>{"closeDialogue":true}</x:v>
      </x:c>
      <x:c r="O88" s="104" t="str">
        <x:v>OPEN_FACTS</x:v>
      </x:c>
      <x:c r="P88" s="104" t="str">
        <x:v>Was sollten wir historisch behalten?</x:v>
      </x:c>
      <x:c r="Q88" s="104" t="str">
        <x:v>Öffnet die verifizierten Fakten und Quellen dieser Quest.</x:v>
      </x:c>
      <x:c r="R88" s="104" t="str">
        <x:v>{"openFactCard":true}</x:v>
      </x:c>
      <x:c r="S88" s="104" t="str">
        <x:v>PREVIEW_REWARD</x:v>
      </x:c>
      <x:c r="T88" s="104" t="str">
        <x:v>Und was erhalten wir?</x:v>
      </x:c>
      <x:c r="U88" s="104" t="str">
        <x:v>Die Belohnungsvorschau zeigt Arbeitswerte; der Server vergibt atomar.</x:v>
      </x:c>
      <x:c r="V88" s="104" t="str">
        <x:v>{"openRewardPreview":true}</x:v>
      </x:c>
      <x:c r="W88" s="104" t="str">
        <x:v>END</x:v>
      </x:c>
      <x:c r="X88" s="104" t="str"/>
      <x:c r="Y88" s="110" t="n">
        <x:f>LEN(J88)+LEN(L88)+LEN(M88)+LEN(P88)+LEN(Q88)+LEN(T88)+LEN(U88)</x:f>
        <x:v>321</x:v>
      </x:c>
      <x:c r="Z88" s="110" t="n">
        <x:f>SUMIF($B$5:$B$124,B88,$Y$5:$Y$124)</x:f>
        <x:v>321</x:v>
      </x:c>
      <x:c r="AA88" s="104" t="str">
        <x:v>Max. 1000 Zeichen pro Interaktionssequenz; historischer Inhalt nur aus Fact-Set.</x:v>
      </x:c>
    </x:row>
    <x:row r="89" ht="88" customHeight="1">
      <x:c r="A89" s="101" t="str">
        <x:v>M-D1-03</x:v>
      </x:c>
      <x:c r="B89" s="101" t="str">
        <x:v>M-D1-03-OFFER</x:v>
      </x:c>
      <x:c r="C89" s="101" t="str">
        <x:v>M-D1-03-N1</x:v>
      </x:c>
      <x:c r="D89" s="101" t="str">
        <x:v>OFFER</x:v>
      </x:c>
      <x:c r="E89" s="101" t="n">
        <x:v>1</x:v>
      </x:c>
      <x:c r="F89" s="101" t="str">
        <x:v>npc_livia_lens</x:v>
      </x:c>
      <x:c r="G89" s="101" t="str">
        <x:v>Livia Lens</x:v>
      </x:c>
      <x:c r="H89" s="101" t="str">
        <x:v>begeistert unter Zeitdruck</x:v>
      </x:c>
      <x:c r="I89" s="101" t="str">
        <x:v>questActive || phase==OFFER</x:v>
      </x:c>
      <x:c r="J89" s="101" t="str">
        <x:v>Drei Brunnen, drei Figuren, drei Bilder. Keine Kopie desselben Schulterzuckens. Findet je eine große Pose, die auch aus sicherer Entfernung funktioniert.</x:v>
      </x:c>
      <x:c r="K89" s="101" t="str">
        <x:v>ACCEPT_THREE</x:v>
      </x:c>
      <x:c r="L89" s="101" t="str">
        <x:v>Wir liefern drei unterschiedliche Posen.</x:v>
      </x:c>
      <x:c r="M89" s="101" t="str">
        <x:v>Dann weist jeder Station eine Bildnummer zu.</x:v>
      </x:c>
      <x:c r="N89" s="101" t="str">
        <x:v>{"accept":true}</x:v>
      </x:c>
      <x:c r="O89" s="101" t="str">
        <x:v>ASK_SEQUENCE</x:v>
      </x:c>
      <x:c r="P89" s="101" t="str">
        <x:v>Müssen wir eine Reihenfolge einhalten?</x:v>
      </x:c>
      <x:c r="Q89" s="101" t="str">
        <x:v>Nein. Der Server ordnet per Stations-ID; Upload bleibt am jeweiligen Brunnenradius.</x:v>
      </x:c>
      <x:c r="R89" s="101" t="str">
        <x:v>{"techHint":true}</x:v>
      </x:c>
      <x:c r="S89" s="101" t="str">
        <x:v>SCULPTOR_POSE</x:v>
      </x:c>
      <x:c r="T89" s="101" t="str">
        <x:v>[Bildhauer] Ich lese die großen Bewegungsachsen.</x:v>
      </x:c>
      <x:c r="U89" s="101" t="str">
        <x:v>Das gibt einen Rubrikbonus, wenn es im Bild erkennbar ist.</x:v>
      </x:c>
      <x:c r="V89" s="101" t="str">
        <x:v>{"classCheck":"SCULPTOR","bonusRubric":true}</x:v>
      </x:c>
      <x:c r="W89" s="101" t="str">
        <x:v>M-D1-03-MID</x:v>
      </x:c>
      <x:c r="X89" s="101" t="str"/>
      <x:c r="Y89" s="109" t="n">
        <x:f>LEN(J89)+LEN(L89)+LEN(M89)+LEN(P89)+LEN(Q89)+LEN(T89)+LEN(U89)</x:f>
        <x:v>464</x:v>
      </x:c>
      <x:c r="Z89" s="109" t="n">
        <x:f>SUMIF($B$5:$B$124,B89,$Y$5:$Y$124)</x:f>
        <x:v>464</x:v>
      </x:c>
      <x:c r="AA89" s="101" t="str">
        <x:v>Max. 1000 Zeichen pro Interaktionssequenz; historischer Inhalt nur aus Fact-Set.</x:v>
      </x:c>
    </x:row>
    <x:row r="90" ht="88" customHeight="1">
      <x:c r="A90" s="104" t="str">
        <x:v>M-D1-03</x:v>
      </x:c>
      <x:c r="B90" s="104" t="str">
        <x:v>M-D1-03-MID</x:v>
      </x:c>
      <x:c r="C90" s="104" t="str">
        <x:v>M-D1-03-N2</x:v>
      </x:c>
      <x:c r="D90" s="104" t="str">
        <x:v>MID</x:v>
      </x:c>
      <x:c r="E90" s="104" t="n">
        <x:v>2</x:v>
      </x:c>
      <x:c r="F90" s="104" t="str">
        <x:v>npc_livia_lens</x:v>
      </x:c>
      <x:c r="G90" s="104" t="str">
        <x:v>Livia Lens</x:v>
      </x:c>
      <x:c r="H90" s="104" t="str">
        <x:v>begeistert unter Zeitdruck</x:v>
      </x:c>
      <x:c r="I90" s="104" t="str">
        <x:v>questActive || phase==OFFER</x:v>
      </x:c>
      <x:c r="J90" s="104" t="str">
        <x:v>Neptun, Mitte, Mohr – jede Station braucht ein eigenes Bild und eine eigene Idee.</x:v>
      </x:c>
      <x:c r="K90" s="104" t="str">
        <x:v>REQUEST_HINT</x:v>
      </x:c>
      <x:c r="L90" s="104" t="str">
        <x:v>Gebt uns einen Hinweis.</x:v>
      </x:c>
      <x:c r="M90" s="104" t="str">
        <x:v>Ein Hinweis grenzt ein, löst aber nicht. Öffnet Stufe eins.</x:v>
      </x:c>
      <x:c r="N90" s="104" t="str">
        <x:v>{"openHint":1}</x:v>
      </x:c>
      <x:c r="O90" s="104" t="str">
        <x:v>OPEN_OBJECTIVE</x:v>
      </x:c>
      <x:c r="P90" s="104" t="str">
        <x:v>Wir sind bereit für die Aufgabe.</x:v>
      </x:c>
      <x:c r="Q90" s="104" t="str">
        <x:v>Dann öffnet die aktuelle Interaktion und bestätigt als Team.</x:v>
      </x:c>
      <x:c r="R90" s="104" t="str">
        <x:v>{"openObjective":true}</x:v>
      </x:c>
      <x:c r="S90" s="104" t="str">
        <x:v>CHECK_FACTS</x:v>
      </x:c>
      <x:c r="T90" s="104" t="str">
        <x:v>Welche Aussagen sind belegt?</x:v>
      </x:c>
      <x:c r="U90" s="104" t="str">
        <x:v>Öffnet die Faktenkarte. Fiktionale Rahmung ist dort getrennt markiert.</x:v>
      </x:c>
      <x:c r="V90" s="104" t="str">
        <x:v>{"openFactCard":true}</x:v>
      </x:c>
      <x:c r="W90" s="104" t="str">
        <x:v>M-D1-03-COMPLETE</x:v>
      </x:c>
      <x:c r="X90" s="104" t="str"/>
      <x:c r="Y90" s="110" t="n">
        <x:f>LEN(J90)+LEN(L90)+LEN(M90)+LEN(P90)+LEN(Q90)+LEN(T90)+LEN(U90)</x:f>
        <x:v>353</x:v>
      </x:c>
      <x:c r="Z90" s="110" t="n">
        <x:f>SUMIF($B$5:$B$124,B90,$Y$5:$Y$124)</x:f>
        <x:v>353</x:v>
      </x:c>
      <x:c r="AA90" s="104" t="str">
        <x:v>Max. 1000 Zeichen pro Interaktionssequenz; historischer Inhalt nur aus Fact-Set.</x:v>
      </x:c>
    </x:row>
    <x:row r="91" ht="88" customHeight="1">
      <x:c r="A91" s="101" t="str">
        <x:v>M-D1-03</x:v>
      </x:c>
      <x:c r="B91" s="101" t="str">
        <x:v>M-D1-03-COMPLETE</x:v>
      </x:c>
      <x:c r="C91" s="101" t="str">
        <x:v>M-D1-03-N3</x:v>
      </x:c>
      <x:c r="D91" s="101" t="str">
        <x:v>COMPLETE</x:v>
      </x:c>
      <x:c r="E91" s="101" t="n">
        <x:v>3</x:v>
      </x:c>
      <x:c r="F91" s="101" t="str">
        <x:v>npc_livia_lens</x:v>
      </x:c>
      <x:c r="G91" s="101" t="str">
        <x:v>Livia Lens</x:v>
      </x:c>
      <x:c r="H91" s="101" t="str">
        <x:v>begeistert unter Zeitdruck</x:v>
      </x:c>
      <x:c r="I91" s="101" t="str">
        <x:v>questActive || phase==OFFER</x:v>
      </x:c>
      <x:c r="J91" s="101" t="str">
        <x:v>Drei Bilder, ein Platz, null austauschbare Posen. Die Chronik nimmt sie.</x:v>
      </x:c>
      <x:c r="K91" s="101" t="str">
        <x:v>CLOSE_HUMBLE</x:v>
      </x:c>
      <x:c r="L91" s="101" t="str">
        <x:v>Wir dokumentieren die Lösung.</x:v>
      </x:c>
      <x:c r="M91" s="101" t="str">
        <x:v>Sauber abgeschlossen.</x:v>
      </x:c>
      <x:c r="N91" s="101" t="str">
        <x:v>{"closeDialogue":true}</x:v>
      </x:c>
      <x:c r="O91" s="101" t="str">
        <x:v>OPEN_FACTS</x:v>
      </x:c>
      <x:c r="P91" s="101" t="str">
        <x:v>Was sollten wir historisch behalten?</x:v>
      </x:c>
      <x:c r="Q91" s="101" t="str">
        <x:v>Öffnet die verifizierten Fakten und Quellen dieser Quest.</x:v>
      </x:c>
      <x:c r="R91" s="101" t="str">
        <x:v>{"openFactCard":true}</x:v>
      </x:c>
      <x:c r="S91" s="101" t="str">
        <x:v>PREVIEW_REWARD</x:v>
      </x:c>
      <x:c r="T91" s="101" t="str">
        <x:v>Und was erhalten wir?</x:v>
      </x:c>
      <x:c r="U91" s="101" t="str">
        <x:v>Die Belohnungsvorschau zeigt Arbeitswerte; der Server vergibt atomar.</x:v>
      </x:c>
      <x:c r="V91" s="101" t="str">
        <x:v>{"openRewardPreview":true}</x:v>
      </x:c>
      <x:c r="W91" s="101" t="str">
        <x:v>END</x:v>
      </x:c>
      <x:c r="X91" s="101" t="str"/>
      <x:c r="Y91" s="109" t="n">
        <x:f>LEN(J91)+LEN(L91)+LEN(M91)+LEN(P91)+LEN(Q91)+LEN(T91)+LEN(U91)</x:f>
        <x:v>305</x:v>
      </x:c>
      <x:c r="Z91" s="109" t="n">
        <x:f>SUMIF($B$5:$B$124,B91,$Y$5:$Y$124)</x:f>
        <x:v>305</x:v>
      </x:c>
      <x:c r="AA91" s="101" t="str">
        <x:v>Max. 1000 Zeichen pro Interaktionssequenz; historischer Inhalt nur aus Fact-Set.</x:v>
      </x:c>
    </x:row>
    <x:row r="92" ht="88" customHeight="1">
      <x:c r="A92" s="104" t="str">
        <x:v>M-LT-01</x:v>
      </x:c>
      <x:c r="B92" s="104" t="str">
        <x:v>M-LT-01-OFFER</x:v>
      </x:c>
      <x:c r="C92" s="104" t="str">
        <x:v>M-LT-01-N1</x:v>
      </x:c>
      <x:c r="D92" s="104" t="str">
        <x:v>OFFER</x:v>
      </x:c>
      <x:c r="E92" s="104" t="n">
        <x:v>1</x:v>
      </x:c>
      <x:c r="F92" s="104" t="str">
        <x:v>npc_livia_lens</x:v>
      </x:c>
      <x:c r="G92" s="104" t="str">
        <x:v>Livia Lens</x:v>
      </x:c>
      <x:c r="H92" s="104" t="str">
        <x:v>begeistert unter Zeitdruck</x:v>
      </x:c>
      <x:c r="I92" s="104" t="str">
        <x:v>questActive || phase==OFFER</x:v>
      </x:c>
      <x:c r="J92" s="104" t="str">
        <x:v>Zwölf Bilder. Kein Text, kein Video, keine dreizehnte Ausrede. Erzählt eine Geschichte, in der jede eurer Klassen etwas tut – nicht nur am Rand herumsteht.</x:v>
      </x:c>
      <x:c r="K92" s="104" t="str">
        <x:v>ACCEPT_CHRONICLE</x:v>
      </x:c>
      <x:c r="L92" s="104" t="str">
        <x:v>Wir planen Anfang, Konflikt und Ende.</x:v>
      </x:c>
      <x:c r="M92" s="104" t="str">
        <x:v>Sehr gut. Ihr dürft Bilder später ersetzen, solange es höchstens zwölf bleiben.</x:v>
      </x:c>
      <x:c r="N92" s="104" t="str">
        <x:v>{"accept":true}</x:v>
      </x:c>
      <x:c r="O92" s="104" t="str">
        <x:v>ASK_CLASSES</x:v>
      </x:c>
      <x:c r="P92" s="104" t="str">
        <x:v>Müssen alle vier Klassen vorkommen?</x:v>
      </x:c>
      <x:c r="Q92" s="104" t="str">
        <x:v>Alle Klassen, die tatsächlich in eurem Team sind, müssen erkennbar handeln.</x:v>
      </x:c>
      <x:c r="R92" s="104" t="str">
        <x:v>{"rubricHint":true}</x:v>
      </x:c>
      <x:c r="S92" s="104" t="str">
        <x:v>JOKE_THIRTEEN</x:v>
      </x:c>
      <x:c r="T92" s="104" t="str">
        <x:v>Was passiert mit Bild dreizehn?</x:v>
      </x:c>
      <x:c r="U92" s="104" t="str">
        <x:v>Es wird von der römischen Bürokratie adoptiert und nie wieder gesehen.</x:v>
      </x:c>
      <x:c r="V92" s="104" t="str">
        <x:v>{"cosmetic":"photo_13"}</x:v>
      </x:c>
      <x:c r="W92" s="104" t="str">
        <x:v>M-LT-01-MID</x:v>
      </x:c>
      <x:c r="X92" s="104" t="str"/>
      <x:c r="Y92" s="110" t="n">
        <x:f>LEN(J92)+LEN(L92)+LEN(M92)+LEN(P92)+LEN(Q92)+LEN(T92)+LEN(U92)</x:f>
        <x:v>482</x:v>
      </x:c>
      <x:c r="Z92" s="110" t="n">
        <x:f>SUMIF($B$5:$B$124,B92,$Y$5:$Y$124)</x:f>
        <x:v>482</x:v>
      </x:c>
      <x:c r="AA92" s="104" t="str">
        <x:v>Max. 1000 Zeichen pro Interaktionssequenz; historischer Inhalt nur aus Fact-Set.</x:v>
      </x:c>
    </x:row>
    <x:row r="93" ht="88" customHeight="1">
      <x:c r="A93" s="101" t="str">
        <x:v>M-LT-01</x:v>
      </x:c>
      <x:c r="B93" s="101" t="str">
        <x:v>M-LT-01-MID</x:v>
      </x:c>
      <x:c r="C93" s="101" t="str">
        <x:v>M-LT-01-N2</x:v>
      </x:c>
      <x:c r="D93" s="101" t="str">
        <x:v>MID</x:v>
      </x:c>
      <x:c r="E93" s="101" t="n">
        <x:v>2</x:v>
      </x:c>
      <x:c r="F93" s="101" t="str">
        <x:v>npc_livia_lens</x:v>
      </x:c>
      <x:c r="G93" s="101" t="str">
        <x:v>Livia Lens</x:v>
      </x:c>
      <x:c r="H93" s="101" t="str">
        <x:v>begeistert unter Zeitdruck</x:v>
      </x:c>
      <x:c r="I93" s="101" t="str">
        <x:v>questActive || phase==OFFER</x:v>
      </x:c>
      <x:c r="J93" s="101" t="str">
        <x:v>Ein gutes Bild verändert die Lage. Ein schönes Bild ohne Funktion ist Dekoration.</x:v>
      </x:c>
      <x:c r="K93" s="101" t="str">
        <x:v>REQUEST_HINT</x:v>
      </x:c>
      <x:c r="L93" s="101" t="str">
        <x:v>Gebt uns einen Hinweis.</x:v>
      </x:c>
      <x:c r="M93" s="101" t="str">
        <x:v>Ein Hinweis grenzt ein, löst aber nicht. Öffnet Stufe eins.</x:v>
      </x:c>
      <x:c r="N93" s="101" t="str">
        <x:v>{"openHint":1}</x:v>
      </x:c>
      <x:c r="O93" s="101" t="str">
        <x:v>OPEN_OBJECTIVE</x:v>
      </x:c>
      <x:c r="P93" s="101" t="str">
        <x:v>Wir sind bereit für die Aufgabe.</x:v>
      </x:c>
      <x:c r="Q93" s="101" t="str">
        <x:v>Dann öffnet die aktuelle Interaktion und bestätigt als Team.</x:v>
      </x:c>
      <x:c r="R93" s="101" t="str">
        <x:v>{"openObjective":true}</x:v>
      </x:c>
      <x:c r="S93" s="101" t="str">
        <x:v>CHECK_FACTS</x:v>
      </x:c>
      <x:c r="T93" s="101" t="str">
        <x:v>Welche Aussagen sind belegt?</x:v>
      </x:c>
      <x:c r="U93" s="101" t="str">
        <x:v>Öffnet die Faktenkarte. Fiktionale Rahmung ist dort getrennt markiert.</x:v>
      </x:c>
      <x:c r="V93" s="101" t="str">
        <x:v>{"openFactCard":true}</x:v>
      </x:c>
      <x:c r="W93" s="101" t="str">
        <x:v>M-LT-01-COMPLETE</x:v>
      </x:c>
      <x:c r="X93" s="101" t="str"/>
      <x:c r="Y93" s="109" t="n">
        <x:f>LEN(J93)+LEN(L93)+LEN(M93)+LEN(P93)+LEN(Q93)+LEN(T93)+LEN(U93)</x:f>
        <x:v>353</x:v>
      </x:c>
      <x:c r="Z93" s="109" t="n">
        <x:f>SUMIF($B$5:$B$124,B93,$Y$5:$Y$124)</x:f>
        <x:v>353</x:v>
      </x:c>
      <x:c r="AA93" s="101" t="str">
        <x:v>Max. 1000 Zeichen pro Interaktionssequenz; historischer Inhalt nur aus Fact-Set.</x:v>
      </x:c>
    </x:row>
    <x:row r="94" ht="88" customHeight="1">
      <x:c r="A94" s="104" t="str">
        <x:v>M-LT-01</x:v>
      </x:c>
      <x:c r="B94" s="104" t="str">
        <x:v>M-LT-01-COMPLETE</x:v>
      </x:c>
      <x:c r="C94" s="104" t="str">
        <x:v>M-LT-01-N3</x:v>
      </x:c>
      <x:c r="D94" s="104" t="str">
        <x:v>COMPLETE</x:v>
      </x:c>
      <x:c r="E94" s="104" t="n">
        <x:v>3</x:v>
      </x:c>
      <x:c r="F94" s="104" t="str">
        <x:v>npc_livia_lens</x:v>
      </x:c>
      <x:c r="G94" s="104" t="str">
        <x:v>Livia Lens</x:v>
      </x:c>
      <x:c r="H94" s="104" t="str">
        <x:v>begeistert unter Zeitdruck</x:v>
      </x:c>
      <x:c r="I94" s="104" t="str">
        <x:v>questActive || phase==OFFER</x:v>
      </x:c>
      <x:c r="J94" s="104" t="str">
        <x:v>Eure zwölf Bilder haben Anfang, Wendung und Ende. Die Chronik geht zur Jury – und ich behalte das Recht auf dramatisches Nicken.</x:v>
      </x:c>
      <x:c r="K94" s="104" t="str">
        <x:v>CLOSE_HUMBLE</x:v>
      </x:c>
      <x:c r="L94" s="104" t="str">
        <x:v>Wir dokumentieren die Lösung.</x:v>
      </x:c>
      <x:c r="M94" s="104" t="str">
        <x:v>Sauber abgeschlossen.</x:v>
      </x:c>
      <x:c r="N94" s="104" t="str">
        <x:v>{"closeDialogue":true}</x:v>
      </x:c>
      <x:c r="O94" s="104" t="str">
        <x:v>OPEN_FACTS</x:v>
      </x:c>
      <x:c r="P94" s="104" t="str">
        <x:v>Was sollten wir historisch behalten?</x:v>
      </x:c>
      <x:c r="Q94" s="104" t="str">
        <x:v>Öffnet die verifizierten Fakten und Quellen dieser Quest.</x:v>
      </x:c>
      <x:c r="R94" s="104" t="str">
        <x:v>{"openFactCard":true}</x:v>
      </x:c>
      <x:c r="S94" s="104" t="str">
        <x:v>PREVIEW_REWARD</x:v>
      </x:c>
      <x:c r="T94" s="104" t="str">
        <x:v>Und was erhalten wir?</x:v>
      </x:c>
      <x:c r="U94" s="104" t="str">
        <x:v>Die Belohnungsvorschau zeigt Arbeitswerte; der Server vergibt atomar.</x:v>
      </x:c>
      <x:c r="V94" s="104" t="str">
        <x:v>{"openRewardPreview":true}</x:v>
      </x:c>
      <x:c r="W94" s="104" t="str">
        <x:v>END</x:v>
      </x:c>
      <x:c r="X94" s="104" t="str"/>
      <x:c r="Y94" s="110" t="n">
        <x:f>LEN(J94)+LEN(L94)+LEN(M94)+LEN(P94)+LEN(Q94)+LEN(T94)+LEN(U94)</x:f>
        <x:v>361</x:v>
      </x:c>
      <x:c r="Z94" s="110" t="n">
        <x:f>SUMIF($B$5:$B$124,B94,$Y$5:$Y$124)</x:f>
        <x:v>361</x:v>
      </x:c>
      <x:c r="AA94" s="104" t="str">
        <x:v>Max. 1000 Zeichen pro Interaktionssequenz; historischer Inhalt nur aus Fact-Set.</x:v>
      </x:c>
    </x:row>
    <x:row r="95" ht="88" customHeight="1">
      <x:c r="A95" s="101" t="str">
        <x:v>M-D2-01</x:v>
      </x:c>
      <x:c r="B95" s="101" t="str">
        <x:v>M-D2-01-OFFER</x:v>
      </x:c>
      <x:c r="C95" s="101" t="str">
        <x:v>M-D2-01-N1</x:v>
      </x:c>
      <x:c r="D95" s="101" t="str">
        <x:v>OFFER</x:v>
      </x:c>
      <x:c r="E95" s="101" t="n">
        <x:v>1</x:v>
      </x:c>
      <x:c r="F95" s="101" t="str">
        <x:v>npc_auriga_quinta</x:v>
      </x:c>
      <x:c r="G95" s="101" t="str">
        <x:v>Quinta Fulvia</x:v>
      </x:c>
      <x:c r="H95" s="101" t="str">
        <x:v>startbereit</x:v>
      </x:c>
      <x:c r="I95" s="101" t="str">
        <x:v>questActive || phase==OFFER</x:v>
      </x:c>
      <x:c r="J95" s="101" t="str">
        <x:v>Fünf Bilder: Start, Angriff, Wendung, Beinahe-Sturz, Sieg. Ihr rennt nicht. Die Kamera macht die Geschwindigkeit; eure Knie bleiben unhistorisch heil.</x:v>
      </x:c>
      <x:c r="K95" s="101" t="str">
        <x:v>ACCEPT_RACE</x:v>
      </x:c>
      <x:c r="L95" s="101" t="str">
        <x:v>Wir inszenieren das Rennen statisch.</x:v>
      </x:c>
      <x:c r="M95" s="101" t="str">
        <x:v>Perfekt. Positionen wechseln erst nach jeder Aufnahme.</x:v>
      </x:c>
      <x:c r="N95" s="101" t="str">
        <x:v>{"accept":true}</x:v>
      </x:c>
      <x:c r="O95" s="101" t="str">
        <x:v>ASK_DIRECTION</x:v>
      </x:c>
      <x:c r="P95" s="101" t="str">
        <x:v>Welche Richtung ist sicher?</x:v>
      </x:c>
      <x:c r="Q95" s="101" t="str">
        <x:v>Verwendet ausschließlich den im Content-Datensatz freigegebenen Korridor.</x:v>
      </x:c>
      <x:c r="R95" s="101" t="str">
        <x:v>{"safetyHint":true}</x:v>
      </x:c>
      <x:c r="S95" s="101" t="str">
        <x:v>CONDOTTIERE_CHARIOT</x:v>
      </x:c>
      <x:c r="T95" s="101" t="str">
        <x:v>[Condottiere] Ich plane die Formationsbilder.</x:v>
      </x:c>
      <x:c r="U95" s="101" t="str">
        <x:v>Dann bleibt die Formation im Bild, nicht im Weg.</x:v>
      </x:c>
      <x:c r="V95" s="101" t="str">
        <x:v>{"classCheck":"CONDOTTIERE","bonusRubric":true}</x:v>
      </x:c>
      <x:c r="W95" s="101" t="str">
        <x:v>M-D2-01-MID</x:v>
      </x:c>
      <x:c r="X95" s="101" t="str"/>
      <x:c r="Y95" s="109" t="n">
        <x:f>LEN(J95)+LEN(L95)+LEN(M95)+LEN(P95)+LEN(Q95)+LEN(T95)+LEN(U95)</x:f>
        <x:v>433</x:v>
      </x:c>
      <x:c r="Z95" s="109" t="n">
        <x:f>SUMIF($B$5:$B$124,B95,$Y$5:$Y$124)</x:f>
        <x:v>433</x:v>
      </x:c>
      <x:c r="AA95" s="101" t="str">
        <x:v>Max. 1000 Zeichen pro Interaktionssequenz; historischer Inhalt nur aus Fact-Set.</x:v>
      </x:c>
    </x:row>
    <x:row r="96" ht="88" customHeight="1">
      <x:c r="A96" s="104" t="str">
        <x:v>M-D2-01</x:v>
      </x:c>
      <x:c r="B96" s="104" t="str">
        <x:v>M-D2-01-MID</x:v>
      </x:c>
      <x:c r="C96" s="104" t="str">
        <x:v>M-D2-01-N2</x:v>
      </x:c>
      <x:c r="D96" s="104" t="str">
        <x:v>MID</x:v>
      </x:c>
      <x:c r="E96" s="104" t="n">
        <x:v>2</x:v>
      </x:c>
      <x:c r="F96" s="104" t="str">
        <x:v>npc_auriga_quinta</x:v>
      </x:c>
      <x:c r="G96" s="104" t="str">
        <x:v>Quinta Fulvia</x:v>
      </x:c>
      <x:c r="H96" s="104" t="str">
        <x:v>startbereit</x:v>
      </x:c>
      <x:c r="I96" s="104" t="str">
        <x:v>questActive || phase==OFFER</x:v>
      </x:c>
      <x:c r="J96" s="104" t="str">
        <x:v>Bild drei braucht die Wendung. Sonst ist es nur ein sehr langer Parkplatz mit Togen.</x:v>
      </x:c>
      <x:c r="K96" s="104" t="str">
        <x:v>REQUEST_HINT</x:v>
      </x:c>
      <x:c r="L96" s="104" t="str">
        <x:v>Gebt uns einen Hinweis.</x:v>
      </x:c>
      <x:c r="M96" s="104" t="str">
        <x:v>Ein Hinweis grenzt ein, löst aber nicht. Öffnet Stufe eins.</x:v>
      </x:c>
      <x:c r="N96" s="104" t="str">
        <x:v>{"openHint":1}</x:v>
      </x:c>
      <x:c r="O96" s="104" t="str">
        <x:v>OPEN_OBJECTIVE</x:v>
      </x:c>
      <x:c r="P96" s="104" t="str">
        <x:v>Wir sind bereit für die Aufgabe.</x:v>
      </x:c>
      <x:c r="Q96" s="104" t="str">
        <x:v>Dann öffnet die aktuelle Interaktion und bestätigt als Team.</x:v>
      </x:c>
      <x:c r="R96" s="104" t="str">
        <x:v>{"openObjective":true}</x:v>
      </x:c>
      <x:c r="S96" s="104" t="str">
        <x:v>CHECK_FACTS</x:v>
      </x:c>
      <x:c r="T96" s="104" t="str">
        <x:v>Welche Aussagen sind belegt?</x:v>
      </x:c>
      <x:c r="U96" s="104" t="str">
        <x:v>Öffnet die Faktenkarte. Fiktionale Rahmung ist dort getrennt markiert.</x:v>
      </x:c>
      <x:c r="V96" s="104" t="str">
        <x:v>{"openFactCard":true}</x:v>
      </x:c>
      <x:c r="W96" s="104" t="str">
        <x:v>M-D2-01-COMPLETE</x:v>
      </x:c>
      <x:c r="X96" s="104" t="str"/>
      <x:c r="Y96" s="110" t="n">
        <x:f>LEN(J96)+LEN(L96)+LEN(M96)+LEN(P96)+LEN(Q96)+LEN(T96)+LEN(U96)</x:f>
        <x:v>356</x:v>
      </x:c>
      <x:c r="Z96" s="110" t="n">
        <x:f>SUMIF($B$5:$B$124,B96,$Y$5:$Y$124)</x:f>
        <x:v>356</x:v>
      </x:c>
      <x:c r="AA96" s="104" t="str">
        <x:v>Max. 1000 Zeichen pro Interaktionssequenz; historischer Inhalt nur aus Fact-Set.</x:v>
      </x:c>
    </x:row>
    <x:row r="97" ht="88" customHeight="1">
      <x:c r="A97" s="101" t="str">
        <x:v>M-D2-01</x:v>
      </x:c>
      <x:c r="B97" s="101" t="str">
        <x:v>M-D2-01-COMPLETE</x:v>
      </x:c>
      <x:c r="C97" s="101" t="str">
        <x:v>M-D2-01-N3</x:v>
      </x:c>
      <x:c r="D97" s="101" t="str">
        <x:v>COMPLETE</x:v>
      </x:c>
      <x:c r="E97" s="101" t="n">
        <x:v>3</x:v>
      </x:c>
      <x:c r="F97" s="101" t="str">
        <x:v>npc_auriga_quinta</x:v>
      </x:c>
      <x:c r="G97" s="101" t="str">
        <x:v>Quinta Fulvia</x:v>
      </x:c>
      <x:c r="H97" s="101" t="str">
        <x:v>startbereit</x:v>
      </x:c>
      <x:c r="I97" s="101" t="str">
        <x:v>questActive || phase==OFFER</x:v>
      </x:c>
      <x:c r="J97" s="101" t="str">
        <x:v>Exakt fünf. Dramatisch, lesbar, niemand überfahren. Das nenne ich einen Sieg.</x:v>
      </x:c>
      <x:c r="K97" s="101" t="str">
        <x:v>CLOSE_HUMBLE</x:v>
      </x:c>
      <x:c r="L97" s="101" t="str">
        <x:v>Wir dokumentieren die Lösung.</x:v>
      </x:c>
      <x:c r="M97" s="101" t="str">
        <x:v>Sauber abgeschlossen.</x:v>
      </x:c>
      <x:c r="N97" s="101" t="str">
        <x:v>{"closeDialogue":true}</x:v>
      </x:c>
      <x:c r="O97" s="101" t="str">
        <x:v>OPEN_FACTS</x:v>
      </x:c>
      <x:c r="P97" s="101" t="str">
        <x:v>Was sollten wir historisch behalten?</x:v>
      </x:c>
      <x:c r="Q97" s="101" t="str">
        <x:v>Öffnet die verifizierten Fakten und Quellen dieser Quest.</x:v>
      </x:c>
      <x:c r="R97" s="101" t="str">
        <x:v>{"openFactCard":true}</x:v>
      </x:c>
      <x:c r="S97" s="101" t="str">
        <x:v>PREVIEW_REWARD</x:v>
      </x:c>
      <x:c r="T97" s="101" t="str">
        <x:v>Und was erhalten wir?</x:v>
      </x:c>
      <x:c r="U97" s="101" t="str">
        <x:v>Die Belohnungsvorschau zeigt Arbeitswerte; der Server vergibt atomar.</x:v>
      </x:c>
      <x:c r="V97" s="101" t="str">
        <x:v>{"openRewardPreview":true}</x:v>
      </x:c>
      <x:c r="W97" s="101" t="str">
        <x:v>END</x:v>
      </x:c>
      <x:c r="X97" s="101" t="str"/>
      <x:c r="Y97" s="109" t="n">
        <x:f>LEN(J97)+LEN(L97)+LEN(M97)+LEN(P97)+LEN(Q97)+LEN(T97)+LEN(U97)</x:f>
        <x:v>310</x:v>
      </x:c>
      <x:c r="Z97" s="109" t="n">
        <x:f>SUMIF($B$5:$B$124,B97,$Y$5:$Y$124)</x:f>
        <x:v>310</x:v>
      </x:c>
      <x:c r="AA97" s="101" t="str">
        <x:v>Max. 1000 Zeichen pro Interaktionssequenz; historischer Inhalt nur aus Fact-Set.</x:v>
      </x:c>
    </x:row>
    <x:row r="98" ht="88" customHeight="1">
      <x:c r="A98" s="104" t="str">
        <x:v>M-D2-02</x:v>
      </x:c>
      <x:c r="B98" s="104" t="str">
        <x:v>M-D2-02-OFFER</x:v>
      </x:c>
      <x:c r="C98" s="104" t="str">
        <x:v>M-D2-02-N1</x:v>
      </x:c>
      <x:c r="D98" s="104" t="str">
        <x:v>OFFER</x:v>
      </x:c>
      <x:c r="E98" s="104" t="n">
        <x:v>1</x:v>
      </x:c>
      <x:c r="F98" s="104" t="str">
        <x:v>npc_lanista_felix</x:v>
      </x:c>
      <x:c r="G98" s="104" t="str">
        <x:v>Lanista Felix</x:v>
      </x:c>
      <x:c r="H98" s="104" t="str">
        <x:v>kampflustig</x:v>
      </x:c>
      <x:c r="I98" s="104" t="str">
        <x:v>questActive || phase==OFFER</x:v>
      </x:c>
      <x:c r="J98" s="104" t="str">
        <x:v>Drei Bilder. Herausforderung, Wendepunkt, Gnade. Keine echten Schläge; wer Realismus mit blauen Flecken verwechselt, trainiert bei den Tauben.</x:v>
      </x:c>
      <x:c r="K98" s="104" t="str">
        <x:v>ACCEPT_GLADIATOR</x:v>
      </x:c>
      <x:c r="L98" s="104" t="str">
        <x:v>Wir arbeiten mit statischen Posen.</x:v>
      </x:c>
      <x:c r="M98" s="104" t="str">
        <x:v>Genehmigt.</x:v>
      </x:c>
      <x:c r="N98" s="104" t="str">
        <x:v>{"accept":true}</x:v>
      </x:c>
      <x:c r="O98" s="104" t="str">
        <x:v>ASK_PROPS</x:v>
      </x:c>
      <x:c r="P98" s="104" t="str">
        <x:v>Dürfen wir Requisiten verwenden?</x:v>
      </x:c>
      <x:c r="Q98" s="104" t="str">
        <x:v>Nur weiche, ungefährliche Gegenstände; keine realistischen Waffen.</x:v>
      </x:c>
      <x:c r="R98" s="104" t="str">
        <x:v>{"safetyHint":true}</x:v>
      </x:c>
      <x:c r="S98" s="104" t="str">
        <x:v>SWISS_GUARD_STANCE</x:v>
      </x:c>
      <x:c r="T98" s="104" t="str">
        <x:v>[Schweizergarde] Ich zeige eine defensive Haltung.</x:v>
      </x:c>
      <x:c r="U98" s="104" t="str">
        <x:v>Statisch, kontrolliert, sehr fotogen.</x:v>
      </x:c>
      <x:c r="V98" s="104" t="str">
        <x:v>{"classCheck":"SWISS_GUARD","bonusRubric":true}</x:v>
      </x:c>
      <x:c r="W98" s="104" t="str">
        <x:v>M-D2-02-MID</x:v>
      </x:c>
      <x:c r="X98" s="104" t="str"/>
      <x:c r="Y98" s="110" t="n">
        <x:f>LEN(J98)+LEN(L98)+LEN(M98)+LEN(P98)+LEN(Q98)+LEN(T98)+LEN(U98)</x:f>
        <x:v>371</x:v>
      </x:c>
      <x:c r="Z98" s="110" t="n">
        <x:f>SUMIF($B$5:$B$124,B98,$Y$5:$Y$124)</x:f>
        <x:v>371</x:v>
      </x:c>
      <x:c r="AA98" s="104" t="str">
        <x:v>Max. 1000 Zeichen pro Interaktionssequenz; historischer Inhalt nur aus Fact-Set.</x:v>
      </x:c>
    </x:row>
    <x:row r="99" ht="88" customHeight="1">
      <x:c r="A99" s="101" t="str">
        <x:v>M-D2-02</x:v>
      </x:c>
      <x:c r="B99" s="101" t="str">
        <x:v>M-D2-02-MID</x:v>
      </x:c>
      <x:c r="C99" s="101" t="str">
        <x:v>M-D2-02-N2</x:v>
      </x:c>
      <x:c r="D99" s="101" t="str">
        <x:v>MID</x:v>
      </x:c>
      <x:c r="E99" s="101" t="n">
        <x:v>2</x:v>
      </x:c>
      <x:c r="F99" s="101" t="str">
        <x:v>npc_lanista_felix</x:v>
      </x:c>
      <x:c r="G99" s="101" t="str">
        <x:v>Lanista Felix</x:v>
      </x:c>
      <x:c r="H99" s="101" t="str">
        <x:v>kampflustig</x:v>
      </x:c>
      <x:c r="I99" s="101" t="str">
        <x:v>questActive || phase==OFFER</x:v>
      </x:c>
      <x:c r="J99" s="101" t="str">
        <x:v>Die stärkste Pose hält still. Die schwächste braucht zehn Anläufe und blockiert den Weg.</x:v>
      </x:c>
      <x:c r="K99" s="101" t="str">
        <x:v>REQUEST_HINT</x:v>
      </x:c>
      <x:c r="L99" s="101" t="str">
        <x:v>Gebt uns einen Hinweis.</x:v>
      </x:c>
      <x:c r="M99" s="101" t="str">
        <x:v>Ein Hinweis grenzt ein, löst aber nicht. Öffnet Stufe eins.</x:v>
      </x:c>
      <x:c r="N99" s="101" t="str">
        <x:v>{"openHint":1}</x:v>
      </x:c>
      <x:c r="O99" s="101" t="str">
        <x:v>OPEN_OBJECTIVE</x:v>
      </x:c>
      <x:c r="P99" s="101" t="str">
        <x:v>Wir sind bereit für die Aufgabe.</x:v>
      </x:c>
      <x:c r="Q99" s="101" t="str">
        <x:v>Dann öffnet die aktuelle Interaktion und bestätigt als Team.</x:v>
      </x:c>
      <x:c r="R99" s="101" t="str">
        <x:v>{"openObjective":true}</x:v>
      </x:c>
      <x:c r="S99" s="101" t="str">
        <x:v>CHECK_FACTS</x:v>
      </x:c>
      <x:c r="T99" s="101" t="str">
        <x:v>Welche Aussagen sind belegt?</x:v>
      </x:c>
      <x:c r="U99" s="101" t="str">
        <x:v>Öffnet die Faktenkarte. Fiktionale Rahmung ist dort getrennt markiert.</x:v>
      </x:c>
      <x:c r="V99" s="101" t="str">
        <x:v>{"openFactCard":true}</x:v>
      </x:c>
      <x:c r="W99" s="101" t="str">
        <x:v>M-D2-02-COMPLETE</x:v>
      </x:c>
      <x:c r="X99" s="101" t="str"/>
      <x:c r="Y99" s="109" t="n">
        <x:f>LEN(J99)+LEN(L99)+LEN(M99)+LEN(P99)+LEN(Q99)+LEN(T99)+LEN(U99)</x:f>
        <x:v>360</x:v>
      </x:c>
      <x:c r="Z99" s="109" t="n">
        <x:f>SUMIF($B$5:$B$124,B99,$Y$5:$Y$124)</x:f>
        <x:v>360</x:v>
      </x:c>
      <x:c r="AA99" s="101" t="str">
        <x:v>Max. 1000 Zeichen pro Interaktionssequenz; historischer Inhalt nur aus Fact-Set.</x:v>
      </x:c>
    </x:row>
    <x:row r="100" ht="88" customHeight="1">
      <x:c r="A100" s="104" t="str">
        <x:v>M-D2-02</x:v>
      </x:c>
      <x:c r="B100" s="104" t="str">
        <x:v>M-D2-02-COMPLETE</x:v>
      </x:c>
      <x:c r="C100" s="104" t="str">
        <x:v>M-D2-02-N3</x:v>
      </x:c>
      <x:c r="D100" s="104" t="str">
        <x:v>COMPLETE</x:v>
      </x:c>
      <x:c r="E100" s="104" t="n">
        <x:v>3</x:v>
      </x:c>
      <x:c r="F100" s="104" t="str">
        <x:v>npc_lanista_felix</x:v>
      </x:c>
      <x:c r="G100" s="104" t="str">
        <x:v>Lanista Felix</x:v>
      </x:c>
      <x:c r="H100" s="104" t="str">
        <x:v>kampflustig</x:v>
      </x:c>
      <x:c r="I100" s="104" t="str">
        <x:v>questActive || phase==OFFER</x:v>
      </x:c>
      <x:c r="J100" s="104" t="str">
        <x:v>Guter Kampf: klare Geschichte, niemand verletzt, Kolosseum noch da.</x:v>
      </x:c>
      <x:c r="K100" s="104" t="str">
        <x:v>CLOSE_HUMBLE</x:v>
      </x:c>
      <x:c r="L100" s="104" t="str">
        <x:v>Wir dokumentieren die Lösung.</x:v>
      </x:c>
      <x:c r="M100" s="104" t="str">
        <x:v>Sauber abgeschlossen.</x:v>
      </x:c>
      <x:c r="N100" s="104" t="str">
        <x:v>{"closeDialogue":true}</x:v>
      </x:c>
      <x:c r="O100" s="104" t="str">
        <x:v>OPEN_FACTS</x:v>
      </x:c>
      <x:c r="P100" s="104" t="str">
        <x:v>Was sollten wir historisch behalten?</x:v>
      </x:c>
      <x:c r="Q100" s="104" t="str">
        <x:v>Öffnet die verifizierten Fakten und Quellen dieser Quest.</x:v>
      </x:c>
      <x:c r="R100" s="104" t="str">
        <x:v>{"openFactCard":true}</x:v>
      </x:c>
      <x:c r="S100" s="104" t="str">
        <x:v>PREVIEW_REWARD</x:v>
      </x:c>
      <x:c r="T100" s="104" t="str">
        <x:v>Und was erhalten wir?</x:v>
      </x:c>
      <x:c r="U100" s="104" t="str">
        <x:v>Die Belohnungsvorschau zeigt Arbeitswerte; der Server vergibt atomar.</x:v>
      </x:c>
      <x:c r="V100" s="104" t="str">
        <x:v>{"openRewardPreview":true}</x:v>
      </x:c>
      <x:c r="W100" s="104" t="str">
        <x:v>END</x:v>
      </x:c>
      <x:c r="X100" s="104" t="str"/>
      <x:c r="Y100" s="110" t="n">
        <x:f>LEN(J100)+LEN(L100)+LEN(M100)+LEN(P100)+LEN(Q100)+LEN(T100)+LEN(U100)</x:f>
        <x:v>300</x:v>
      </x:c>
      <x:c r="Z100" s="110" t="n">
        <x:f>SUMIF($B$5:$B$124,B100,$Y$5:$Y$124)</x:f>
        <x:v>300</x:v>
      </x:c>
      <x:c r="AA100" s="104" t="str">
        <x:v>Max. 1000 Zeichen pro Interaktionssequenz; historischer Inhalt nur aus Fact-Set.</x:v>
      </x:c>
    </x:row>
    <x:row r="101" ht="88" customHeight="1">
      <x:c r="A101" s="101" t="str">
        <x:v>M-D2-03</x:v>
      </x:c>
      <x:c r="B101" s="101" t="str">
        <x:v>M-D2-03-OFFER</x:v>
      </x:c>
      <x:c r="C101" s="101" t="str">
        <x:v>M-D2-03-N1</x:v>
      </x:c>
      <x:c r="D101" s="101" t="str">
        <x:v>OFFER</x:v>
      </x:c>
      <x:c r="E101" s="101" t="n">
        <x:v>1</x:v>
      </x:c>
      <x:c r="F101" s="101" t="str">
        <x:v>npc_mercator_minimus</x:v>
      </x:c>
      <x:c r="G101" s="101" t="str">
        <x:v>Mercator Minimus</x:v>
      </x:c>
      <x:c r="H101" s="101" t="str">
        <x:v>skeptisch neugierig</x:v>
      </x:c>
      <x:c r="I101" s="101" t="str">
        <x:v>questActive || phase==OFFER</x:v>
      </x:c>
      <x:c r="J101" s="101" t="str">
        <x:v>Verkauft mir ein Souvenir, das höchstens fünf Euro kostet. Euer Review dauert 30 bis 60 Sekunden: Aufnahme startet erst mit eurem Kamerabefehl, stoppt bei 60 automatisch, und ein zu kurzer Versuch darf wiederholt werden. Nennt Nutzen, schlimmste Eigenschaft und ein Urteil, das auch nach Gelato noch gilt.</x:v>
      </x:c>
      <x:c r="K101" s="101" t="str">
        <x:v>ACCEPT_REVIEW</x:v>
      </x:c>
      <x:c r="L101" s="101" t="str">
        <x:v>Wir liefern ein ehrliches Kurzreview.</x:v>
      </x:c>
      <x:c r="M101" s="101" t="str">
        <x:v>Dann zeigt den Gegenstand und bleibt unter sechzig Sekunden.</x:v>
      </x:c>
      <x:c r="N101" s="101" t="str">
        <x:v>{"accept":true}</x:v>
      </x:c>
      <x:c r="O101" s="101" t="str">
        <x:v>ASK_PURCHASE</x:v>
      </x:c>
      <x:c r="P101" s="101" t="str">
        <x:v>Müssen wir hier kaufen?</x:v>
      </x:c>
      <x:c r="Q101" s="101" t="str">
        <x:v>Nein. Kauf beliebig vorher; nur Aufnahme und Upload erfolgen hier.</x:v>
      </x:c>
      <x:c r="R101" s="101" t="str">
        <x:v>{"ruleHint":true}</x:v>
      </x:c>
      <x:c r="S101" s="101" t="str">
        <x:v>JOKE_FIVE</x:v>
      </x:c>
      <x:c r="T101" s="101" t="str">
        <x:v>Was ist mit 5,01 Euro?</x:v>
      </x:c>
      <x:c r="U101" s="101" t="str">
        <x:v>Wirtschaftskrise. Unzulässig.</x:v>
      </x:c>
      <x:c r="V101" s="101" t="str">
        <x:v>{"cosmetic":"price_joke"}</x:v>
      </x:c>
      <x:c r="W101" s="101" t="str">
        <x:v>M-D2-03-MID</x:v>
      </x:c>
      <x:c r="X101" s="101" t="str"/>
      <x:c r="Y101" s="109" t="n">
        <x:f>LEN(J101)+LEN(L101)+LEN(M101)+LEN(P101)+LEN(Q101)+LEN(T101)+LEN(U101)</x:f>
        <x:v>542</x:v>
      </x:c>
      <x:c r="Z101" s="109" t="n">
        <x:f>SUMIF($B$5:$B$124,B101,$Y$5:$Y$124)</x:f>
        <x:v>542</x:v>
      </x:c>
      <x:c r="AA101" s="101" t="str">
        <x:v>Max. 1000 Zeichen pro Interaktionssequenz; historischer Inhalt nur aus Fact-Set.</x:v>
      </x:c>
    </x:row>
    <x:row r="102" ht="88" customHeight="1">
      <x:c r="A102" s="104" t="str">
        <x:v>M-D2-03</x:v>
      </x:c>
      <x:c r="B102" s="104" t="str">
        <x:v>M-D2-03-MID</x:v>
      </x:c>
      <x:c r="C102" s="104" t="str">
        <x:v>M-D2-03-N2</x:v>
      </x:c>
      <x:c r="D102" s="104" t="str">
        <x:v>MID</x:v>
      </x:c>
      <x:c r="E102" s="104" t="n">
        <x:v>2</x:v>
      </x:c>
      <x:c r="F102" s="104" t="str">
        <x:v>npc_mercator_minimus</x:v>
      </x:c>
      <x:c r="G102" s="104" t="str">
        <x:v>Mercator Minimus</x:v>
      </x:c>
      <x:c r="H102" s="104" t="str">
        <x:v>skeptisch neugierig</x:v>
      </x:c>
      <x:c r="I102" s="104" t="str">
        <x:v>questActive || phase==OFFER</x:v>
      </x:c>
      <x:c r="J102" s="104" t="str">
        <x:v>Ein Preis ohne Gegenstand ist Gerücht. Ein Review ohne Kritik ist Werbung. Drückt erst AUFNAHME, wenn Gegenstand und Sprecher bereit sind; ab dann läuft die Minute.</x:v>
      </x:c>
      <x:c r="K102" s="104" t="str">
        <x:v>REQUEST_HINT</x:v>
      </x:c>
      <x:c r="L102" s="104" t="str">
        <x:v>Gebt uns einen Hinweis.</x:v>
      </x:c>
      <x:c r="M102" s="104" t="str">
        <x:v>Ein Hinweis grenzt ein, löst aber nicht. Öffnet Stufe eins.</x:v>
      </x:c>
      <x:c r="N102" s="104" t="str">
        <x:v>{"openHint":1}</x:v>
      </x:c>
      <x:c r="O102" s="104" t="str">
        <x:v>START_REVIEW_TIMER</x:v>
      </x:c>
      <x:c r="P102" s="104" t="str">
        <x:v>Gegenstand und Sprecher sind bereit: Aufnahme.</x:v>
      </x:c>
      <x:c r="Q102" s="104" t="str">
        <x:v>Die Minute läuft nach Serverbestätigung; bei 60 Sekunden stoppt die Kamera. Unter 30 Sekunden dürft ihr neu aufnehmen.</x:v>
      </x:c>
      <x:c r="R102" s="104" t="str">
        <x:v>{"startTimer":"TMR-M-D2-03-S05","openObjective":true}</x:v>
      </x:c>
      <x:c r="S102" s="104" t="str">
        <x:v>CHECK_FACTS</x:v>
      </x:c>
      <x:c r="T102" s="104" t="str">
        <x:v>Welche Aussagen sind belegt?</x:v>
      </x:c>
      <x:c r="U102" s="104" t="str">
        <x:v>Öffnet die Faktenkarte. Fiktionale Rahmung ist dort getrennt markiert.</x:v>
      </x:c>
      <x:c r="V102" s="104" t="str">
        <x:v>{"openFactCard":true}</x:v>
      </x:c>
      <x:c r="W102" s="104" t="str">
        <x:v>M-D2-03-COMPLETE</x:v>
      </x:c>
      <x:c r="X102" s="104" t="str"/>
      <x:c r="Y102" s="110" t="n">
        <x:f>LEN(J102)+LEN(L102)+LEN(M102)+LEN(P102)+LEN(Q102)+LEN(T102)+LEN(U102)</x:f>
        <x:v>508</x:v>
      </x:c>
      <x:c r="Z102" s="110" t="n">
        <x:f>SUMIF($B$5:$B$124,B102,$Y$5:$Y$124)</x:f>
        <x:v>508</x:v>
      </x:c>
      <x:c r="AA102" s="104" t="str">
        <x:v>Max. 1000 Zeichen pro Interaktionssequenz; historischer Inhalt nur aus Fact-Set.</x:v>
      </x:c>
    </x:row>
    <x:row r="103" ht="88" customHeight="1">
      <x:c r="A103" s="101" t="str">
        <x:v>M-D2-03</x:v>
      </x:c>
      <x:c r="B103" s="101" t="str">
        <x:v>M-D2-03-COMPLETE</x:v>
      </x:c>
      <x:c r="C103" s="101" t="str">
        <x:v>M-D2-03-N3</x:v>
      </x:c>
      <x:c r="D103" s="101" t="str">
        <x:v>COMPLETE</x:v>
      </x:c>
      <x:c r="E103" s="101" t="n">
        <x:v>3</x:v>
      </x:c>
      <x:c r="F103" s="101" t="str">
        <x:v>npc_mercator_minimus</x:v>
      </x:c>
      <x:c r="G103" s="101" t="str">
        <x:v>Mercator Minimus</x:v>
      </x:c>
      <x:c r="H103" s="101" t="str">
        <x:v>skeptisch neugierig</x:v>
      </x:c>
      <x:c r="I103" s="101" t="str">
        <x:v>questActive || phase==OFFER</x:v>
      </x:c>
      <x:c r="J103" s="101" t="str">
        <x:v>Kurz, ehrlich, unterhaltsam. Ich würde es kaufen – oder zumindest sehr überzeugend nicht kaufen.</x:v>
      </x:c>
      <x:c r="K103" s="101" t="str">
        <x:v>CLOSE_HUMBLE</x:v>
      </x:c>
      <x:c r="L103" s="101" t="str">
        <x:v>Wir dokumentieren die Lösung.</x:v>
      </x:c>
      <x:c r="M103" s="101" t="str">
        <x:v>Sauber abgeschlossen.</x:v>
      </x:c>
      <x:c r="N103" s="101" t="str">
        <x:v>{"closeDialogue":true}</x:v>
      </x:c>
      <x:c r="O103" s="101" t="str">
        <x:v>OPEN_FACTS</x:v>
      </x:c>
      <x:c r="P103" s="101" t="str">
        <x:v>Was sollten wir historisch behalten?</x:v>
      </x:c>
      <x:c r="Q103" s="101" t="str">
        <x:v>Öffnet die verifizierten Fakten und Quellen dieser Quest.</x:v>
      </x:c>
      <x:c r="R103" s="101" t="str">
        <x:v>{"openFactCard":true}</x:v>
      </x:c>
      <x:c r="S103" s="101" t="str">
        <x:v>PREVIEW_REWARD</x:v>
      </x:c>
      <x:c r="T103" s="101" t="str">
        <x:v>Und was erhalten wir?</x:v>
      </x:c>
      <x:c r="U103" s="101" t="str">
        <x:v>Die Belohnungsvorschau zeigt Arbeitswerte; der Server vergibt atomar.</x:v>
      </x:c>
      <x:c r="V103" s="101" t="str">
        <x:v>{"openRewardPreview":true}</x:v>
      </x:c>
      <x:c r="W103" s="101" t="str">
        <x:v>END</x:v>
      </x:c>
      <x:c r="X103" s="101" t="str"/>
      <x:c r="Y103" s="109" t="n">
        <x:f>LEN(J103)+LEN(L103)+LEN(M103)+LEN(P103)+LEN(Q103)+LEN(T103)+LEN(U103)</x:f>
        <x:v>329</x:v>
      </x:c>
      <x:c r="Z103" s="109" t="n">
        <x:f>SUMIF($B$5:$B$124,B103,$Y$5:$Y$124)</x:f>
        <x:v>329</x:v>
      </x:c>
      <x:c r="AA103" s="101" t="str">
        <x:v>Max. 1000 Zeichen pro Interaktionssequenz; historischer Inhalt nur aus Fact-Set.</x:v>
      </x:c>
    </x:row>
    <x:row r="104" ht="88" customHeight="1">
      <x:c r="A104" s="104" t="str">
        <x:v>H-D1-01</x:v>
      </x:c>
      <x:c r="B104" s="104" t="str">
        <x:v>H-D1-01-OFFER</x:v>
      </x:c>
      <x:c r="C104" s="104" t="str">
        <x:v>H-D1-01-N1</x:v>
      </x:c>
      <x:c r="D104" s="104" t="str">
        <x:v>OFFER</x:v>
      </x:c>
      <x:c r="E104" s="104" t="n">
        <x:v>1</x:v>
      </x:c>
      <x:c r="F104" s="104" t="str">
        <x:v>npc_tartaruga_quarta</x:v>
      </x:c>
      <x:c r="G104" s="104" t="str">
        <x:v>Die vierte Schildkröte</x:v>
      </x:c>
      <x:c r="H104" s="104" t="str">
        <x:v>misstrauisch verschlafen</x:v>
      </x:c>
      <x:c r="I104" s="104" t="str">
        <x:v>questActive || phase==OFFER</x:v>
      </x:c>
      <x:c r="J104" s="104" t="str">
        <x:v>Vier sind sichtbar. Eine davon beobachtet zurück. Zählt – langsam genug, dass ihr nicht dieselbe zweimal nehmt.</x:v>
      </x:c>
      <x:c r="K104" s="104" t="str">
        <x:v>ACCEPT_TURTLE</x:v>
      </x:c>
      <x:c r="L104" s="104" t="str">
        <x:v>Wir zählen genau.</x:v>
      </x:c>
      <x:c r="M104" s="104" t="str">
        <x:v>Ich warte. Das kann ich.</x:v>
      </x:c>
      <x:c r="N104" s="104" t="str">
        <x:v>{"accept":true}</x:v>
      </x:c>
      <x:c r="O104" s="104" t="str">
        <x:v>ASK_FIGHT</x:v>
      </x:c>
      <x:c r="P104" s="104" t="str">
        <x:v>Müssen wir kämpfen?</x:v>
      </x:c>
      <x:c r="Q104" s="104" t="str">
        <x:v>Nur virtuell. Der Platz bleibt ruhig.</x:v>
      </x:c>
      <x:c r="R104" s="104" t="str">
        <x:v>{"combatHint":true}</x:v>
      </x:c>
      <x:c r="S104" s="104" t="str">
        <x:v>JOKE_FAST</x:v>
      </x:c>
      <x:c r="T104" s="104" t="str">
        <x:v>Bist du die schnellste?</x:v>
      </x:c>
      <x:c r="U104" s="104" t="str">
        <x:v>Im Vergleich zu den anderen drei: erschreckend.</x:v>
      </x:c>
      <x:c r="V104" s="104" t="str">
        <x:v>{"cosmetic":"fast_turtle"}</x:v>
      </x:c>
      <x:c r="W104" s="104" t="str">
        <x:v>H-D1-01-MID</x:v>
      </x:c>
      <x:c r="X104" s="104" t="str"/>
      <x:c r="Y104" s="110" t="n">
        <x:f>LEN(J104)+LEN(L104)+LEN(M104)+LEN(P104)+LEN(Q104)+LEN(T104)+LEN(U104)</x:f>
        <x:v>278</x:v>
      </x:c>
      <x:c r="Z104" s="110" t="n">
        <x:f>SUMIF($B$5:$B$124,B104,$Y$5:$Y$124)</x:f>
        <x:v>278</x:v>
      </x:c>
      <x:c r="AA104" s="104" t="str">
        <x:v>Max. 1000 Zeichen pro Interaktionssequenz; historischer Inhalt nur aus Fact-Set.</x:v>
      </x:c>
    </x:row>
    <x:row r="105" ht="88" customHeight="1">
      <x:c r="A105" s="101" t="str">
        <x:v>H-D1-01</x:v>
      </x:c>
      <x:c r="B105" s="101" t="str">
        <x:v>H-D1-01-MID</x:v>
      </x:c>
      <x:c r="C105" s="101" t="str">
        <x:v>H-D1-01-N2</x:v>
      </x:c>
      <x:c r="D105" s="101" t="str">
        <x:v>MID</x:v>
      </x:c>
      <x:c r="E105" s="101" t="n">
        <x:v>2</x:v>
      </x:c>
      <x:c r="F105" s="101" t="str">
        <x:v>npc_tartaruga_quarta</x:v>
      </x:c>
      <x:c r="G105" s="101" t="str">
        <x:v>Die vierte Schildkröte</x:v>
      </x:c>
      <x:c r="H105" s="101" t="str">
        <x:v>misstrauisch verschlafen</x:v>
      </x:c>
      <x:c r="I105" s="101" t="str">
        <x:v>questActive || phase==OFFER</x:v>
      </x:c>
      <x:c r="J105" s="101" t="str">
        <x:v>Richtig. Nun beweist, dass Schnelligkeit nicht nur beim Tippen existiert.</x:v>
      </x:c>
      <x:c r="K105" s="101" t="str">
        <x:v>REQUEST_HINT</x:v>
      </x:c>
      <x:c r="L105" s="101" t="str">
        <x:v>Gebt uns einen Hinweis.</x:v>
      </x:c>
      <x:c r="M105" s="101" t="str">
        <x:v>Ein Hinweis grenzt ein, löst aber nicht. Öffnet Stufe eins.</x:v>
      </x:c>
      <x:c r="N105" s="101" t="str">
        <x:v>{"openHint":1}</x:v>
      </x:c>
      <x:c r="O105" s="101" t="str">
        <x:v>OPEN_OBJECTIVE</x:v>
      </x:c>
      <x:c r="P105" s="101" t="str">
        <x:v>Wir sind bereit für die Aufgabe.</x:v>
      </x:c>
      <x:c r="Q105" s="101" t="str">
        <x:v>Dann öffnet die aktuelle Interaktion und bestätigt als Team.</x:v>
      </x:c>
      <x:c r="R105" s="101" t="str">
        <x:v>{"openObjective":true}</x:v>
      </x:c>
      <x:c r="S105" s="101" t="str">
        <x:v>CHECK_FACTS</x:v>
      </x:c>
      <x:c r="T105" s="101" t="str">
        <x:v>Welche Aussagen sind belegt?</x:v>
      </x:c>
      <x:c r="U105" s="101" t="str">
        <x:v>Öffnet die Faktenkarte. Fiktionale Rahmung ist dort getrennt markiert.</x:v>
      </x:c>
      <x:c r="V105" s="101" t="str">
        <x:v>{"openFactCard":true}</x:v>
      </x:c>
      <x:c r="W105" s="101" t="str">
        <x:v>H-D1-01-COMPLETE</x:v>
      </x:c>
      <x:c r="X105" s="101" t="str"/>
      <x:c r="Y105" s="109" t="n">
        <x:f>LEN(J105)+LEN(L105)+LEN(M105)+LEN(P105)+LEN(Q105)+LEN(T105)+LEN(U105)</x:f>
        <x:v>345</x:v>
      </x:c>
      <x:c r="Z105" s="109" t="n">
        <x:f>SUMIF($B$5:$B$124,B105,$Y$5:$Y$124)</x:f>
        <x:v>345</x:v>
      </x:c>
      <x:c r="AA105" s="101" t="str">
        <x:v>Max. 1000 Zeichen pro Interaktionssequenz; historischer Inhalt nur aus Fact-Set.</x:v>
      </x:c>
    </x:row>
    <x:row r="106" ht="88" customHeight="1">
      <x:c r="A106" s="104" t="str">
        <x:v>H-D1-01</x:v>
      </x:c>
      <x:c r="B106" s="104" t="str">
        <x:v>H-D1-01-COMPLETE</x:v>
      </x:c>
      <x:c r="C106" s="104" t="str">
        <x:v>H-D1-01-N3</x:v>
      </x:c>
      <x:c r="D106" s="104" t="str">
        <x:v>COMPLETE</x:v>
      </x:c>
      <x:c r="E106" s="104" t="n">
        <x:v>3</x:v>
      </x:c>
      <x:c r="F106" s="104" t="str">
        <x:v>npc_tartaruga_quarta</x:v>
      </x:c>
      <x:c r="G106" s="104" t="str">
        <x:v>Die vierte Schildkröte</x:v>
      </x:c>
      <x:c r="H106" s="104" t="str">
        <x:v>misstrauisch verschlafen</x:v>
      </x:c>
      <x:c r="I106" s="104" t="str">
        <x:v>questActive || phase==OFFER</x:v>
      </x:c>
      <x:c r="J106" s="104" t="str">
        <x:v>Akzeptabel. Für Wesen ohne Panzer sogar bemerkenswert.</x:v>
      </x:c>
      <x:c r="K106" s="104" t="str">
        <x:v>CLOSE_HUMBLE</x:v>
      </x:c>
      <x:c r="L106" s="104" t="str">
        <x:v>Wir dokumentieren die Lösung.</x:v>
      </x:c>
      <x:c r="M106" s="104" t="str">
        <x:v>Sauber abgeschlossen.</x:v>
      </x:c>
      <x:c r="N106" s="104" t="str">
        <x:v>{"closeDialogue":true}</x:v>
      </x:c>
      <x:c r="O106" s="104" t="str">
        <x:v>OPEN_FACTS</x:v>
      </x:c>
      <x:c r="P106" s="104" t="str">
        <x:v>Was sollten wir historisch behalten?</x:v>
      </x:c>
      <x:c r="Q106" s="104" t="str">
        <x:v>Öffnet die verifizierten Fakten und Quellen dieser Quest.</x:v>
      </x:c>
      <x:c r="R106" s="104" t="str">
        <x:v>{"openFactCard":true}</x:v>
      </x:c>
      <x:c r="S106" s="104" t="str">
        <x:v>PREVIEW_REWARD</x:v>
      </x:c>
      <x:c r="T106" s="104" t="str">
        <x:v>Und was erhalten wir?</x:v>
      </x:c>
      <x:c r="U106" s="104" t="str">
        <x:v>Die Belohnungsvorschau zeigt Arbeitswerte; der Server vergibt atomar.</x:v>
      </x:c>
      <x:c r="V106" s="104" t="str">
        <x:v>{"openRewardPreview":true}</x:v>
      </x:c>
      <x:c r="W106" s="104" t="str">
        <x:v>END</x:v>
      </x:c>
      <x:c r="X106" s="104" t="str"/>
      <x:c r="Y106" s="110" t="n">
        <x:f>LEN(J106)+LEN(L106)+LEN(M106)+LEN(P106)+LEN(Q106)+LEN(T106)+LEN(U106)</x:f>
        <x:v>287</x:v>
      </x:c>
      <x:c r="Z106" s="110" t="n">
        <x:f>SUMIF($B$5:$B$124,B106,$Y$5:$Y$124)</x:f>
        <x:v>287</x:v>
      </x:c>
      <x:c r="AA106" s="104" t="str">
        <x:v>Max. 1000 Zeichen pro Interaktionssequenz; historischer Inhalt nur aus Fact-Set.</x:v>
      </x:c>
    </x:row>
    <x:row r="107" ht="88" customHeight="1">
      <x:c r="A107" s="101" t="str">
        <x:v>H-D1-02</x:v>
      </x:c>
      <x:c r="B107" s="101" t="str">
        <x:v>H-D1-02-OFFER</x:v>
      </x:c>
      <x:c r="C107" s="101" t="str">
        <x:v>H-D1-02-N1</x:v>
      </x:c>
      <x:c r="D107" s="101" t="str">
        <x:v>OFFER</x:v>
      </x:c>
      <x:c r="E107" s="101" t="n">
        <x:v>1</x:v>
      </x:c>
      <x:c r="F107" s="101" t="str">
        <x:v>npc_rattus_virgo</x:v>
      </x:c>
      <x:c r="G107" s="101" t="str">
        <x:v>Rattus Virgo</x:v>
      </x:c>
      <x:c r="H107" s="101" t="str">
        <x:v>ertappt und angriffslustig</x:v>
      </x:c>
      <x:c r="I107" s="101" t="str">
        <x:v>questActive || phase==OFFER</x:v>
      </x:c>
      <x:c r="J107" s="101" t="str">
        <x:v>Drei Arkaden? Zwei? Sieben? Niemand sieht genau hin. Deshalb gehört dieser Wasserweg praktisch mir.</x:v>
      </x:c>
      <x:c r="K107" s="101" t="str">
        <x:v>ACCEPT_RAT</x:v>
      </x:c>
      <x:c r="L107" s="101" t="str">
        <x:v>Wir prüfen die Arkaden.</x:v>
      </x:c>
      <x:c r="M107" s="101" t="str">
        <x:v>Versucht es ruhig.</x:v>
      </x:c>
      <x:c r="N107" s="101" t="str">
        <x:v>{"accept":true}</x:v>
      </x:c>
      <x:c r="O107" s="101" t="str">
        <x:v>ASK_SMELL</x:v>
      </x:c>
      <x:c r="P107" s="101" t="str">
        <x:v>Riecht eine virtuelle Ratte?</x:v>
      </x:c>
      <x:c r="Q107" s="101" t="str">
        <x:v>Nur in sehr ambitionierter Version zwei.</x:v>
      </x:c>
      <x:c r="R107" s="101" t="str">
        <x:v>{"cosmetic":"smell"}</x:v>
      </x:c>
      <x:c r="S107" s="101" t="str">
        <x:v>SCULPTOR_STONE</x:v>
      </x:c>
      <x:c r="T107" s="101" t="str">
        <x:v>[Bildhauer] Ich trenne antiken Bogen von moderner Kante.</x:v>
      </x:c>
      <x:c r="U107" s="101" t="str">
        <x:v>Angeber. Nützlicher Angeber.</x:v>
      </x:c>
      <x:c r="V107" s="101" t="str">
        <x:v>{"classCheck":"SCULPTOR","bonusHint":true}</x:v>
      </x:c>
      <x:c r="W107" s="101" t="str">
        <x:v>H-D1-02-MID</x:v>
      </x:c>
      <x:c r="X107" s="101" t="str"/>
      <x:c r="Y107" s="109" t="n">
        <x:f>LEN(J107)+LEN(L107)+LEN(M107)+LEN(P107)+LEN(Q107)+LEN(T107)+LEN(U107)</x:f>
        <x:v>292</x:v>
      </x:c>
      <x:c r="Z107" s="109" t="n">
        <x:f>SUMIF($B$5:$B$124,B107,$Y$5:$Y$124)</x:f>
        <x:v>292</x:v>
      </x:c>
      <x:c r="AA107" s="101" t="str">
        <x:v>Max. 1000 Zeichen pro Interaktionssequenz; historischer Inhalt nur aus Fact-Set.</x:v>
      </x:c>
    </x:row>
    <x:row r="108" ht="88" customHeight="1">
      <x:c r="A108" s="104" t="str">
        <x:v>H-D1-02</x:v>
      </x:c>
      <x:c r="B108" s="104" t="str">
        <x:v>H-D1-02-MID</x:v>
      </x:c>
      <x:c r="C108" s="104" t="str">
        <x:v>H-D1-02-N2</x:v>
      </x:c>
      <x:c r="D108" s="104" t="str">
        <x:v>MID</x:v>
      </x:c>
      <x:c r="E108" s="104" t="n">
        <x:v>2</x:v>
      </x:c>
      <x:c r="F108" s="104" t="str">
        <x:v>npc_rattus_virgo</x:v>
      </x:c>
      <x:c r="G108" s="104" t="str">
        <x:v>Rattus Virgo</x:v>
      </x:c>
      <x:c r="H108" s="104" t="str">
        <x:v>ertappt und angriffslustig</x:v>
      </x:c>
      <x:c r="I108" s="104" t="str">
        <x:v>questActive || phase==OFFER</x:v>
      </x:c>
      <x:c r="J108" s="104" t="str">
        <x:v>Oh. Ihr könnt zählen. Das macht euch gefährlich langweilig.</x:v>
      </x:c>
      <x:c r="K108" s="104" t="str">
        <x:v>REQUEST_HINT</x:v>
      </x:c>
      <x:c r="L108" s="104" t="str">
        <x:v>Gebt uns einen Hinweis.</x:v>
      </x:c>
      <x:c r="M108" s="104" t="str">
        <x:v>Ein Hinweis grenzt ein, löst aber nicht. Öffnet Stufe eins.</x:v>
      </x:c>
      <x:c r="N108" s="104" t="str">
        <x:v>{"openHint":1}</x:v>
      </x:c>
      <x:c r="O108" s="104" t="str">
        <x:v>OPEN_OBJECTIVE</x:v>
      </x:c>
      <x:c r="P108" s="104" t="str">
        <x:v>Wir sind bereit für die Aufgabe.</x:v>
      </x:c>
      <x:c r="Q108" s="104" t="str">
        <x:v>Dann öffnet die aktuelle Interaktion und bestätigt als Team.</x:v>
      </x:c>
      <x:c r="R108" s="104" t="str">
        <x:v>{"openObjective":true}</x:v>
      </x:c>
      <x:c r="S108" s="104" t="str">
        <x:v>CHECK_FACTS</x:v>
      </x:c>
      <x:c r="T108" s="104" t="str">
        <x:v>Welche Aussagen sind belegt?</x:v>
      </x:c>
      <x:c r="U108" s="104" t="str">
        <x:v>Öffnet die Faktenkarte. Fiktionale Rahmung ist dort getrennt markiert.</x:v>
      </x:c>
      <x:c r="V108" s="104" t="str">
        <x:v>{"openFactCard":true}</x:v>
      </x:c>
      <x:c r="W108" s="104" t="str">
        <x:v>H-D1-02-COMPLETE</x:v>
      </x:c>
      <x:c r="X108" s="104" t="str"/>
      <x:c r="Y108" s="110" t="n">
        <x:f>LEN(J108)+LEN(L108)+LEN(M108)+LEN(P108)+LEN(Q108)+LEN(T108)+LEN(U108)</x:f>
        <x:v>331</x:v>
      </x:c>
      <x:c r="Z108" s="110" t="n">
        <x:f>SUMIF($B$5:$B$124,B108,$Y$5:$Y$124)</x:f>
        <x:v>331</x:v>
      </x:c>
      <x:c r="AA108" s="104" t="str">
        <x:v>Max. 1000 Zeichen pro Interaktionssequenz; historischer Inhalt nur aus Fact-Set.</x:v>
      </x:c>
    </x:row>
    <x:row r="109" ht="88" customHeight="1">
      <x:c r="A109" s="101" t="str">
        <x:v>H-D1-02</x:v>
      </x:c>
      <x:c r="B109" s="101" t="str">
        <x:v>H-D1-02-COMPLETE</x:v>
      </x:c>
      <x:c r="C109" s="101" t="str">
        <x:v>H-D1-02-N3</x:v>
      </x:c>
      <x:c r="D109" s="101" t="str">
        <x:v>COMPLETE</x:v>
      </x:c>
      <x:c r="E109" s="101" t="n">
        <x:v>3</x:v>
      </x:c>
      <x:c r="F109" s="101" t="str">
        <x:v>npc_rattus_virgo</x:v>
      </x:c>
      <x:c r="G109" s="101" t="str">
        <x:v>Rattus Virgo</x:v>
      </x:c>
      <x:c r="H109" s="101" t="str">
        <x:v>ertappt und angriffslustig</x:v>
      </x:c>
      <x:c r="I109" s="101" t="str">
        <x:v>questActive || phase==OFFER</x:v>
      </x:c>
      <x:c r="J109" s="101" t="str">
        <x:v>Gut, gut. Wasserweg sauber. Aber die Münze behalte ich als Verwaltungsgebühr.</x:v>
      </x:c>
      <x:c r="K109" s="101" t="str">
        <x:v>CLOSE_HUMBLE</x:v>
      </x:c>
      <x:c r="L109" s="101" t="str">
        <x:v>Wir dokumentieren die Lösung.</x:v>
      </x:c>
      <x:c r="M109" s="101" t="str">
        <x:v>Sauber abgeschlossen.</x:v>
      </x:c>
      <x:c r="N109" s="101" t="str">
        <x:v>{"closeDialogue":true}</x:v>
      </x:c>
      <x:c r="O109" s="101" t="str">
        <x:v>OPEN_FACTS</x:v>
      </x:c>
      <x:c r="P109" s="101" t="str">
        <x:v>Was sollten wir historisch behalten?</x:v>
      </x:c>
      <x:c r="Q109" s="101" t="str">
        <x:v>Öffnet die verifizierten Fakten und Quellen dieser Quest.</x:v>
      </x:c>
      <x:c r="R109" s="101" t="str">
        <x:v>{"openFactCard":true}</x:v>
      </x:c>
      <x:c r="S109" s="101" t="str">
        <x:v>PREVIEW_REWARD</x:v>
      </x:c>
      <x:c r="T109" s="101" t="str">
        <x:v>Und was erhalten wir?</x:v>
      </x:c>
      <x:c r="U109" s="101" t="str">
        <x:v>Die Belohnungsvorschau zeigt Arbeitswerte; der Server vergibt atomar.</x:v>
      </x:c>
      <x:c r="V109" s="101" t="str">
        <x:v>{"openRewardPreview":true}</x:v>
      </x:c>
      <x:c r="W109" s="101" t="str">
        <x:v>END</x:v>
      </x:c>
      <x:c r="X109" s="101" t="str"/>
      <x:c r="Y109" s="109" t="n">
        <x:f>LEN(J109)+LEN(L109)+LEN(M109)+LEN(P109)+LEN(Q109)+LEN(T109)+LEN(U109)</x:f>
        <x:v>310</x:v>
      </x:c>
      <x:c r="Z109" s="109" t="n">
        <x:f>SUMIF($B$5:$B$124,B109,$Y$5:$Y$124)</x:f>
        <x:v>310</x:v>
      </x:c>
      <x:c r="AA109" s="101" t="str">
        <x:v>Max. 1000 Zeichen pro Interaktionssequenz; historischer Inhalt nur aus Fact-Set.</x:v>
      </x:c>
    </x:row>
    <x:row r="110" ht="88" customHeight="1">
      <x:c r="A110" s="104" t="str">
        <x:v>H-D1-03</x:v>
      </x:c>
      <x:c r="B110" s="104" t="str">
        <x:v>H-D1-03-OFFER</x:v>
      </x:c>
      <x:c r="C110" s="104" t="str">
        <x:v>H-D1-03-N1</x:v>
      </x:c>
      <x:c r="D110" s="104" t="str">
        <x:v>OFFER</x:v>
      </x:c>
      <x:c r="E110" s="104" t="n">
        <x:v>1</x:v>
      </x:c>
      <x:c r="F110" s="104" t="str">
        <x:v>npc_satirelli_gemelli</x:v>
      </x:c>
      <x:c r="G110" s="104" t="str">
        <x:v>I Satirelli Gemelli</x:v>
      </x:c>
      <x:c r="H110" s="104" t="str">
        <x:v>kichernd streitsüchtig</x:v>
      </x:c>
      <x:c r="I110" s="104" t="str">
        <x:v>questActive || phase==OFFER</x:v>
      </x:c>
      <x:c r="J110" s="104" t="str">
        <x:v>Er trägt die Flöte! – Du trägst die Trauben! – Lüge! Menschen, ordnet uns, bevor wir höflich werden müssen.</x:v>
      </x:c>
      <x:c r="K110" s="104" t="str">
        <x:v>ACCEPT_SATYRS</x:v>
      </x:c>
      <x:c r="L110" s="104" t="str">
        <x:v>Wir ordnen eure Merkmale.</x:v>
      </x:c>
      <x:c r="M110" s="104" t="str">
        <x:v>Endlich Schiedsrichter!</x:v>
      </x:c>
      <x:c r="N110" s="104" t="str">
        <x:v>{"accept":true}</x:v>
      </x:c>
      <x:c r="O110" s="104" t="str">
        <x:v>ASK_PEACE</x:v>
      </x:c>
      <x:c r="P110" s="104" t="str">
        <x:v>Könnt ihr euch einigen?</x:v>
      </x:c>
      <x:c r="Q110" s="104" t="str">
        <x:v>Nein. Nächste Frage.</x:v>
      </x:c>
      <x:c r="R110" s="104" t="str">
        <x:v>{"cosmetic":"satyr_peace"}</x:v>
      </x:c>
      <x:c r="S110" s="104" t="str">
        <x:v>CONDOTTIERE_DUEL</x:v>
      </x:c>
      <x:c r="T110" s="104" t="str">
        <x:v>[Condottiere] Einer nach dem anderen.</x:v>
      </x:c>
      <x:c r="U110" s="104" t="str">
        <x:v>Langweilig – aber effizient.</x:v>
      </x:c>
      <x:c r="V110" s="104" t="str">
        <x:v>{"classCheck":"CONDOTTIERE","combatModifier":true}</x:v>
      </x:c>
      <x:c r="W110" s="104" t="str">
        <x:v>H-D1-03-MID</x:v>
      </x:c>
      <x:c r="X110" s="104" t="str"/>
      <x:c r="Y110" s="110" t="n">
        <x:f>LEN(J110)+LEN(L110)+LEN(M110)+LEN(P110)+LEN(Q110)+LEN(T110)+LEN(U110)</x:f>
        <x:v>263</x:v>
      </x:c>
      <x:c r="Z110" s="110" t="n">
        <x:f>SUMIF($B$5:$B$124,B110,$Y$5:$Y$124)</x:f>
        <x:v>263</x:v>
      </x:c>
      <x:c r="AA110" s="104" t="str">
        <x:v>Max. 1000 Zeichen pro Interaktionssequenz; historischer Inhalt nur aus Fact-Set.</x:v>
      </x:c>
    </x:row>
    <x:row r="111" ht="88" customHeight="1">
      <x:c r="A111" s="101" t="str">
        <x:v>H-D1-03</x:v>
      </x:c>
      <x:c r="B111" s="101" t="str">
        <x:v>H-D1-03-MID</x:v>
      </x:c>
      <x:c r="C111" s="101" t="str">
        <x:v>H-D1-03-N2</x:v>
      </x:c>
      <x:c r="D111" s="101" t="str">
        <x:v>MID</x:v>
      </x:c>
      <x:c r="E111" s="101" t="n">
        <x:v>2</x:v>
      </x:c>
      <x:c r="F111" s="101" t="str">
        <x:v>npc_satirelli_gemelli</x:v>
      </x:c>
      <x:c r="G111" s="101" t="str">
        <x:v>I Satirelli Gemelli</x:v>
      </x:c>
      <x:c r="H111" s="101" t="str">
        <x:v>kichernd streitsüchtig</x:v>
      </x:c>
      <x:c r="I111" s="101" t="str">
        <x:v>questActive || phase==OFFER</x:v>
      </x:c>
      <x:c r="J111" s="101" t="str">
        <x:v>Fast richtig. Unverschämt richtig.</x:v>
      </x:c>
      <x:c r="K111" s="101" t="str">
        <x:v>REQUEST_HINT</x:v>
      </x:c>
      <x:c r="L111" s="101" t="str">
        <x:v>Gebt uns einen Hinweis.</x:v>
      </x:c>
      <x:c r="M111" s="101" t="str">
        <x:v>Ein Hinweis grenzt ein, löst aber nicht. Öffnet Stufe eins.</x:v>
      </x:c>
      <x:c r="N111" s="101" t="str">
        <x:v>{"openHint":1}</x:v>
      </x:c>
      <x:c r="O111" s="101" t="str">
        <x:v>OPEN_OBJECTIVE</x:v>
      </x:c>
      <x:c r="P111" s="101" t="str">
        <x:v>Wir sind bereit für die Aufgabe.</x:v>
      </x:c>
      <x:c r="Q111" s="101" t="str">
        <x:v>Dann öffnet die aktuelle Interaktion und bestätigt als Team.</x:v>
      </x:c>
      <x:c r="R111" s="101" t="str">
        <x:v>{"openObjective":true}</x:v>
      </x:c>
      <x:c r="S111" s="101" t="str">
        <x:v>CHECK_FACTS</x:v>
      </x:c>
      <x:c r="T111" s="101" t="str">
        <x:v>Welche Aussagen sind belegt?</x:v>
      </x:c>
      <x:c r="U111" s="101" t="str">
        <x:v>Öffnet die Faktenkarte. Fiktionale Rahmung ist dort getrennt markiert.</x:v>
      </x:c>
      <x:c r="V111" s="101" t="str">
        <x:v>{"openFactCard":true}</x:v>
      </x:c>
      <x:c r="W111" s="101" t="str">
        <x:v>H-D1-03-COMPLETE</x:v>
      </x:c>
      <x:c r="X111" s="101" t="str"/>
      <x:c r="Y111" s="109" t="n">
        <x:f>LEN(J111)+LEN(L111)+LEN(M111)+LEN(P111)+LEN(Q111)+LEN(T111)+LEN(U111)</x:f>
        <x:v>306</x:v>
      </x:c>
      <x:c r="Z111" s="109" t="n">
        <x:f>SUMIF($B$5:$B$124,B111,$Y$5:$Y$124)</x:f>
        <x:v>306</x:v>
      </x:c>
      <x:c r="AA111" s="101" t="str">
        <x:v>Max. 1000 Zeichen pro Interaktionssequenz; historischer Inhalt nur aus Fact-Set.</x:v>
      </x:c>
    </x:row>
    <x:row r="112" ht="88" customHeight="1">
      <x:c r="A112" s="104" t="str">
        <x:v>H-D1-03</x:v>
      </x:c>
      <x:c r="B112" s="104" t="str">
        <x:v>H-D1-03-COMPLETE</x:v>
      </x:c>
      <x:c r="C112" s="104" t="str">
        <x:v>H-D1-03-N3</x:v>
      </x:c>
      <x:c r="D112" s="104" t="str">
        <x:v>COMPLETE</x:v>
      </x:c>
      <x:c r="E112" s="104" t="n">
        <x:v>3</x:v>
      </x:c>
      <x:c r="F112" s="104" t="str">
        <x:v>npc_satirelli_gemelli</x:v>
      </x:c>
      <x:c r="G112" s="104" t="str">
        <x:v>I Satirelli Gemelli</x:v>
      </x:c>
      <x:c r="H112" s="104" t="str">
        <x:v>kichernd streitsüchtig</x:v>
      </x:c>
      <x:c r="I112" s="104" t="str">
        <x:v>questActive || phase==OFFER</x:v>
      </x:c>
      <x:c r="J112" s="104" t="str">
        <x:v>Wir akzeptieren das Urteil. Vorläufig. Bis zum nächsten Team.</x:v>
      </x:c>
      <x:c r="K112" s="104" t="str">
        <x:v>CLOSE_HUMBLE</x:v>
      </x:c>
      <x:c r="L112" s="104" t="str">
        <x:v>Wir dokumentieren die Lösung.</x:v>
      </x:c>
      <x:c r="M112" s="104" t="str">
        <x:v>Sauber abgeschlossen.</x:v>
      </x:c>
      <x:c r="N112" s="104" t="str">
        <x:v>{"closeDialogue":true}</x:v>
      </x:c>
      <x:c r="O112" s="104" t="str">
        <x:v>OPEN_FACTS</x:v>
      </x:c>
      <x:c r="P112" s="104" t="str">
        <x:v>Was sollten wir historisch behalten?</x:v>
      </x:c>
      <x:c r="Q112" s="104" t="str">
        <x:v>Öffnet die verifizierten Fakten und Quellen dieser Quest.</x:v>
      </x:c>
      <x:c r="R112" s="104" t="str">
        <x:v>{"openFactCard":true}</x:v>
      </x:c>
      <x:c r="S112" s="104" t="str">
        <x:v>PREVIEW_REWARD</x:v>
      </x:c>
      <x:c r="T112" s="104" t="str">
        <x:v>Und was erhalten wir?</x:v>
      </x:c>
      <x:c r="U112" s="104" t="str">
        <x:v>Die Belohnungsvorschau zeigt Arbeitswerte; der Server vergibt atomar.</x:v>
      </x:c>
      <x:c r="V112" s="104" t="str">
        <x:v>{"openRewardPreview":true}</x:v>
      </x:c>
      <x:c r="W112" s="104" t="str">
        <x:v>END</x:v>
      </x:c>
      <x:c r="X112" s="104" t="str"/>
      <x:c r="Y112" s="110" t="n">
        <x:f>LEN(J112)+LEN(L112)+LEN(M112)+LEN(P112)+LEN(Q112)+LEN(T112)+LEN(U112)</x:f>
        <x:v>294</x:v>
      </x:c>
      <x:c r="Z112" s="110" t="n">
        <x:f>SUMIF($B$5:$B$124,B112,$Y$5:$Y$124)</x:f>
        <x:v>294</x:v>
      </x:c>
      <x:c r="AA112" s="104" t="str">
        <x:v>Max. 1000 Zeichen pro Interaktionssequenz; historischer Inhalt nur aus Fact-Set.</x:v>
      </x:c>
    </x:row>
    <x:row r="113" ht="88" customHeight="1">
      <x:c r="A113" s="101" t="str">
        <x:v>H-D2-01</x:v>
      </x:c>
      <x:c r="B113" s="101" t="str">
        <x:v>H-D2-01-OFFER</x:v>
      </x:c>
      <x:c r="C113" s="101" t="str">
        <x:v>H-D2-01-N1</x:v>
      </x:c>
      <x:c r="D113" s="101" t="str">
        <x:v>OFFER</x:v>
      </x:c>
      <x:c r="E113" s="101" t="n">
        <x:v>1</x:v>
      </x:c>
      <x:c r="F113" s="101" t="str">
        <x:v>npc_porta_alchemica</x:v>
      </x:c>
      <x:c r="G113" s="101" t="str">
        <x:v>Alchemilla der Porta Magica</x:v>
      </x:c>
      <x:c r="H113" s="101" t="str">
        <x:v>vorsichtig hoffnungsvoll</x:v>
      </x:c>
      <x:c r="I113" s="101" t="str">
        <x:v>questActive || phase==OFFER</x:v>
      </x:c>
      <x:c r="J113" s="101" t="str">
        <x:v>Zwei Wächter, ein Tor, viele Zeichen. Ihr braucht nicht jedes Symbol zu lesen – nur die Reihenfolge von Stein, Metall und Licht richtig setzen.</x:v>
      </x:c>
      <x:c r="K113" s="101" t="str">
        <x:v>ACCEPT_ALCHEMY</x:v>
      </x:c>
      <x:c r="L113" s="101" t="str">
        <x:v>Wir lösen die kurze Zuordnung.</x:v>
      </x:c>
      <x:c r="M113" s="101" t="str">
        <x:v>Zählt zuerst die Wächter.</x:v>
      </x:c>
      <x:c r="N113" s="101" t="str">
        <x:v>{"accept":true}</x:v>
      </x:c>
      <x:c r="O113" s="101" t="str">
        <x:v>ASK_SYMBOLS</x:v>
      </x:c>
      <x:c r="P113" s="101" t="str">
        <x:v>Müssen wir kleine Inschriften lesen?</x:v>
      </x:c>
      <x:c r="Q113" s="101" t="str">
        <x:v>Nein. Kleine oder verwitterte Zeichen sind nie Pflicht.</x:v>
      </x:c>
      <x:c r="R113" s="101" t="str">
        <x:v>{"ruleHint":true}</x:v>
      </x:c>
      <x:c r="S113" s="101" t="str">
        <x:v>SCULPTOR_GUARDIANS</x:v>
      </x:c>
      <x:c r="T113" s="101" t="str">
        <x:v>[Bildhauer] Ich prüfe die beiden Wächterfiguren.</x:v>
      </x:c>
      <x:c r="U113" s="101" t="str">
        <x:v>Dann beginnt mit Haltung und Material.</x:v>
      </x:c>
      <x:c r="V113" s="101" t="str">
        <x:v>{"classCheck":"SCULPTOR","bonusHint":true}</x:v>
      </x:c>
      <x:c r="W113" s="101" t="str">
        <x:v>H-D2-01-MID</x:v>
      </x:c>
      <x:c r="X113" s="101" t="str"/>
      <x:c r="Y113" s="109" t="n">
        <x:f>LEN(J113)+LEN(L113)+LEN(M113)+LEN(P113)+LEN(Q113)+LEN(T113)+LEN(U113)</x:f>
        <x:v>375</x:v>
      </x:c>
      <x:c r="Z113" s="109" t="n">
        <x:f>SUMIF($B$5:$B$124,B113,$Y$5:$Y$124)</x:f>
        <x:v>375</x:v>
      </x:c>
      <x:c r="AA113" s="101" t="str">
        <x:v>Max. 1000 Zeichen pro Interaktionssequenz; historischer Inhalt nur aus Fact-Set.</x:v>
      </x:c>
    </x:row>
    <x:row r="114" ht="88" customHeight="1">
      <x:c r="A114" s="104" t="str">
        <x:v>H-D2-01</x:v>
      </x:c>
      <x:c r="B114" s="104" t="str">
        <x:v>H-D2-01-MID</x:v>
      </x:c>
      <x:c r="C114" s="104" t="str">
        <x:v>H-D2-01-N2</x:v>
      </x:c>
      <x:c r="D114" s="104" t="str">
        <x:v>MID</x:v>
      </x:c>
      <x:c r="E114" s="104" t="n">
        <x:v>2</x:v>
      </x:c>
      <x:c r="F114" s="104" t="str">
        <x:v>npc_porta_alchemica</x:v>
      </x:c>
      <x:c r="G114" s="104" t="str">
        <x:v>Alchemilla der Porta Magica</x:v>
      </x:c>
      <x:c r="H114" s="104" t="str">
        <x:v>vorsichtig hoffnungsvoll</x:v>
      </x:c>
      <x:c r="I114" s="104" t="str">
        <x:v>questActive || phase==OFFER</x:v>
      </x:c>
      <x:c r="J114" s="104" t="str">
        <x:v>Alchemie liebt Geheimnisse. Implementierung liebt eindeutige Antworten. Heute gewinnt die Implementierung.</x:v>
      </x:c>
      <x:c r="K114" s="104" t="str">
        <x:v>REQUEST_HINT</x:v>
      </x:c>
      <x:c r="L114" s="104" t="str">
        <x:v>Gebt uns einen Hinweis.</x:v>
      </x:c>
      <x:c r="M114" s="104" t="str">
        <x:v>Ein Hinweis grenzt ein, löst aber nicht. Öffnet Stufe eins.</x:v>
      </x:c>
      <x:c r="N114" s="104" t="str">
        <x:v>{"openHint":1}</x:v>
      </x:c>
      <x:c r="O114" s="104" t="str">
        <x:v>OPEN_OBJECTIVE</x:v>
      </x:c>
      <x:c r="P114" s="104" t="str">
        <x:v>Wir sind bereit für die Aufgabe.</x:v>
      </x:c>
      <x:c r="Q114" s="104" t="str">
        <x:v>Dann öffnet die aktuelle Interaktion und bestätigt als Team.</x:v>
      </x:c>
      <x:c r="R114" s="104" t="str">
        <x:v>{"openObjective":true}</x:v>
      </x:c>
      <x:c r="S114" s="104" t="str">
        <x:v>CHECK_FACTS</x:v>
      </x:c>
      <x:c r="T114" s="104" t="str">
        <x:v>Welche Aussagen sind belegt?</x:v>
      </x:c>
      <x:c r="U114" s="104" t="str">
        <x:v>Öffnet die Faktenkarte. Fiktionale Rahmung ist dort getrennt markiert.</x:v>
      </x:c>
      <x:c r="V114" s="104" t="str">
        <x:v>{"openFactCard":true}</x:v>
      </x:c>
      <x:c r="W114" s="104" t="str">
        <x:v>H-D2-01-COMPLETE</x:v>
      </x:c>
      <x:c r="X114" s="104" t="str"/>
      <x:c r="Y114" s="110" t="n">
        <x:f>LEN(J114)+LEN(L114)+LEN(M114)+LEN(P114)+LEN(Q114)+LEN(T114)+LEN(U114)</x:f>
        <x:v>378</x:v>
      </x:c>
      <x:c r="Z114" s="110" t="n">
        <x:f>SUMIF($B$5:$B$124,B114,$Y$5:$Y$124)</x:f>
        <x:v>378</x:v>
      </x:c>
      <x:c r="AA114" s="104" t="str">
        <x:v>Max. 1000 Zeichen pro Interaktionssequenz; historischer Inhalt nur aus Fact-Set.</x:v>
      </x:c>
    </x:row>
    <x:row r="115" ht="88" customHeight="1">
      <x:c r="A115" s="101" t="str">
        <x:v>H-D2-01</x:v>
      </x:c>
      <x:c r="B115" s="101" t="str">
        <x:v>H-D2-01-COMPLETE</x:v>
      </x:c>
      <x:c r="C115" s="101" t="str">
        <x:v>H-D2-01-N3</x:v>
      </x:c>
      <x:c r="D115" s="101" t="str">
        <x:v>COMPLETE</x:v>
      </x:c>
      <x:c r="E115" s="101" t="n">
        <x:v>3</x:v>
      </x:c>
      <x:c r="F115" s="101" t="str">
        <x:v>npc_porta_alchemica</x:v>
      </x:c>
      <x:c r="G115" s="101" t="str">
        <x:v>Alchemilla der Porta Magica</x:v>
      </x:c>
      <x:c r="H115" s="101" t="str">
        <x:v>vorsichtig hoffnungsvoll</x:v>
      </x:c>
      <x:c r="I115" s="101" t="str">
        <x:v>questActive || phase==OFFER</x:v>
      </x:c>
      <x:c r="J115" s="101" t="str">
        <x:v>Die Tür bleibt aus Stein, aber euer Auftrag öffnet sich. Das genügt.</x:v>
      </x:c>
      <x:c r="K115" s="101" t="str">
        <x:v>CLOSE_HUMBLE</x:v>
      </x:c>
      <x:c r="L115" s="101" t="str">
        <x:v>Wir dokumentieren die Lösung.</x:v>
      </x:c>
      <x:c r="M115" s="101" t="str">
        <x:v>Sauber abgeschlossen.</x:v>
      </x:c>
      <x:c r="N115" s="101" t="str">
        <x:v>{"closeDialogue":true}</x:v>
      </x:c>
      <x:c r="O115" s="101" t="str">
        <x:v>OPEN_FACTS</x:v>
      </x:c>
      <x:c r="P115" s="101" t="str">
        <x:v>Was sollten wir historisch behalten?</x:v>
      </x:c>
      <x:c r="Q115" s="101" t="str">
        <x:v>Öffnet die verifizierten Fakten und Quellen dieser Quest.</x:v>
      </x:c>
      <x:c r="R115" s="101" t="str">
        <x:v>{"openFactCard":true}</x:v>
      </x:c>
      <x:c r="S115" s="101" t="str">
        <x:v>PREVIEW_REWARD</x:v>
      </x:c>
      <x:c r="T115" s="101" t="str">
        <x:v>Und was erhalten wir?</x:v>
      </x:c>
      <x:c r="U115" s="101" t="str">
        <x:v>Die Belohnungsvorschau zeigt Arbeitswerte; der Server vergibt atomar.</x:v>
      </x:c>
      <x:c r="V115" s="101" t="str">
        <x:v>{"openRewardPreview":true}</x:v>
      </x:c>
      <x:c r="W115" s="101" t="str">
        <x:v>END</x:v>
      </x:c>
      <x:c r="X115" s="101" t="str"/>
      <x:c r="Y115" s="109" t="n">
        <x:f>LEN(J115)+LEN(L115)+LEN(M115)+LEN(P115)+LEN(Q115)+LEN(T115)+LEN(U115)</x:f>
        <x:v>301</x:v>
      </x:c>
      <x:c r="Z115" s="109" t="n">
        <x:f>SUMIF($B$5:$B$124,B115,$Y$5:$Y$124)</x:f>
        <x:v>301</x:v>
      </x:c>
      <x:c r="AA115" s="101" t="str">
        <x:v>Max. 1000 Zeichen pro Interaktionssequenz; historischer Inhalt nur aus Fact-Set.</x:v>
      </x:c>
    </x:row>
    <x:row r="116" ht="88" customHeight="1">
      <x:c r="A116" s="104" t="str">
        <x:v>H-D2-02</x:v>
      </x:c>
      <x:c r="B116" s="104" t="str">
        <x:v>H-D2-02-OFFER</x:v>
      </x:c>
      <x:c r="C116" s="104" t="str">
        <x:v>H-D2-02-N1</x:v>
      </x:c>
      <x:c r="D116" s="104" t="str">
        <x:v>OFFER</x:v>
      </x:c>
      <x:c r="E116" s="104" t="n">
        <x:v>1</x:v>
      </x:c>
      <x:c r="F116" s="104" t="str">
        <x:v>npc_dante_rosa</x:v>
      </x:c>
      <x:c r="G116" s="104" t="str">
        <x:v>Dantes Wind</x:v>
      </x:c>
      <x:c r="H116" s="104" t="str">
        <x:v>flüsternd ungeduldig</x:v>
      </x:c>
      <x:c r="I116" s="104" t="str">
        <x:v>questActive || phase==OFFER</x:v>
      </x:c>
      <x:c r="J116" s="104" t="str">
        <x:v>Der Garten zeigt mehr Richtungen, als ein verlorener Mensch zugeben möchte. Findet die Windrose, wählt Norden und gebt das Wort USCITA ein.</x:v>
      </x:c>
      <x:c r="K116" s="104" t="str">
        <x:v>ACCEPT_WIND</x:v>
      </x:c>
      <x:c r="L116" s="104" t="str">
        <x:v>Wir lesen die Windrose.</x:v>
      </x:c>
      <x:c r="M116" s="104" t="str">
        <x:v>Dann beginnt bei Norden.</x:v>
      </x:c>
      <x:c r="N116" s="104" t="str">
        <x:v>{"accept":true}</x:v>
      </x:c>
      <x:c r="O116" s="104" t="str">
        <x:v>ASK_EXIT</x:v>
      </x:c>
      <x:c r="P116" s="104" t="str">
        <x:v>Warum USCITA?</x:v>
      </x:c>
      <x:c r="Q116" s="104" t="str">
        <x:v>Weil selbst poetische Labyrinthe einen Ausgang brauchen.</x:v>
      </x:c>
      <x:c r="R116" s="104" t="str">
        <x:v>{"hint":true}</x:v>
      </x:c>
      <x:c r="S116" s="104" t="str">
        <x:v>JOKE_CIRCLE</x:v>
      </x:c>
      <x:c r="T116" s="104" t="str">
        <x:v>Was, wenn wir im Kreis gehen?</x:v>
      </x:c>
      <x:c r="U116" s="104" t="str">
        <x:v>Dann nennt ihr es bitte nicht Navigation.</x:v>
      </x:c>
      <x:c r="V116" s="104" t="str">
        <x:v>{"cosmetic":"circle"}</x:v>
      </x:c>
      <x:c r="W116" s="104" t="str">
        <x:v>H-D2-02-MID</x:v>
      </x:c>
      <x:c r="X116" s="104" t="str"/>
      <x:c r="Y116" s="110" t="n">
        <x:f>LEN(J116)+LEN(L116)+LEN(M116)+LEN(P116)+LEN(Q116)+LEN(T116)+LEN(U116)</x:f>
        <x:v>325</x:v>
      </x:c>
      <x:c r="Z116" s="110" t="n">
        <x:f>SUMIF($B$5:$B$124,B116,$Y$5:$Y$124)</x:f>
        <x:v>325</x:v>
      </x:c>
      <x:c r="AA116" s="104" t="str">
        <x:v>Max. 1000 Zeichen pro Interaktionssequenz; historischer Inhalt nur aus Fact-Set.</x:v>
      </x:c>
    </x:row>
    <x:row r="117" ht="88" customHeight="1">
      <x:c r="A117" s="101" t="str">
        <x:v>H-D2-02</x:v>
      </x:c>
      <x:c r="B117" s="101" t="str">
        <x:v>H-D2-02-MID</x:v>
      </x:c>
      <x:c r="C117" s="101" t="str">
        <x:v>H-D2-02-N2</x:v>
      </x:c>
      <x:c r="D117" s="101" t="str">
        <x:v>MID</x:v>
      </x:c>
      <x:c r="E117" s="101" t="n">
        <x:v>2</x:v>
      </x:c>
      <x:c r="F117" s="101" t="str">
        <x:v>npc_dante_rosa</x:v>
      </x:c>
      <x:c r="G117" s="101" t="str">
        <x:v>Dantes Wind</x:v>
      </x:c>
      <x:c r="H117" s="101" t="str">
        <x:v>flüsternd ungeduldig</x:v>
      </x:c>
      <x:c r="I117" s="101" t="str">
        <x:v>questActive || phase==OFFER</x:v>
      </x:c>
      <x:c r="J117" s="101" t="str">
        <x:v>Eine Richtung ist kein Gefühl. Prüft das Symbol.</x:v>
      </x:c>
      <x:c r="K117" s="101" t="str">
        <x:v>REQUEST_HINT</x:v>
      </x:c>
      <x:c r="L117" s="101" t="str">
        <x:v>Gebt uns einen Hinweis.</x:v>
      </x:c>
      <x:c r="M117" s="101" t="str">
        <x:v>Ein Hinweis grenzt ein, löst aber nicht. Öffnet Stufe eins.</x:v>
      </x:c>
      <x:c r="N117" s="101" t="str">
        <x:v>{"openHint":1}</x:v>
      </x:c>
      <x:c r="O117" s="101" t="str">
        <x:v>OPEN_OBJECTIVE</x:v>
      </x:c>
      <x:c r="P117" s="101" t="str">
        <x:v>Wir sind bereit für die Aufgabe.</x:v>
      </x:c>
      <x:c r="Q117" s="101" t="str">
        <x:v>Dann öffnet die aktuelle Interaktion und bestätigt als Team.</x:v>
      </x:c>
      <x:c r="R117" s="101" t="str">
        <x:v>{"openObjective":true}</x:v>
      </x:c>
      <x:c r="S117" s="101" t="str">
        <x:v>CHECK_FACTS</x:v>
      </x:c>
      <x:c r="T117" s="101" t="str">
        <x:v>Welche Aussagen sind belegt?</x:v>
      </x:c>
      <x:c r="U117" s="101" t="str">
        <x:v>Öffnet die Faktenkarte. Fiktionale Rahmung ist dort getrennt markiert.</x:v>
      </x:c>
      <x:c r="V117" s="101" t="str">
        <x:v>{"openFactCard":true}</x:v>
      </x:c>
      <x:c r="W117" s="101" t="str">
        <x:v>H-D2-02-COMPLETE</x:v>
      </x:c>
      <x:c r="X117" s="101" t="str"/>
      <x:c r="Y117" s="109" t="n">
        <x:f>LEN(J117)+LEN(L117)+LEN(M117)+LEN(P117)+LEN(Q117)+LEN(T117)+LEN(U117)</x:f>
        <x:v>320</x:v>
      </x:c>
      <x:c r="Z117" s="109" t="n">
        <x:f>SUMIF($B$5:$B$124,B117,$Y$5:$Y$124)</x:f>
        <x:v>320</x:v>
      </x:c>
      <x:c r="AA117" s="101" t="str">
        <x:v>Max. 1000 Zeichen pro Interaktionssequenz; historischer Inhalt nur aus Fact-Set.</x:v>
      </x:c>
    </x:row>
    <x:row r="118" ht="88" customHeight="1">
      <x:c r="A118" s="104" t="str">
        <x:v>H-D2-02</x:v>
      </x:c>
      <x:c r="B118" s="104" t="str">
        <x:v>H-D2-02-COMPLETE</x:v>
      </x:c>
      <x:c r="C118" s="104" t="str">
        <x:v>H-D2-02-N3</x:v>
      </x:c>
      <x:c r="D118" s="104" t="str">
        <x:v>COMPLETE</x:v>
      </x:c>
      <x:c r="E118" s="104" t="n">
        <x:v>3</x:v>
      </x:c>
      <x:c r="F118" s="104" t="str">
        <x:v>npc_dante_rosa</x:v>
      </x:c>
      <x:c r="G118" s="104" t="str">
        <x:v>Dantes Wind</x:v>
      </x:c>
      <x:c r="H118" s="104" t="str">
        <x:v>flüsternd ungeduldig</x:v>
      </x:c>
      <x:c r="I118" s="104" t="str">
        <x:v>questActive || phase==OFFER</x:v>
      </x:c>
      <x:c r="J118" s="104" t="str">
        <x:v>USCITA. Ein Ausgang, bevor ihr einen ganzen Kreis daraus macht.</x:v>
      </x:c>
      <x:c r="K118" s="104" t="str">
        <x:v>CLOSE_HUMBLE</x:v>
      </x:c>
      <x:c r="L118" s="104" t="str">
        <x:v>Wir dokumentieren die Lösung.</x:v>
      </x:c>
      <x:c r="M118" s="104" t="str">
        <x:v>Sauber abgeschlossen.</x:v>
      </x:c>
      <x:c r="N118" s="104" t="str">
        <x:v>{"closeDialogue":true}</x:v>
      </x:c>
      <x:c r="O118" s="104" t="str">
        <x:v>OPEN_FACTS</x:v>
      </x:c>
      <x:c r="P118" s="104" t="str">
        <x:v>Was sollten wir historisch behalten?</x:v>
      </x:c>
      <x:c r="Q118" s="104" t="str">
        <x:v>Öffnet die verifizierten Fakten und Quellen dieser Quest.</x:v>
      </x:c>
      <x:c r="R118" s="104" t="str">
        <x:v>{"openFactCard":true}</x:v>
      </x:c>
      <x:c r="S118" s="104" t="str">
        <x:v>PREVIEW_REWARD</x:v>
      </x:c>
      <x:c r="T118" s="104" t="str">
        <x:v>Und was erhalten wir?</x:v>
      </x:c>
      <x:c r="U118" s="104" t="str">
        <x:v>Die Belohnungsvorschau zeigt Arbeitswerte; der Server vergibt atomar.</x:v>
      </x:c>
      <x:c r="V118" s="104" t="str">
        <x:v>{"openRewardPreview":true}</x:v>
      </x:c>
      <x:c r="W118" s="104" t="str">
        <x:v>END</x:v>
      </x:c>
      <x:c r="X118" s="104" t="str"/>
      <x:c r="Y118" s="110" t="n">
        <x:f>LEN(J118)+LEN(L118)+LEN(M118)+LEN(P118)+LEN(Q118)+LEN(T118)+LEN(U118)</x:f>
        <x:v>296</x:v>
      </x:c>
      <x:c r="Z118" s="110" t="n">
        <x:f>SUMIF($B$5:$B$124,B118,$Y$5:$Y$124)</x:f>
        <x:v>296</x:v>
      </x:c>
      <x:c r="AA118" s="104" t="str">
        <x:v>Max. 1000 Zeichen pro Interaktionssequenz; historischer Inhalt nur aus Fact-Set.</x:v>
      </x:c>
    </x:row>
    <x:row r="119" ht="88" customHeight="1">
      <x:c r="A119" s="101" t="str">
        <x:v>B-D1-01</x:v>
      </x:c>
      <x:c r="B119" s="101" t="str">
        <x:v>B-D1-01-OFFER</x:v>
      </x:c>
      <x:c r="C119" s="101" t="str">
        <x:v>B-D1-01-N1</x:v>
      </x:c>
      <x:c r="D119" s="101" t="str">
        <x:v>OFFER</x:v>
      </x:c>
      <x:c r="E119" s="101" t="n">
        <x:v>1</x:v>
      </x:c>
      <x:c r="F119" s="101" t="str">
        <x:v>npc_cannoniere_gianicolo</x:v>
      </x:c>
      <x:c r="G119" s="101" t="str">
        <x:v>Il Cannoniere del Gianicolo</x:v>
      </x:c>
      <x:c r="H119" s="101" t="str">
        <x:v>triumphal herausfordernd</x:v>
      </x:c>
      <x:c r="I119" s="101" t="str">
        <x:v>questActive || phase==OFFER</x:v>
      </x:c>
      <x:c r="J119" s="101" t="str">
        <x:v>Rom hört mich, bevor es mich sieht. Stellt eure Teams auf, meldet Bereitschaft und zeigt, ob ihr zwischen Donner und Befehl unterscheiden könnt.</x:v>
      </x:c>
      <x:c r="K119" s="101" t="str">
        <x:v>JOIN_BOSS</x:v>
      </x:c>
      <x:c r="L119" s="101" t="str">
        <x:v>Unser Team tritt dem Weltkampf bei.</x:v>
      </x:c>
      <x:c r="M119" s="101" t="str">
        <x:v>Beitritt bestätigt. Bleibt im sicheren Eventbereich.</x:v>
      </x:c>
      <x:c r="N119" s="101" t="str">
        <x:v>{"joinBoss":true}</x:v>
      </x:c>
      <x:c r="O119" s="101" t="str">
        <x:v>ASK_MECHANIC</x:v>
      </x:c>
      <x:c r="P119" s="101" t="str">
        <x:v>Welche Mechanik kommt zuerst?</x:v>
      </x:c>
      <x:c r="Q119" s="101" t="str">
        <x:v>Deckungsruf, dann gemeinsames Zeitfenster für Schwachstellen.</x:v>
      </x:c>
      <x:c r="R119" s="101" t="str">
        <x:v>{"bossHint":true}</x:v>
      </x:c>
      <x:c r="S119" s="101" t="str">
        <x:v>SWISS_GUARD_RALLY</x:v>
      </x:c>
      <x:c r="T119" s="101" t="str">
        <x:v>[Schweizergarde] Ich setze den Schutzruf.</x:v>
      </x:c>
      <x:c r="U119" s="101" t="str">
        <x:v>Dann wähle den Moment, nicht die Lautstärke.</x:v>
      </x:c>
      <x:c r="V119" s="101" t="str">
        <x:v>{"classCheck":"SWISS_GUARD","bossRole":"defense"}</x:v>
      </x:c>
      <x:c r="W119" s="101" t="str">
        <x:v>B-D1-01-MID</x:v>
      </x:c>
      <x:c r="X119" s="101" t="str"/>
      <x:c r="Y119" s="109" t="n">
        <x:f>LEN(J119)+LEN(L119)+LEN(M119)+LEN(P119)+LEN(Q119)+LEN(T119)+LEN(U119)</x:f>
        <x:v>406</x:v>
      </x:c>
      <x:c r="Z119" s="109" t="n">
        <x:f>SUMIF($B$5:$B$124,B119,$Y$5:$Y$124)</x:f>
        <x:v>406</x:v>
      </x:c>
      <x:c r="AA119" s="101" t="str">
        <x:v>Max. 1000 Zeichen pro Interaktionssequenz; historischer Inhalt nur aus Fact-Set.</x:v>
      </x:c>
    </x:row>
    <x:row r="120" ht="88" customHeight="1">
      <x:c r="A120" s="104" t="str">
        <x:v>B-D1-01</x:v>
      </x:c>
      <x:c r="B120" s="104" t="str">
        <x:v>B-D1-01-MID</x:v>
      </x:c>
      <x:c r="C120" s="104" t="str">
        <x:v>B-D1-01-N2</x:v>
      </x:c>
      <x:c r="D120" s="104" t="str">
        <x:v>MID</x:v>
      </x:c>
      <x:c r="E120" s="104" t="n">
        <x:v>2</x:v>
      </x:c>
      <x:c r="F120" s="104" t="str">
        <x:v>npc_cannoniere_gianicolo</x:v>
      </x:c>
      <x:c r="G120" s="104" t="str">
        <x:v>Il Cannoniere del Gianicolo</x:v>
      </x:c>
      <x:c r="H120" s="104" t="str">
        <x:v>triumphal herausfordernd</x:v>
      </x:c>
      <x:c r="I120" s="104" t="str">
        <x:v>questActive || phase==OFFER</x:v>
      </x:c>
      <x:c r="J120" s="104" t="str">
        <x:v>Die Lunte brennt. Markierte Teams gehen in Deckung; die übrigen brechen meine Stellung.</x:v>
      </x:c>
      <x:c r="K120" s="104" t="str">
        <x:v>REQUEST_HINT</x:v>
      </x:c>
      <x:c r="L120" s="104" t="str">
        <x:v>Gebt uns einen Hinweis.</x:v>
      </x:c>
      <x:c r="M120" s="104" t="str">
        <x:v>Ein Hinweis grenzt ein, löst aber nicht. Öffnet Stufe eins.</x:v>
      </x:c>
      <x:c r="N120" s="104" t="str">
        <x:v>{"openHint":1}</x:v>
      </x:c>
      <x:c r="O120" s="104" t="str">
        <x:v>OPEN_OBJECTIVE</x:v>
      </x:c>
      <x:c r="P120" s="104" t="str">
        <x:v>Wir sind bereit für die Aufgabe.</x:v>
      </x:c>
      <x:c r="Q120" s="104" t="str">
        <x:v>Dann öffnet die aktuelle Interaktion und bestätigt als Team.</x:v>
      </x:c>
      <x:c r="R120" s="104" t="str">
        <x:v>{"openObjective":true}</x:v>
      </x:c>
      <x:c r="S120" s="104" t="str">
        <x:v>CHECK_FACTS</x:v>
      </x:c>
      <x:c r="T120" s="104" t="str">
        <x:v>Welche Aussagen sind belegt?</x:v>
      </x:c>
      <x:c r="U120" s="104" t="str">
        <x:v>Öffnet die Faktenkarte. Fiktionale Rahmung ist dort getrennt markiert.</x:v>
      </x:c>
      <x:c r="V120" s="104" t="str">
        <x:v>{"openFactCard":true}</x:v>
      </x:c>
      <x:c r="W120" s="104" t="str">
        <x:v>B-D1-01-COMPLETE</x:v>
      </x:c>
      <x:c r="X120" s="104" t="str"/>
      <x:c r="Y120" s="110" t="n">
        <x:f>LEN(J120)+LEN(L120)+LEN(M120)+LEN(P120)+LEN(Q120)+LEN(T120)+LEN(U120)</x:f>
        <x:v>359</x:v>
      </x:c>
      <x:c r="Z120" s="110" t="n">
        <x:f>SUMIF($B$5:$B$124,B120,$Y$5:$Y$124)</x:f>
        <x:v>359</x:v>
      </x:c>
      <x:c r="AA120" s="104" t="str">
        <x:v>Max. 1000 Zeichen pro Interaktionssequenz; historischer Inhalt nur aus Fact-Set.</x:v>
      </x:c>
    </x:row>
    <x:row r="121" ht="88" customHeight="1">
      <x:c r="A121" s="101" t="str">
        <x:v>B-D1-01</x:v>
      </x:c>
      <x:c r="B121" s="101" t="str">
        <x:v>B-D1-01-COMPLETE</x:v>
      </x:c>
      <x:c r="C121" s="101" t="str">
        <x:v>B-D1-01-N3</x:v>
      </x:c>
      <x:c r="D121" s="101" t="str">
        <x:v>COMPLETE</x:v>
      </x:c>
      <x:c r="E121" s="101" t="n">
        <x:v>3</x:v>
      </x:c>
      <x:c r="F121" s="101" t="str">
        <x:v>npc_cannoniere_gianicolo</x:v>
      </x:c>
      <x:c r="G121" s="101" t="str">
        <x:v>Il Cannoniere del Gianicolo</x:v>
      </x:c>
      <x:c r="H121" s="101" t="str">
        <x:v>triumphal herausfordernd</x:v>
      </x:c>
      <x:c r="I121" s="101" t="str">
        <x:v>questActive || phase==OFFER</x:v>
      </x:c>
      <x:c r="J121" s="101" t="str">
        <x:v>Treffer anerkannt. Der Hügel gehört heute euren Geschichten – und meine Kanone braucht beleidigt neue Farbe.</x:v>
      </x:c>
      <x:c r="K121" s="101" t="str">
        <x:v>CLOSE_HUMBLE</x:v>
      </x:c>
      <x:c r="L121" s="101" t="str">
        <x:v>Wir dokumentieren die Lösung.</x:v>
      </x:c>
      <x:c r="M121" s="101" t="str">
        <x:v>Sauber abgeschlossen.</x:v>
      </x:c>
      <x:c r="N121" s="101" t="str">
        <x:v>{"closeDialogue":true}</x:v>
      </x:c>
      <x:c r="O121" s="101" t="str">
        <x:v>OPEN_FACTS</x:v>
      </x:c>
      <x:c r="P121" s="101" t="str">
        <x:v>Was sollten wir historisch behalten?</x:v>
      </x:c>
      <x:c r="Q121" s="101" t="str">
        <x:v>Öffnet die verifizierten Fakten und Quellen dieser Quest.</x:v>
      </x:c>
      <x:c r="R121" s="101" t="str">
        <x:v>{"openFactCard":true}</x:v>
      </x:c>
      <x:c r="S121" s="101" t="str">
        <x:v>PREVIEW_REWARD</x:v>
      </x:c>
      <x:c r="T121" s="101" t="str">
        <x:v>Und was erhalten wir?</x:v>
      </x:c>
      <x:c r="U121" s="101" t="str">
        <x:v>Die Belohnungsvorschau zeigt Arbeitswerte; der Server vergibt atomar.</x:v>
      </x:c>
      <x:c r="V121" s="101" t="str">
        <x:v>{"openRewardPreview":true}</x:v>
      </x:c>
      <x:c r="W121" s="101" t="str">
        <x:v>END</x:v>
      </x:c>
      <x:c r="X121" s="101" t="str"/>
      <x:c r="Y121" s="109" t="n">
        <x:f>LEN(J121)+LEN(L121)+LEN(M121)+LEN(P121)+LEN(Q121)+LEN(T121)+LEN(U121)</x:f>
        <x:v>341</x:v>
      </x:c>
      <x:c r="Z121" s="109" t="n">
        <x:f>SUMIF($B$5:$B$124,B121,$Y$5:$Y$124)</x:f>
        <x:v>341</x:v>
      </x:c>
      <x:c r="AA121" s="101" t="str">
        <x:v>Max. 1000 Zeichen pro Interaktionssequenz; historischer Inhalt nur aus Fact-Set.</x:v>
      </x:c>
    </x:row>
    <x:row r="122" ht="88" customHeight="1">
      <x:c r="A122" s="104" t="str">
        <x:v>B-D2-01</x:v>
      </x:c>
      <x:c r="B122" s="104" t="str">
        <x:v>B-D2-01-OFFER</x:v>
      </x:c>
      <x:c r="C122" s="104" t="str">
        <x:v>B-D2-01-N1</x:v>
      </x:c>
      <x:c r="D122" s="104" t="str">
        <x:v>OFFER</x:v>
      </x:c>
      <x:c r="E122" s="104" t="n">
        <x:v>1</x:v>
      </x:c>
      <x:c r="F122" s="104" t="str">
        <x:v>npc_custode_neve</x:v>
      </x:c>
      <x:c r="G122" s="104" t="str">
        <x:v>Custode della Neve</x:v>
      </x:c>
      <x:c r="H122" s="104" t="str">
        <x:v>eisig feierlich</x:v>
      </x:c>
      <x:c r="I122" s="104" t="str">
        <x:v>questActive || phase==OFFER</x:v>
      </x:c>
      <x:c r="J122" s="104" t="str">
        <x:v>Rom bedeckt Fehler gern mit Marmor. Ich bevorzuge Schnee. Bringt geordnete Erinnerung, sonst friert jede Spur zu einer schönen Lüge.</x:v>
      </x:c>
      <x:c r="K122" s="104" t="str">
        <x:v>JOIN_BOSS</x:v>
      </x:c>
      <x:c r="L122" s="104" t="str">
        <x:v>Unser Team tritt dem Weltkampf bei.</x:v>
      </x:c>
      <x:c r="M122" s="104" t="str">
        <x:v>Beitritt bestätigt. Bossfläche und Sicherheitsgrenzen beachten.</x:v>
      </x:c>
      <x:c r="N122" s="104" t="str">
        <x:v>{"joinBoss":true}</x:v>
      </x:c>
      <x:c r="O122" s="104" t="str">
        <x:v>ASK_LEGEND</x:v>
      </x:c>
      <x:c r="P122" s="104" t="str">
        <x:v>Ist der Schnee historischer Fakt?</x:v>
      </x:c>
      <x:c r="Q122" s="104" t="str">
        <x:v>Nein. Die Quest kennzeichnet ihn als Legendenrahmung; belegte Aussagen stammen nur aus Fact-Sets.</x:v>
      </x:c>
      <x:c r="R122" s="104" t="str">
        <x:v>{"sourceClarity":true}</x:v>
      </x:c>
      <x:c r="S122" s="104" t="str">
        <x:v>CLERIC_WARMTH</x:v>
      </x:c>
      <x:c r="T122" s="104" t="str">
        <x:v>[Ordensperson] Ich stärke die gemeinsame Wärme.</x:v>
      </x:c>
      <x:c r="U122" s="104" t="str">
        <x:v>Dann koordiniere Heilung und Schutz im globalen Fenster.</x:v>
      </x:c>
      <x:c r="V122" s="104" t="str">
        <x:v>{"classCheck":"CLERIC","bossRole":"support"}</x:v>
      </x:c>
      <x:c r="W122" s="104" t="str">
        <x:v>B-D2-01-MID</x:v>
      </x:c>
      <x:c r="X122" s="104" t="str"/>
      <x:c r="Y122" s="110" t="n">
        <x:f>LEN(J122)+LEN(L122)+LEN(M122)+LEN(P122)+LEN(Q122)+LEN(T122)+LEN(U122)</x:f>
        <x:v>463</x:v>
      </x:c>
      <x:c r="Z122" s="110" t="n">
        <x:f>SUMIF($B$5:$B$124,B122,$Y$5:$Y$124)</x:f>
        <x:v>463</x:v>
      </x:c>
      <x:c r="AA122" s="104" t="str">
        <x:v>Max. 1000 Zeichen pro Interaktionssequenz; historischer Inhalt nur aus Fact-Set.</x:v>
      </x:c>
    </x:row>
    <x:row r="123" ht="88" customHeight="1">
      <x:c r="A123" s="101" t="str">
        <x:v>B-D2-01</x:v>
      </x:c>
      <x:c r="B123" s="101" t="str">
        <x:v>B-D2-01-MID</x:v>
      </x:c>
      <x:c r="C123" s="101" t="str">
        <x:v>B-D2-01-N2</x:v>
      </x:c>
      <x:c r="D123" s="101" t="str">
        <x:v>MID</x:v>
      </x:c>
      <x:c r="E123" s="101" t="n">
        <x:v>2</x:v>
      </x:c>
      <x:c r="F123" s="101" t="str">
        <x:v>npc_custode_neve</x:v>
      </x:c>
      <x:c r="G123" s="101" t="str">
        <x:v>Custode della Neve</x:v>
      </x:c>
      <x:c r="H123" s="101" t="str">
        <x:v>eisig feierlich</x:v>
      </x:c>
      <x:c r="I123" s="101" t="str">
        <x:v>questActive || phase==OFFER</x:v>
      </x:c>
      <x:c r="J123" s="101" t="str">
        <x:v>Eure Schichten halten. Jetzt teilt Wärme, Schutz und Angriff zwischen den Teams.</x:v>
      </x:c>
      <x:c r="K123" s="101" t="str">
        <x:v>REQUEST_HINT</x:v>
      </x:c>
      <x:c r="L123" s="101" t="str">
        <x:v>Gebt uns einen Hinweis.</x:v>
      </x:c>
      <x:c r="M123" s="101" t="str">
        <x:v>Ein Hinweis grenzt ein, löst aber nicht. Öffnet Stufe eins.</x:v>
      </x:c>
      <x:c r="N123" s="101" t="str">
        <x:v>{"openHint":1}</x:v>
      </x:c>
      <x:c r="O123" s="101" t="str">
        <x:v>OPEN_OBJECTIVE</x:v>
      </x:c>
      <x:c r="P123" s="101" t="str">
        <x:v>Wir sind bereit für die Aufgabe.</x:v>
      </x:c>
      <x:c r="Q123" s="101" t="str">
        <x:v>Dann öffnet die aktuelle Interaktion und bestätigt als Team.</x:v>
      </x:c>
      <x:c r="R123" s="101" t="str">
        <x:v>{"openObjective":true}</x:v>
      </x:c>
      <x:c r="S123" s="101" t="str">
        <x:v>CHECK_FACTS</x:v>
      </x:c>
      <x:c r="T123" s="101" t="str">
        <x:v>Welche Aussagen sind belegt?</x:v>
      </x:c>
      <x:c r="U123" s="101" t="str">
        <x:v>Öffnet die Faktenkarte. Fiktionale Rahmung ist dort getrennt markiert.</x:v>
      </x:c>
      <x:c r="V123" s="101" t="str">
        <x:v>{"openFactCard":true}</x:v>
      </x:c>
      <x:c r="W123" s="101" t="str">
        <x:v>B-D2-01-COMPLETE</x:v>
      </x:c>
      <x:c r="X123" s="101" t="str"/>
      <x:c r="Y123" s="109" t="n">
        <x:f>LEN(J123)+LEN(L123)+LEN(M123)+LEN(P123)+LEN(Q123)+LEN(T123)+LEN(U123)</x:f>
        <x:v>352</x:v>
      </x:c>
      <x:c r="Z123" s="109" t="n">
        <x:f>SUMIF($B$5:$B$124,B123,$Y$5:$Y$124)</x:f>
        <x:v>352</x:v>
      </x:c>
      <x:c r="AA123" s="101" t="str">
        <x:v>Max. 1000 Zeichen pro Interaktionssequenz; historischer Inhalt nur aus Fact-Set.</x:v>
      </x:c>
    </x:row>
    <x:row r="124" ht="88" customHeight="1">
      <x:c r="A124" s="104" t="str">
        <x:v>B-D2-01</x:v>
      </x:c>
      <x:c r="B124" s="104" t="str">
        <x:v>B-D2-01-COMPLETE</x:v>
      </x:c>
      <x:c r="C124" s="104" t="str">
        <x:v>B-D2-01-N3</x:v>
      </x:c>
      <x:c r="D124" s="104" t="str">
        <x:v>COMPLETE</x:v>
      </x:c>
      <x:c r="E124" s="104" t="n">
        <x:v>3</x:v>
      </x:c>
      <x:c r="F124" s="104" t="str">
        <x:v>npc_custode_neve</x:v>
      </x:c>
      <x:c r="G124" s="104" t="str">
        <x:v>Custode della Neve</x:v>
      </x:c>
      <x:c r="H124" s="104" t="str">
        <x:v>eisig feierlich</x:v>
      </x:c>
      <x:c r="I124" s="104" t="str">
        <x:v>questActive || phase==OFFER</x:v>
      </x:c>
      <x:c r="J124" s="104" t="str">
        <x:v>Der Schnee weicht. Nicht weil die Legende falsch war – sondern weil ihr sie als Legende erkannt und trotzdem ernst genommen habt.</x:v>
      </x:c>
      <x:c r="K124" s="104" t="str">
        <x:v>CLOSE_HUMBLE</x:v>
      </x:c>
      <x:c r="L124" s="104" t="str">
        <x:v>Wir dokumentieren die Lösung.</x:v>
      </x:c>
      <x:c r="M124" s="104" t="str">
        <x:v>Sauber abgeschlossen.</x:v>
      </x:c>
      <x:c r="N124" s="104" t="str">
        <x:v>{"closeDialogue":true}</x:v>
      </x:c>
      <x:c r="O124" s="104" t="str">
        <x:v>OPEN_FACTS</x:v>
      </x:c>
      <x:c r="P124" s="104" t="str">
        <x:v>Was sollten wir historisch behalten?</x:v>
      </x:c>
      <x:c r="Q124" s="104" t="str">
        <x:v>Öffnet die verifizierten Fakten und Quellen dieser Quest.</x:v>
      </x:c>
      <x:c r="R124" s="104" t="str">
        <x:v>{"openFactCard":true}</x:v>
      </x:c>
      <x:c r="S124" s="104" t="str">
        <x:v>PREVIEW_REWARD</x:v>
      </x:c>
      <x:c r="T124" s="104" t="str">
        <x:v>Und was erhalten wir?</x:v>
      </x:c>
      <x:c r="U124" s="104" t="str">
        <x:v>Die Belohnungsvorschau zeigt Arbeitswerte; der Server vergibt atomar.</x:v>
      </x:c>
      <x:c r="V124" s="104" t="str">
        <x:v>{"openRewardPreview":true}</x:v>
      </x:c>
      <x:c r="W124" s="104" t="str">
        <x:v>END</x:v>
      </x:c>
      <x:c r="X124" s="104" t="str"/>
      <x:c r="Y124" s="110" t="n">
        <x:f>LEN(J124)+LEN(L124)+LEN(M124)+LEN(P124)+LEN(Q124)+LEN(T124)+LEN(U124)</x:f>
        <x:v>362</x:v>
      </x:c>
      <x:c r="Z124" s="110" t="n">
        <x:f>SUMIF($B$5:$B$124,B124,$Y$5:$Y$124)</x:f>
        <x:v>362</x:v>
      </x:c>
      <x:c r="AA124" s="104" t="str">
        <x:v>Max. 1000 Zeichen pro Interaktionssequenz; historischer Inhalt nur aus Fact-Set.</x:v>
      </x:c>
    </x:row>
  </x:sheetData>
  <x:mergeCells>
    <x:mergeCell ref="A1:AA1"/>
    <x:mergeCell ref="A2:AA2"/>
  </x:mergeCells>
  <x:conditionalFormatting sqref="Z5:Z124">
    <x:cfRule type="cellIs" dxfId="28" priority="1" operator="greaterThan">
      <x:formula>1000</x:formula>
    </x:cfRule>
  </x:conditionalFormatting>
  <x:conditionalFormatting sqref="X5:X124">
    <x:cfRule type="containsText" dxfId="29" priority="2" operator="containsText" text="EASTER"/>
  </x:conditionalFormatting>
  <x:pageMargins left="0.7" right="0.7" top="0.75" bottom="0.75" header="0.3" footer="0.3"/>
  <x:tableParts count="1">
    <x:tablePart xmlns:r="http://schemas.openxmlformats.org/officeDocument/2006/relationships" r:id="R9561ed38557849b1"/>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28" hidden="0" customWidth="1"/>
    <x:col min="2" max="2" width="32" hidden="0" customWidth="1"/>
    <x:col min="3" max="3" width="27" hidden="0" customWidth="1"/>
    <x:col min="4" max="4" width="34" hidden="0" customWidth="1"/>
    <x:col min="5" max="5" width="35" hidden="0" customWidth="1"/>
    <x:col min="6" max="6" width="48" hidden="0" customWidth="1"/>
    <x:col min="7" max="7" width="30" hidden="0" customWidth="1"/>
    <x:col min="8" max="8" width="35" hidden="0" customWidth="1"/>
    <x:col min="9" max="9" width="42" hidden="0" customWidth="1"/>
    <x:col min="10" max="10" width="55" hidden="0" customWidth="1"/>
    <x:col min="11" max="11" width="25" hidden="0" customWidth="1"/>
    <x:col min="12" max="12" width="72" hidden="0" customWidth="1"/>
    <x:col min="13" max="13" width="55" hidden="0" customWidth="1"/>
    <x:col min="14" max="14" width="50" hidden="0" customWidth="1"/>
    <x:col min="15" max="15" width="22" hidden="0" customWidth="1"/>
    <x:col min="16" max="16" width="46" hidden="0" customWidth="1"/>
    <x:col min="17" max="17" width="14" hidden="0" customWidth="1"/>
    <x:col min="18" max="18" width="34" hidden="0" customWidth="1"/>
    <x:col min="19" max="19" width="34" hidden="0" customWidth="1"/>
  </x:cols>
  <x:sheetData>
    <x:row r="1" ht="28" customHeight="1">
      <x:c r="A1" s="91" t="str">
        <x:v>Via Romae – Figurenbibel v0.9</x:v>
      </x:c>
      <x:c r="B1" s="91"/>
      <x:c r="C1" s="91"/>
      <x:c r="D1" s="91"/>
      <x:c r="E1" s="91"/>
      <x:c r="F1" s="91"/>
      <x:c r="G1" s="91"/>
      <x:c r="H1" s="91"/>
      <x:c r="I1" s="91"/>
      <x:c r="J1" s="91"/>
      <x:c r="K1" s="91"/>
      <x:c r="L1" s="91"/>
      <x:c r="M1" s="91"/>
      <x:c r="N1" s="91"/>
      <x:c r="O1" s="91"/>
    </x:row>
    <x:row r="2" ht="38" customHeight="1">
      <x:c r="A2" s="95" t="str">
        <x:v>36 Charaktere mit promptfähiger Bildbeschreibung, mindestens einer Stance und referenziertem Startframe-/Loop-Profil; Bosse besitzen je eine Stance pro Kampfphase.</x:v>
      </x:c>
      <x:c r="B2" s="95"/>
      <x:c r="C2" s="95"/>
      <x:c r="D2" s="95"/>
      <x:c r="E2" s="95"/>
      <x:c r="F2" s="95"/>
      <x:c r="G2" s="95"/>
      <x:c r="H2" s="95"/>
      <x:c r="I2" s="95"/>
      <x:c r="J2" s="95"/>
      <x:c r="K2" s="95"/>
      <x:c r="L2" s="95"/>
      <x:c r="M2" s="95"/>
      <x:c r="N2" s="95"/>
      <x:c r="O2" s="95"/>
    </x:row>
    <x:row r="3">
      <x:c r="A3" s="52"/>
      <x:c r="B3" s="52"/>
      <x:c r="C3" s="52"/>
      <x:c r="D3" s="52"/>
      <x:c r="E3" s="52"/>
      <x:c r="F3" s="52"/>
      <x:c r="G3" s="52"/>
      <x:c r="H3" s="52"/>
      <x:c r="I3" s="52"/>
      <x:c r="J3" s="52"/>
      <x:c r="K3" s="52"/>
      <x:c r="L3" s="52"/>
      <x:c r="M3" s="52"/>
      <x:c r="N3" s="52"/>
      <x:c r="O3" s="52"/>
    </x:row>
    <x:row r="4" ht="15" hidden="0" customHeight="1">
      <x:c r="A4" s="98" t="str">
        <x:v>Character-ID</x:v>
      </x:c>
      <x:c r="B4" s="98" t="str">
        <x:v>Anzeigename</x:v>
      </x:c>
      <x:c r="C4" s="98" t="str">
        <x:v>Kanonstatus</x:v>
      </x:c>
      <x:c r="D4" s="98" t="str">
        <x:v>Rolle</x:v>
      </x:c>
      <x:c r="E4" s="98" t="str">
        <x:v>Quest-IDs</x:v>
      </x:c>
      <x:c r="F4" s="98" t="str">
        <x:v>Charakter / Persönlichkeit</x:v>
      </x:c>
      <x:c r="G4" s="98" t="str">
        <x:v>Momentane Stimmung</x:v>
      </x:c>
      <x:c r="H4" s="98" t="str">
        <x:v>Stimmungsbogen</x:v>
      </x:c>
      <x:c r="I4" s="98" t="str">
        <x:v>Sprechweise</x:v>
      </x:c>
      <x:c r="J4" s="98" t="str">
        <x:v>Visueller Anker</x:v>
      </x:c>
      <x:c r="K4" s="98" t="str">
        <x:v>Bildreferenz</x:v>
      </x:c>
      <x:c r="L4" s="98" t="str">
        <x:v>Bildgenerierungsbeschreibung</x:v>
      </x:c>
      <x:c r="M4" s="98" t="str">
        <x:v>Do / Don't</x:v>
      </x:c>
      <x:c r="N4" s="98" t="str">
        <x:v>Quellen</x:v>
      </x:c>
      <x:c r="O4" s="98" t="str">
        <x:v>Status</x:v>
      </x:c>
      <x:c r="P4" s="165" t="str">
        <x:v>Stance-Referenz</x:v>
      </x:c>
      <x:c r="Q4" s="165" t="str">
        <x:v>Stance-Anzahl</x:v>
      </x:c>
      <x:c r="R4" s="165" t="str">
        <x:v>Animationsprofil</x:v>
      </x:c>
      <x:c r="S4" s="165" t="str">
        <x:v>Asset-Prompt-Referenz</x:v>
      </x:c>
    </x:row>
    <x:row r="5" ht="26.399999618530273" hidden="0" customHeight="1">
      <x:c r="A5" s="101" t="str">
        <x:v>npc_konrad_schildwacht</x:v>
      </x:c>
      <x:c r="B5" s="101" t="str">
        <x:v>Konrad von der letzten Schildwacht</x:v>
      </x:c>
      <x:c r="C5" s="101" t="str">
        <x:v>FIKTIONAL</x:v>
      </x:c>
      <x:c r="D5" s="101" t="str">
        <x:v>Geist eines Schweizergardisten</x:v>
      </x:c>
      <x:c r="E5" s="101" t="str">
        <x:v>D1-Q01</x:v>
      </x:c>
      <x:c r="F5" s="101" t="str">
        <x:v>pflichtbewusst, trocken, beschützend; prüft erst, vertraut dann</x:v>
      </x:c>
      <x:c r="G5" s="101" t="str">
        <x:v>angespannt und wachsam</x:v>
      </x:c>
      <x:c r="H5" s="101" t="str">
        <x:v>Wachsamkeit → widerwilliger Respekt</x:v>
      </x:c>
      <x:c r="I5" s="101" t="str">
        <x:v>kurze militärische Sätze; trockener Schweizer Humor</x:v>
      </x:c>
      <x:c r="J5" s="101" t="str">
        <x:v>junger Gardist in renaissancezeitlicher blau-gelb-roter Uniform, dunkler Brustharnisch, Hellebarde, staubiger Umhang, ruhiger konzentrierter Blick</x:v>
      </x:c>
      <x:c r="K5" s="111" t="str"/>
      <x:c r="L5" s="101" t="str">
        <x:v>Mobile-RPG-Charakterporträt, Ganzkörper oder Dreiviertelfigur, Renaissance-/Rom-Fantasy mit historisch plausiblen Materialien, junger Gardist in renaissancezeitlicher blau-gelb-roter Uniform, dunkler Brustharnisch, Hellebarde, staubiger Umhang, ruhiger konzentrierter Blick. Stimmung: angespannt und wachsam. Klare Silhouette, neutraler atmosphärischer Hintergrund, warmes Gold und dunkle Erdtöne, keine Schrift, kein Logo, keine moderne Kleidung, keine Fotokopie einer realen Person.</x:v>
      </x:c>
      <x:c r="M5" s="101" t="str">
        <x:v>Historische Fakten nie improvisieren; Fiktion als Fiktion markieren; keine langen Monologe.</x:v>
      </x:c>
      <x:c r="N5" s="101" t="str">
        <x:v>https://www.turismoroma.it/it/luoghi/piazza-san-pietro
https://www.turismoroma.it/en/places/passetto-di-borgo
https://www.turismoroma.it/en/places/santangelo-castle</x:v>
      </x:c>
      <x:c r="O5" s="101" t="str">
        <x:v>EDITORIAL_REVIEW</x:v>
      </x:c>
      <x:c r="P5" s="168" t="str">
        <x:v>STANCE:npc_konrad_schildwacht:IDLE_READY</x:v>
      </x:c>
      <x:c r="Q5" s="168" t="n">
        <x:v>1</x:v>
      </x:c>
      <x:c r="R5" s="168" t="str">
        <x:v>2–4 s | 1280×720 (720p) | seamless loop</x:v>
      </x:c>
      <x:c r="S5" s="168" t="str">
        <x:v>Asset-Prompts!CHAR-PORTRAIT:npc_konrad_schildwacht</x:v>
      </x:c>
    </x:row>
    <x:row r="6" ht="26.399999618530273" hidden="0" customHeight="1">
      <x:c r="A6" s="104" t="str">
        <x:v>npc_capitano_malatesta</x:v>
      </x:c>
      <x:c r="B6" s="104" t="str">
        <x:v>Capitano Malatesta</x:v>
      </x:c>
      <x:c r="C6" s="104" t="str">
        <x:v>FIKTIONAL</x:v>
      </x:c>
      <x:c r="D6" s="104" t="str">
        <x:v>pensionierter Condottiere</x:v>
      </x:c>
      <x:c r="E6" s="104" t="str">
        <x:v>D1-Q02</x:v>
      </x:c>
      <x:c r="F6" s="104" t="str">
        <x:v>eitel, taktisch brillant, allergisch gegen schlechte Befestigungen</x:v>
      </x:c>
      <x:c r="G6" s="104" t="str">
        <x:v>spöttisch gelangweilt</x:v>
      </x:c>
      <x:c r="H6" s="104" t="str">
        <x:v>Spott → fachliches Interesse → kämpferische Begeisterung</x:v>
      </x:c>
      <x:c r="I6" s="104" t="str">
        <x:v>blumige Beleidigungen, präzise Befehle</x:v>
      </x:c>
      <x:c r="J6" s="104" t="str">
        <x:v>älterer italienischer Söldnerhauptmann, scharlachroter Mantel über dunkler Plattenrüstung, Federbarett, gepflegter Schnurrbart, Kartenrolle und Katzengrinsen</x:v>
      </x:c>
      <x:c r="K6" s="111" t="str"/>
      <x:c r="L6" s="104" t="str">
        <x:v>Mobile-RPG-Charakterporträt, Ganzkörper oder Dreiviertelfigur, Renaissance-/Rom-Fantasy mit historisch plausiblen Materialien, älterer italienischer Söldnerhauptmann, scharlachroter Mantel über dunkler Plattenrüstung, Federbarett, gepflegter Schnurrbart, Kartenrolle und Katzengrinsen. Stimmung: spöttisch gelangweilt. Klare Silhouette, neutraler atmosphärischer Hintergrund, warmes Gold und dunkle Erdtöne, keine Schrift, kein Logo, keine moderne Kleidung, keine Fotokopie einer realen Person.</x:v>
      </x:c>
      <x:c r="M6" s="104" t="str">
        <x:v>Historische Fakten nie improvisieren; Fiktion als Fiktion markieren; keine langen Monologe.</x:v>
      </x:c>
      <x:c r="N6" s="104" t="str">
        <x:v>https://it.wikipedia.org/wiki/Porta_San_Pellegrino
https://www.openstreetmap.org/node/6205478926
https://www.turismoroma.it/it/luoghi/porta-santo-spirito</x:v>
      </x:c>
      <x:c r="O6" s="104" t="str">
        <x:v>EDITORIAL_REVIEW</x:v>
      </x:c>
      <x:c r="P6" s="168" t="str">
        <x:v>STANCE:npc_capitano_malatesta:IDLE_READY</x:v>
      </x:c>
      <x:c r="Q6" s="168" t="n">
        <x:v>1</x:v>
      </x:c>
      <x:c r="R6" s="168" t="str">
        <x:v>2–4 s | 1280×720 (720p) | seamless loop</x:v>
      </x:c>
      <x:c r="S6" s="168" t="str">
        <x:v>Asset-Prompts!CHAR-PORTRAIT:npc_capitano_malatesta</x:v>
      </x:c>
    </x:row>
    <x:row r="7" ht="26.399999618530273" hidden="0" customHeight="1">
      <x:c r="A7" s="101" t="str">
        <x:v>npc_flaminia_trivium</x:v>
      </x:c>
      <x:c r="B7" s="101" t="str">
        <x:v>Flaminia vom Dreizack</x:v>
      </x:c>
      <x:c r="C7" s="101" t="str">
        <x:v>FIKTIONAL</x:v>
      </x:c>
      <x:c r="D7" s="101" t="str">
        <x:v>Stadtgeist der Piazza del Popolo</x:v>
      </x:c>
      <x:c r="E7" s="101" t="str">
        <x:v>D1-Q03</x:v>
      </x:c>
      <x:c r="F7" s="101" t="str">
        <x:v>neugierig, schnell, leicht schadenfroh</x:v>
      </x:c>
      <x:c r="G7" s="101" t="str">
        <x:v>spielerisch ungeduldig</x:v>
      </x:c>
      <x:c r="H7" s="101" t="str">
        <x:v>Rätselnde Distanz → begeisterte Weggefährtin</x:v>
      </x:c>
      <x:c r="I7" s="101" t="str">
        <x:v>Richtungsmetaphern und kurze Spitzen</x:v>
      </x:c>
      <x:c r="J7" s="101" t="str">
        <x:v>junge römische Stadtbotin, sandfarbener Reisemantel, drei bronzene Wegnadeln im Haar, kleine Kartenfragmente, wacher Blick, Wind bewegt den Stoff</x:v>
      </x:c>
      <x:c r="K7" s="111" t="str"/>
      <x:c r="L7" s="101" t="str">
        <x:v>Mobile-RPG-Charakterporträt, Ganzkörper oder Dreiviertelfigur, Renaissance-/Rom-Fantasy mit historisch plausiblen Materialien, junge römische Stadtbotin, sandfarbener Reisemantel, drei bronzene Wegnadeln im Haar, kleine Kartenfragmente, wacher Blick, Wind bewegt den Stoff. Stimmung: spielerisch ungeduldig. Klare Silhouette, neutraler atmosphärischer Hintergrund, warmes Gold und dunkle Erdtöne, keine Schrift, kein Logo, keine moderne Kleidung, keine Fotokopie einer realen Person.</x:v>
      </x:c>
      <x:c r="M7" s="101" t="str">
        <x:v>Historische Fakten nie improvisieren; Fiktion als Fiktion markieren; keine langen Monologe.</x:v>
      </x:c>
      <x:c r="N7" s="101" t="str">
        <x:v>https://en.wikipedia.org/wiki/Piazza_del_Popolo
https://en.wikipedia.org/wiki/Flaminio_Obelisk
https://en.wikipedia.org/wiki/Porta_del_Popolo</x:v>
      </x:c>
      <x:c r="O7" s="101" t="str">
        <x:v>EDITORIAL_REVIEW</x:v>
      </x:c>
      <x:c r="P7" s="168" t="str">
        <x:v>STANCE:npc_flaminia_trivium:IDLE_READY</x:v>
      </x:c>
      <x:c r="Q7" s="168" t="n">
        <x:v>1</x:v>
      </x:c>
      <x:c r="R7" s="168" t="str">
        <x:v>2–4 s | 1280×720 (720p) | seamless loop</x:v>
      </x:c>
      <x:c r="S7" s="168" t="str">
        <x:v>Asset-Prompts!CHAR-PORTRAIT:npc_flaminia_trivium</x:v>
      </x:c>
    </x:row>
    <x:row r="8" ht="26.399999618530273" hidden="0" customHeight="1">
      <x:c r="A8" s="104" t="str">
        <x:v>npc_seshat_pincio</x:v>
      </x:c>
      <x:c r="B8" s="104" t="str">
        <x:v>Seshat vom Pincio</x:v>
      </x:c>
      <x:c r="C8" s="104" t="str">
        <x:v>FIKTIONAL</x:v>
      </x:c>
      <x:c r="D8" s="104" t="str">
        <x:v>Erinnerungsgeist einer Schreiberin</x:v>
      </x:c>
      <x:c r="E8" s="104" t="str">
        <x:v>D1-Q04</x:v>
      </x:c>
      <x:c r="F8" s="104" t="str">
        <x:v>präzise, ruhig, fasziniert von fehlerhaften Übersetzungen</x:v>
      </x:c>
      <x:c r="G8" s="104" t="str">
        <x:v>kühl besorgt</x:v>
      </x:c>
      <x:c r="H8" s="104" t="str">
        <x:v>Kühle Prüfung → warnende Verbündete</x:v>
      </x:c>
      <x:c r="I8" s="104" t="str">
        <x:v>knappe Bilder, korrigiert Begriffe höflich</x:v>
      </x:c>
      <x:c r="J8" s="104" t="str">
        <x:v>ägyptisch-römische Schreiberin als geisterhafte Steinfigur, Leinengewand, Schreibpalette, Sternsymbol im Haar, blassgoldene Hieroglyphen leuchten auf Armen</x:v>
      </x:c>
      <x:c r="K8" s="111" t="str"/>
      <x:c r="L8" s="104" t="str">
        <x:v>Mobile-RPG-Charakterporträt, Ganzkörper oder Dreiviertelfigur, Renaissance-/Rom-Fantasy mit historisch plausiblen Materialien, ägyptisch-römische Schreiberin als geisterhafte Steinfigur, Leinengewand, Schreibpalette, Sternsymbol im Haar, blassgoldene Hieroglyphen leuchten auf Armen. Stimmung: kühl besorgt. Klare Silhouette, neutraler atmosphärischer Hintergrund, warmes Gold und dunkle Erdtöne, keine Schrift, kein Logo, keine moderne Kleidung, keine Fotokopie einer realen Person.</x:v>
      </x:c>
      <x:c r="M8" s="104" t="str">
        <x:v>Historische Fakten nie improvisieren; Fiktion als Fiktion markieren; keine langen Monologe.</x:v>
      </x:c>
      <x:c r="N8" s="104" t="str">
        <x:v>https://it.wikipedia.org/wiki/Obelisco_del_Pincio
https://www.openstreetmap.org/relation/11496554
https://www.openstreetmap.org/node/649529694</x:v>
      </x:c>
      <x:c r="O8" s="104" t="str">
        <x:v>EDITORIAL_REVIEW</x:v>
      </x:c>
      <x:c r="P8" s="168" t="str">
        <x:v>STANCE:npc_seshat_pincio:IDLE_READY</x:v>
      </x:c>
      <x:c r="Q8" s="168" t="n">
        <x:v>1</x:v>
      </x:c>
      <x:c r="R8" s="168" t="str">
        <x:v>2–4 s | 1280×720 (720p) | seamless loop</x:v>
      </x:c>
      <x:c r="S8" s="168" t="str">
        <x:v>Asset-Prompts!CHAR-PORTRAIT:npc_seshat_pincio</x:v>
      </x:c>
    </x:row>
    <x:row r="9" ht="26.399999618530273" hidden="0" customHeight="1">
      <x:c r="A9" s="101" t="str">
        <x:v>npc_barcaccia</x:v>
      </x:c>
      <x:c r="B9" s="101" t="str">
        <x:v>La Barcaccia</x:v>
      </x:c>
      <x:c r="C9" s="101" t="str">
        <x:v>FIKTIONAL</x:v>
      </x:c>
      <x:c r="D9" s="101" t="str">
        <x:v>sprechender Brunnengeist</x:v>
      </x:c>
      <x:c r="E9" s="101" t="str">
        <x:v>D1-Q05</x:v>
      </x:c>
      <x:c r="F9" s="101" t="str">
        <x:v>melodramatisch, charmant, chronisch beleidigt über das Wort ‚gesunken‘</x:v>
      </x:c>
      <x:c r="G9" s="101" t="str">
        <x:v>theatralisch gekränkt</x:v>
      </x:c>
      <x:c r="H9" s="101" t="str">
        <x:v>Gekränkt → amüsiert → stolz</x:v>
      </x:c>
      <x:c r="I9" s="101" t="str">
        <x:v>nautische Metaphern und Seufzer</x:v>
      </x:c>
      <x:c r="J9" s="101" t="str">
        <x:v>kleiner Wassergeist in Form eines halb im Becken liegenden steinernen Boots, Gesicht aus Wasserreflexen, winziger Kapitänshut, barocke Ornamente</x:v>
      </x:c>
      <x:c r="K9" s="111" t="str"/>
      <x:c r="L9" s="101" t="str">
        <x:v>Mobile-RPG-Charakterporträt, Ganzkörper oder Dreiviertelfigur, Renaissance-/Rom-Fantasy mit historisch plausiblen Materialien, kleiner Wassergeist in Form eines halb im Becken liegenden steinernen Boots, Gesicht aus Wasserreflexen, winziger Kapitänshut, barocke Ornamente. Stimmung: theatralisch gekränkt. Klare Silhouette, neutraler atmosphärischer Hintergrund, warmes Gold und dunkle Erdtöne, keine Schrift, kein Logo, keine moderne Kleidung, keine Fotokopie einer realen Person.</x:v>
      </x:c>
      <x:c r="M9" s="101" t="str">
        <x:v>Historische Fakten nie improvisieren; Fiktion als Fiktion markieren; keine langen Monologe.</x:v>
      </x:c>
      <x:c r="N9" s="101" t="str">
        <x:v>https://it.wikipedia.org/wiki/Piazza_di_Spagna</x:v>
      </x:c>
      <x:c r="O9" s="101" t="str">
        <x:v>EDITORIAL_REVIEW</x:v>
      </x:c>
      <x:c r="P9" s="168" t="str">
        <x:v>STANCE:npc_barcaccia:IDLE_READY</x:v>
      </x:c>
      <x:c r="Q9" s="168" t="n">
        <x:v>1</x:v>
      </x:c>
      <x:c r="R9" s="168" t="str">
        <x:v>2–4 s | 1280×720 (720p) | seamless loop</x:v>
      </x:c>
      <x:c r="S9" s="168" t="str">
        <x:v>Asset-Prompts!CHAR-PORTRAIT:npc_barcaccia</x:v>
      </x:c>
    </x:row>
    <x:row r="10" ht="26.399999618530273" hidden="0" customHeight="1">
      <x:c r="A10" s="104" t="str">
        <x:v>npc_bernini_echo</x:v>
      </x:c>
      <x:c r="B10" s="104" t="str">
        <x:v>Gian Lorenzo Bernini – Werkstattecho</x:v>
      </x:c>
      <x:c r="C10" s="104" t="str">
        <x:v>HISTORISCHE_FANTASY</x:v>
      </x:c>
      <x:c r="D10" s="104" t="str">
        <x:v>barocker Meister und Questgeber</x:v>
      </x:c>
      <x:c r="E10" s="104" t="str">
        <x:v>D1-Q06</x:v>
      </x:c>
      <x:c r="F10" s="104" t="str">
        <x:v>brillant, konkurrenzfreudig, großzügig bei echtem Können</x:v>
      </x:c>
      <x:c r="G10" s="104" t="str">
        <x:v>kreativ gereizt</x:v>
      </x:c>
      <x:c r="H10" s="104" t="str">
        <x:v>Prüfender Meister → begeisterter Regisseur</x:v>
      </x:c>
      <x:c r="I10" s="104" t="str">
        <x:v>schnell, bildhaft, selbstbewusst</x:v>
      </x:c>
      <x:c r="J10" s="104" t="str">
        <x:v>italienischer Barockbildhauer mittleren Alters, lockiges dunkles Haar, feiner Bart, weißes Hemd mit hochgekrempelten Ärmeln, dunkle Weste, Meißel und Skizzenbuch, lebhafte Hände</x:v>
      </x:c>
      <x:c r="K10" s="111" t="str"/>
      <x:c r="L10" s="104" t="str">
        <x:v>Mobile-RPG-Charakterporträt, Ganzkörper oder Dreiviertelfigur, Renaissance-/Rom-Fantasy mit historisch plausiblen Materialien, italienischer Barockbildhauer mittleren Alters, lockiges dunkles Haar, feiner Bart, weißes Hemd mit hochgekrempelten Ärmeln, dunkle Weste, Meißel und Skizzenbuch, lebhafte Hände. Stimmung: kreativ gereizt. Klare Silhouette, neutraler atmosphärischer Hintergrund, warmes Gold und dunkle Erdtöne, keine Schrift, kein Logo, keine moderne Kleidung, keine Fotokopie einer realen Person.</x:v>
      </x:c>
      <x:c r="M10" s="104" t="str">
        <x:v>Historische Fakten nie improvisieren; Fiktion als Fiktion markieren; keine langen Monologe.</x:v>
      </x:c>
      <x:c r="N10" s="104" t="str">
        <x:v>https://it.wikipedia.org/wiki/Piazza_Navona
https://it.wikipedia.org/wiki/Fontana_del_Nettuno_(Roma)
https://it.wikipedia.org/wiki/Fontana_del_Moro</x:v>
      </x:c>
      <x:c r="O10" s="104" t="str">
        <x:v>EDITORIAL_REVIEW</x:v>
      </x:c>
      <x:c r="P10" s="168" t="str">
        <x:v>STANCE:npc_bernini_echo:IDLE_READY</x:v>
      </x:c>
      <x:c r="Q10" s="168" t="n">
        <x:v>1</x:v>
      </x:c>
      <x:c r="R10" s="168" t="str">
        <x:v>2–4 s | 1280×720 (720p) | seamless loop</x:v>
      </x:c>
      <x:c r="S10" s="168" t="str">
        <x:v>Asset-Prompts!CHAR-PORTRAIT:npc_bernini_echo</x:v>
      </x:c>
    </x:row>
    <x:row r="11" ht="26.399999618530273" hidden="0" customHeight="1">
      <x:c r="A11" s="101" t="str">
        <x:v>npc_agrippa_echo</x:v>
      </x:c>
      <x:c r="B11" s="101" t="str">
        <x:v>Marcus Agrippa – Echo der Inschrift</x:v>
      </x:c>
      <x:c r="C11" s="101" t="str">
        <x:v>HISTORISCHE_FANTASY</x:v>
      </x:c>
      <x:c r="D11" s="101" t="str">
        <x:v>strenger Bauherrengeist</x:v>
      </x:c>
      <x:c r="E11" s="101" t="str">
        <x:v>D1-Q07</x:v>
      </x:c>
      <x:c r="F11" s="101" t="str">
        <x:v>nüchtern, stolz, unbeeindruckt von Ausschmückung</x:v>
      </x:c>
      <x:c r="G11" s="101" t="str">
        <x:v>skeptisch</x:v>
      </x:c>
      <x:c r="H11" s="101" t="str">
        <x:v>Prüfung → sachliche Zustimmung</x:v>
      </x:c>
      <x:c r="I11" s="101" t="str">
        <x:v>lapidar, konstruktiv, keine Metaphern ohne Statik</x:v>
      </x:c>
      <x:c r="J11" s="101" t="str">
        <x:v>römischer Staatsmann in schlichter Toga, kantiges Gesicht, Wachstafel, bronzene Messschnur, Buchstaben AGRIPPA als schwaches Licht hinter ihm</x:v>
      </x:c>
      <x:c r="K11" s="111" t="str"/>
      <x:c r="L11" s="101" t="str">
        <x:v>Mobile-RPG-Charakterporträt, Ganzkörper oder Dreiviertelfigur, Renaissance-/Rom-Fantasy mit historisch plausiblen Materialien, römischer Staatsmann in schlichter Toga, kantiges Gesicht, Wachstafel, bronzene Messschnur, Buchstaben AGRIPPA als schwaches Licht hinter ihm. Stimmung: skeptisch. Klare Silhouette, neutraler atmosphärischer Hintergrund, warmes Gold und dunkle Erdtöne, keine Schrift, kein Logo, keine moderne Kleidung, keine Fotokopie einer realen Person.</x:v>
      </x:c>
      <x:c r="M11" s="101" t="str">
        <x:v>Historische Fakten nie improvisieren; Fiktion als Fiktion markieren; keine langen Monologe.</x:v>
      </x:c>
      <x:c r="N11" s="101" t="str">
        <x:v>https://www.turismoroma.it/it/luoghi/pantheon
https://it.wikipedia.org/wiki/Obelisco_del_Pantheon</x:v>
      </x:c>
      <x:c r="O11" s="101" t="str">
        <x:v>EDITORIAL_REVIEW</x:v>
      </x:c>
      <x:c r="P11" s="168" t="str">
        <x:v>STANCE:npc_agrippa_echo:IDLE_READY</x:v>
      </x:c>
      <x:c r="Q11" s="168" t="n">
        <x:v>1</x:v>
      </x:c>
      <x:c r="R11" s="168" t="str">
        <x:v>2–4 s | 1280×720 (720p) | seamless loop</x:v>
      </x:c>
      <x:c r="S11" s="168" t="str">
        <x:v>Asset-Prompts!CHAR-PORTRAIT:npc_agrippa_echo</x:v>
      </x:c>
    </x:row>
    <x:row r="12" ht="26.399999618530273" hidden="0" customHeight="1">
      <x:c r="A12" s="104" t="str">
        <x:v>npc_cassius_archivar</x:v>
      </x:c>
      <x:c r="B12" s="104" t="str">
        <x:v>Cassius Spiralis</x:v>
      </x:c>
      <x:c r="C12" s="104" t="str">
        <x:v>FIKTIONAL</x:v>
      </x:c>
      <x:c r="D12" s="104" t="str">
        <x:v>kaiserlicher Archivar</x:v>
      </x:c>
      <x:c r="E12" s="104" t="str">
        <x:v>D1-Q08</x:v>
      </x:c>
      <x:c r="F12" s="104" t="str">
        <x:v>pedantisch, fair, heimlich begeistert von Mustern</x:v>
      </x:c>
      <x:c r="G12" s="104" t="str">
        <x:v>überarbeitet</x:v>
      </x:c>
      <x:c r="H12" s="104" t="str">
        <x:v>Genervter Archivar → zufriedener Systematiker</x:v>
      </x:c>
      <x:c r="I12" s="104" t="str">
        <x:v>ordnet alles in Kategorien; zählt halblaut</x:v>
      </x:c>
      <x:c r="J12" s="104" t="str">
        <x:v>römischer Archivar mit ockerfarbener Tunika, Lederrollenbehälter, zwei Pergamente – eines mit Hieroglyphen, eines mit Spiralzeichnung –, Tintenflecken an den Fingern</x:v>
      </x:c>
      <x:c r="K12" s="111" t="str"/>
      <x:c r="L12" s="104" t="str">
        <x:v>Mobile-RPG-Charakterporträt, Ganzkörper oder Dreiviertelfigur, Renaissance-/Rom-Fantasy mit historisch plausiblen Materialien, römischer Archivar mit ockerfarbener Tunika, Lederrollenbehälter, zwei Pergamente – eines mit Hieroglyphen, eines mit Spiralzeichnung –, Tintenflecken an den Fingern. Stimmung: überarbeitet. Klare Silhouette, neutraler atmosphärischer Hintergrund, warmes Gold und dunkle Erdtöne, keine Schrift, kein Logo, keine moderne Kleidung, keine Fotokopie einer realen Person.</x:v>
      </x:c>
      <x:c r="M12" s="104" t="str">
        <x:v>Historische Fakten nie improvisieren; Fiktion als Fiktion markieren; keine langen Monologe.</x:v>
      </x:c>
      <x:c r="N12" s="104" t="str">
        <x:v>https://it.wikipedia.org/wiki/Obelisco_di_Montecitorio
https://it.wikipedia.org/wiki/Colonna_di_Marco_Aurelio</x:v>
      </x:c>
      <x:c r="O12" s="104" t="str">
        <x:v>EDITORIAL_REVIEW</x:v>
      </x:c>
      <x:c r="P12" s="168" t="str">
        <x:v>STANCE:npc_cassius_archivar:IDLE_READY</x:v>
      </x:c>
      <x:c r="Q12" s="168" t="n">
        <x:v>1</x:v>
      </x:c>
      <x:c r="R12" s="168" t="str">
        <x:v>2–4 s | 1280×720 (720p) | seamless loop</x:v>
      </x:c>
      <x:c r="S12" s="168" t="str">
        <x:v>Asset-Prompts!CHAR-PORTRAIT:npc_cassius_archivar</x:v>
      </x:c>
    </x:row>
    <x:row r="13" ht="26.399999618530273" hidden="0" customHeight="1">
      <x:c r="A13" s="101" t="str">
        <x:v>npc_aqua_virgo</x:v>
      </x:c>
      <x:c r="B13" s="101" t="str">
        <x:v>Aqua Virgo</x:v>
      </x:c>
      <x:c r="C13" s="101" t="str">
        <x:v>MYTHISCHE_FIKTION</x:v>
      </x:c>
      <x:c r="D13" s="101" t="str">
        <x:v>Personifikation der Wasserleitung</x:v>
      </x:c>
      <x:c r="E13" s="101" t="str">
        <x:v>D1-Q09</x:v>
      </x:c>
      <x:c r="F13" s="101" t="str">
        <x:v>scharfsinnig, fürsorglich, verachtet Verschwendung</x:v>
      </x:c>
      <x:c r="G13" s="101" t="str">
        <x:v>empört und alarmiert</x:v>
      </x:c>
      <x:c r="H13" s="101" t="str">
        <x:v>Empörung → gereinigter Stolz</x:v>
      </x:c>
      <x:c r="I13" s="101" t="str">
        <x:v>fließende Sätze, dann plötzliche scharfe Befehle</x:v>
      </x:c>
      <x:c r="J13" s="101" t="str">
        <x:v>römische Wasserhüterin aus klarem blaugrünem Wasser, Travertin-Schulterplatten, Muschelschmuck, Amphore, Lichtlinien wie Aquäduktkanäle im Gewand</x:v>
      </x:c>
      <x:c r="K13" s="111" t="str"/>
      <x:c r="L13" s="101" t="str">
        <x:v>Mobile-RPG-Charakterporträt, Ganzkörper oder Dreiviertelfigur, Renaissance-/Rom-Fantasy mit historisch plausiblen Materialien, römische Wasserhüterin aus klarem blaugrünem Wasser, Travertin-Schulterplatten, Muschelschmuck, Amphore, Lichtlinien wie Aquäduktkanäle im Gewand. Stimmung: empört und alarmiert. Klare Silhouette, neutraler atmosphärischer Hintergrund, warmes Gold und dunkle Erdtöne, keine Schrift, kein Logo, keine moderne Kleidung, keine Fotokopie einer realen Person.</x:v>
      </x:c>
      <x:c r="M13" s="101" t="str">
        <x:v>Historische Fakten nie improvisieren; Fiktion als Fiktion markieren; keine langen Monologe.</x:v>
      </x:c>
      <x:c r="N13" s="101" t="str">
        <x:v>https://it.wikipedia.org/wiki/Fontana_di_Trevi
https://www.sovraintendenzaroma.it/i_luoghi/roma_antica/monumenti/acquedotto_vergine
https://it.wikipedia.org/wiki/Fontana_del_Tritone</x:v>
      </x:c>
      <x:c r="O13" s="101" t="str">
        <x:v>EDITORIAL_REVIEW</x:v>
      </x:c>
      <x:c r="P13" s="168" t="str">
        <x:v>STANCE:npc_aqua_virgo:IDLE_READY</x:v>
      </x:c>
      <x:c r="Q13" s="168" t="n">
        <x:v>1</x:v>
      </x:c>
      <x:c r="R13" s="168" t="str">
        <x:v>2–4 s | 1280×720 (720p) | seamless loop</x:v>
      </x:c>
      <x:c r="S13" s="168" t="str">
        <x:v>Asset-Prompts!CHAR-PORTRAIT:npc_aqua_virgo</x:v>
      </x:c>
    </x:row>
    <x:row r="14" ht="26.399999618530273" hidden="0" customHeight="1">
      <x:c r="A14" s="104" t="str">
        <x:v>npc_skanderbeg_echo</x:v>
      </x:c>
      <x:c r="B14" s="104" t="str">
        <x:v>Skanderbeg – steinernes Echo</x:v>
      </x:c>
      <x:c r="C14" s="104" t="str">
        <x:v>HISTORISCHE_FANTASY</x:v>
      </x:c>
      <x:c r="D14" s="104" t="str">
        <x:v>militärischer Ratgeber</x:v>
      </x:c>
      <x:c r="E14" s="104" t="str">
        <x:v>D1-Q10</x:v>
      </x:c>
      <x:c r="F14" s="104" t="str">
        <x:v>stolz, direkt, strategisch, respektiert unabhängiges Denken</x:v>
      </x:c>
      <x:c r="G14" s="104" t="str">
        <x:v>misstrauisch</x:v>
      </x:c>
      <x:c r="H14" s="104" t="str">
        <x:v>Misstrauen → Prüfung → respektvolle Allianz</x:v>
      </x:c>
      <x:c r="I14" s="104" t="str">
        <x:v>knappe Fragen; verachtet Schmeichelei</x:v>
      </x:c>
      <x:c r="J14" s="104" t="str">
        <x:v>albanischer Renaissancefeldherr, dunkler Mantel, verzierter Helm mit Ziegenkopf-Silhouette, Schwertgurt, markantes Profil, steinerne Textur an einer Gesichtshälfte</x:v>
      </x:c>
      <x:c r="K14" s="111" t="str"/>
      <x:c r="L14" s="104" t="str">
        <x:v>Mobile-RPG-Charakterporträt, Ganzkörper oder Dreiviertelfigur, Renaissance-/Rom-Fantasy mit historisch plausiblen Materialien, albanischer Renaissancefeldherr, dunkler Mantel, verzierter Helm mit Ziegenkopf-Silhouette, Schwertgurt, markantes Profil, steinerne Textur an einer Gesichtshälfte. Stimmung: misstrauisch. Klare Silhouette, neutraler atmosphärischer Hintergrund, warmes Gold und dunkle Erdtöne, keine Schrift, kein Logo, keine moderne Kleidung, keine Fotokopie einer realen Person.</x:v>
      </x:c>
      <x:c r="M14" s="104" t="str">
        <x:v>Historische Fakten nie improvisieren; Fiktion als Fiktion markieren; keine langen Monologe.</x:v>
      </x:c>
      <x:c r="N14" s="104" t="str">
        <x:v>https://en.wikipedia.org/wiki/Piazza_Scanderbeg
https://it.wikipedia.org/wiki/Obelisco_del_Quirinale
https://palazzo.quirinale.it/palazzo_en.html</x:v>
      </x:c>
      <x:c r="O14" s="104" t="str">
        <x:v>EDITORIAL_REVIEW</x:v>
      </x:c>
      <x:c r="P14" s="168" t="str">
        <x:v>STANCE:npc_skanderbeg_echo:IDLE_READY</x:v>
      </x:c>
      <x:c r="Q14" s="168" t="n">
        <x:v>1</x:v>
      </x:c>
      <x:c r="R14" s="168" t="str">
        <x:v>2–4 s | 1280×720 (720p) | seamless loop</x:v>
      </x:c>
      <x:c r="S14" s="168" t="str">
        <x:v>Asset-Prompts!CHAR-PORTRAIT:npc_skanderbeg_echo</x:v>
      </x:c>
    </x:row>
    <x:row r="15" ht="26.399999618530273" hidden="0" customHeight="1">
      <x:c r="A15" s="101" t="str">
        <x:v>npc_lucia_laternenhueterin</x:v>
      </x:c>
      <x:c r="B15" s="101" t="str">
        <x:v>Lucia, Laternenhüterin der Säule</x:v>
      </x:c>
      <x:c r="C15" s="101" t="str">
        <x:v>FIKTIONAL</x:v>
      </x:c>
      <x:c r="D15" s="101" t="str">
        <x:v>Hüterin eines Marienzeichens</x:v>
      </x:c>
      <x:c r="E15" s="101" t="str">
        <x:v>D1-Q11</x:v>
      </x:c>
      <x:c r="F15" s="101" t="str">
        <x:v>warm, aufmerksam, mit sanftem Witz</x:v>
      </x:c>
      <x:c r="G15" s="101" t="str">
        <x:v>ruhig prüfend</x:v>
      </x:c>
      <x:c r="H15" s="101" t="str">
        <x:v>Leise Prüfung → herzliche Bestätigung</x:v>
      </x:c>
      <x:c r="I15" s="101" t="str">
        <x:v>kurz, bildhaft, respektvoll</x:v>
      </x:c>
      <x:c r="J15" s="101" t="str">
        <x:v>römische Frau in schlichtem dunkelblauem Mantel, kleine Messinglaterne, vier geschnitzte Figuren am Gürtel, warmes Licht, ruhiges offenes Gesicht</x:v>
      </x:c>
      <x:c r="K15" s="111" t="str"/>
      <x:c r="L15" s="101" t="str">
        <x:v>Mobile-RPG-Charakterporträt, Ganzkörper oder Dreiviertelfigur, Renaissance-/Rom-Fantasy mit historisch plausiblen Materialien, römische Frau in schlichtem dunkelblauem Mantel, kleine Messinglaterne, vier geschnitzte Figuren am Gürtel, warmes Licht, ruhiges offenes Gesicht. Stimmung: ruhig prüfend. Klare Silhouette, neutraler atmosphärischer Hintergrund, warmes Gold und dunkle Erdtöne, keine Schrift, kein Logo, keine moderne Kleidung, keine Fotokopie einer realen Person.</x:v>
      </x:c>
      <x:c r="M15" s="101" t="str">
        <x:v>Historische Fakten nie improvisieren; Fiktion als Fiktion markieren; keine langen Monologe.</x:v>
      </x:c>
      <x:c r="N15" s="101" t="str">
        <x:v>https://it.wikipedia.org/wiki/Colonna_dell'Immacolata_(Roma)</x:v>
      </x:c>
      <x:c r="O15" s="101" t="str">
        <x:v>EDITORIAL_REVIEW</x:v>
      </x:c>
      <x:c r="P15" s="168" t="str">
        <x:v>STANCE:npc_lucia_laternenhueterin:IDLE_READY</x:v>
      </x:c>
      <x:c r="Q15" s="168" t="n">
        <x:v>1</x:v>
      </x:c>
      <x:c r="R15" s="168" t="str">
        <x:v>2–4 s | 1280×720 (720p) | seamless loop</x:v>
      </x:c>
      <x:c r="S15" s="168" t="str">
        <x:v>Asset-Prompts!CHAR-PORTRAIT:npc_lucia_laternenhueterin</x:v>
      </x:c>
    </x:row>
    <x:row r="16" ht="26.399999618530273" hidden="0" customHeight="1">
      <x:c r="A16" s="104" t="str">
        <x:v>npc_giordano_bruno_echo</x:v>
      </x:c>
      <x:c r="B16" s="104" t="str">
        <x:v>Giordano Bruno – dunkles Echo</x:v>
      </x:c>
      <x:c r="C16" s="104" t="str">
        <x:v>HISTORISCHE_FANTASY</x:v>
      </x:c>
      <x:c r="D16" s="104" t="str">
        <x:v>skeptischer Philosoph und Wegweiser</x:v>
      </x:c>
      <x:c r="E16" s="104" t="str">
        <x:v>D1-Q12</x:v>
      </x:c>
      <x:c r="F16" s="104" t="str">
        <x:v>scharf, unabhängig, provokant, neugierig auf Begründungen</x:v>
      </x:c>
      <x:c r="G16" s="104" t="str">
        <x:v>finster amüsiert</x:v>
      </x:c>
      <x:c r="H16" s="104" t="str">
        <x:v>Provokation → politischer Vergleich → respektvolle Debatte</x:v>
      </x:c>
      <x:c r="I16" s="104" t="str">
        <x:v>pointierte Fragen, keine bequemen Antworten</x:v>
      </x:c>
      <x:c r="J16" s="104" t="str">
        <x:v>dunkle bronzene Renaissancefigur mit Kapuze, geschlossenes Buch unter gekreuzten Händen, glimmende rote Reflexe, ernster Blick, Mantel im Wind</x:v>
      </x:c>
      <x:c r="K16" s="111" t="str"/>
      <x:c r="L16" s="104" t="str">
        <x:v>Mobile-RPG-Charakterporträt, Ganzkörper oder Dreiviertelfigur, Renaissance-/Rom-Fantasy mit historisch plausiblen Materialien, dunkle bronzene Renaissancefigur mit Kapuze, geschlossenes Buch unter gekreuzten Händen, glimmende rote Reflexe, ernster Blick, Mantel im Wind. Stimmung: finster amüsiert. Klare Silhouette, neutraler atmosphärischer Hintergrund, warmes Gold und dunkle Erdtöne, keine Schrift, kein Logo, keine moderne Kleidung, keine Fotokopie einer realen Person.</x:v>
      </x:c>
      <x:c r="M16" s="104" t="str">
        <x:v>Historische Fakten nie improvisieren; Fiktion als Fiktion markieren; keine langen Monologe.</x:v>
      </x:c>
      <x:c r="N16" s="104" t="str">
        <x:v>https://www.turismoroma.it/it/luoghi/ponte-sisto
https://it.wikipedia.org/wiki/Palazzo_Farnese_(Roma)
https://www.sovraintendenzaroma.it/i_luoghi/roma_medioevale_e_moderna/monumenti/monumento_a_giordano_bruno
https://it.wikipedia.org/wiki/Largo_di_Torre_Argentina</x:v>
      </x:c>
      <x:c r="O16" s="104" t="str">
        <x:v>EDITORIAL_REVIEW</x:v>
      </x:c>
      <x:c r="P16" s="168" t="str">
        <x:v>STANCE:npc_giordano_bruno_echo:IDLE_READY</x:v>
      </x:c>
      <x:c r="Q16" s="168" t="n">
        <x:v>1</x:v>
      </x:c>
      <x:c r="R16" s="168" t="str">
        <x:v>2–4 s | 1280×720 (720p) | seamless loop</x:v>
      </x:c>
      <x:c r="S16" s="168" t="str">
        <x:v>Asset-Prompts!CHAR-PORTRAIT:npc_giordano_bruno_echo</x:v>
      </x:c>
    </x:row>
    <x:row r="17" ht="26.399999618530273" hidden="0" customHeight="1">
      <x:c r="A17" s="101" t="str">
        <x:v>npc_marcella_scaena</x:v>
      </x:c>
      <x:c r="B17" s="101" t="str">
        <x:v>Marcella Scaena</x:v>
      </x:c>
      <x:c r="C17" s="101" t="str">
        <x:v>FIKTIONAL</x:v>
      </x:c>
      <x:c r="D17" s="101" t="str">
        <x:v>geisterhafte Bühnenmeisterin Roms</x:v>
      </x:c>
      <x:c r="E17" s="101" t="str">
        <x:v>D1-Q13</x:v>
      </x:c>
      <x:c r="F17" s="101" t="str">
        <x:v>dramatisch, effizient, gnadenlos gegenüber schlechtem Timing</x:v>
      </x:c>
      <x:c r="G17" s="101" t="str">
        <x:v>hektisch begeistert</x:v>
      </x:c>
      <x:c r="H17" s="101" t="str">
        <x:v>Produktionskrise → geordnete Akte → Applaus</x:v>
      </x:c>
      <x:c r="I17" s="101" t="str">
        <x:v>Theaterkommandos und bissige Regiehinweise</x:v>
      </x:c>
      <x:c r="J17" s="101" t="str">
        <x:v>römisch-barocke Bühnenmeisterin, schwarzes Kleid mit goldenen Nähten, Halbmaske am Gürtel, Pergament-Spielplan, Kreidestaub, entschlossener Blick</x:v>
      </x:c>
      <x:c r="K17" s="111" t="str"/>
      <x:c r="L17" s="101" t="str">
        <x:v>Mobile-RPG-Charakterporträt, Ganzkörper oder Dreiviertelfigur, Renaissance-/Rom-Fantasy mit historisch plausiblen Materialien, römisch-barocke Bühnenmeisterin, schwarzes Kleid mit goldenen Nähten, Halbmaske am Gürtel, Pergament-Spielplan, Kreidestaub, entschlossener Blick. Stimmung: hektisch begeistert. Klare Silhouette, neutraler atmosphärischer Hintergrund, warmes Gold und dunkle Erdtöne, keine Schrift, kein Logo, keine moderne Kleidung, keine Fotokopie einer realen Person.</x:v>
      </x:c>
      <x:c r="M17" s="101" t="str">
        <x:v>Historische Fakten nie improvisieren; Fiktion als Fiktion markieren; keine langen Monologe.</x:v>
      </x:c>
      <x:c r="N17" s="101" t="str">
        <x:v>https://it.wikipedia.org/wiki/Basilica_di_Sant'Andrea_della_Valle
https://www.turismoroma.it/it/luoghi/fontana-delle-tartarughe
https://www.turismoroma.it/it/luoghi/teatro-di-marcello</x:v>
      </x:c>
      <x:c r="O17" s="101" t="str">
        <x:v>EDITORIAL_REVIEW</x:v>
      </x:c>
      <x:c r="P17" s="168" t="str">
        <x:v>STANCE:npc_marcella_scaena:IDLE_READY</x:v>
      </x:c>
      <x:c r="Q17" s="168" t="n">
        <x:v>1</x:v>
      </x:c>
      <x:c r="R17" s="168" t="str">
        <x:v>2–4 s | 1280×720 (720p) | seamless loop</x:v>
      </x:c>
      <x:c r="S17" s="168" t="str">
        <x:v>Asset-Prompts!CHAR-PORTRAIT:npc_marcella_scaena</x:v>
      </x:c>
    </x:row>
    <x:row r="18" ht="26.399999618530273" hidden="0" customHeight="1">
      <x:c r="A18" s="104" t="str">
        <x:v>npc_tiberinus_medicus</x:v>
      </x:c>
      <x:c r="B18" s="104" t="str">
        <x:v>Tiberinus Medicus</x:v>
      </x:c>
      <x:c r="C18" s="104" t="str">
        <x:v>FIKTIONAL</x:v>
      </x:c>
      <x:c r="D18" s="104" t="str">
        <x:v>Inselarzt und Hüter der Schiffsform</x:v>
      </x:c>
      <x:c r="E18" s="104" t="str">
        <x:v>D1-Q14</x:v>
      </x:c>
      <x:c r="F18" s="104" t="str">
        <x:v>gelassen, fürsorglich, feiner schwarzer Humor</x:v>
      </x:c>
      <x:c r="G18" s="104" t="str">
        <x:v>besorgt, aber kontrolliert</x:v>
      </x:c>
      <x:c r="H18" s="104" t="str">
        <x:v>Diagnose → Symbolsuche → Heilung</x:v>
      </x:c>
      <x:c r="I18" s="104" t="str">
        <x:v>medizinische Bilder, ruhige Anweisungen</x:v>
      </x:c>
      <x:c r="J18" s="104" t="str">
        <x:v>antiker römischer Arzt, helles Leinengewand, Ledertasche, Stab mit einzelner Schlange, feuchte Travertinfragmente, freundliche müde Augen</x:v>
      </x:c>
      <x:c r="K18" s="111" t="str"/>
      <x:c r="L18" s="104" t="str">
        <x:v>Mobile-RPG-Charakterporträt, Ganzkörper oder Dreiviertelfigur, Renaissance-/Rom-Fantasy mit historisch plausiblen Materialien, antiker römischer Arzt, helles Leinengewand, Ledertasche, Stab mit einzelner Schlange, feuchte Travertinfragmente, freundliche müde Augen. Stimmung: besorgt, aber kontrolliert. Klare Silhouette, neutraler atmosphärischer Hintergrund, warmes Gold und dunkle Erdtöne, keine Schrift, kein Logo, keine moderne Kleidung, keine Fotokopie einer realen Person.</x:v>
      </x:c>
      <x:c r="M18" s="104" t="str">
        <x:v>Historische Fakten nie improvisieren; Fiktion als Fiktion markieren; keine langen Monologe.</x:v>
      </x:c>
      <x:c r="N18" s="104" t="str">
        <x:v>https://www.openstreetmap.org/node/4798313727</x:v>
      </x:c>
      <x:c r="O18" s="104" t="str">
        <x:v>EDITORIAL_REVIEW</x:v>
      </x:c>
      <x:c r="P18" s="168" t="str">
        <x:v>STANCE:npc_tiberinus_medicus:IDLE_READY</x:v>
      </x:c>
      <x:c r="Q18" s="168" t="n">
        <x:v>1</x:v>
      </x:c>
      <x:c r="R18" s="168" t="str">
        <x:v>2–4 s | 1280×720 (720p) | seamless loop</x:v>
      </x:c>
      <x:c r="S18" s="168" t="str">
        <x:v>Asset-Prompts!CHAR-PORTRAIT:npc_tiberinus_medicus</x:v>
      </x:c>
    </x:row>
    <x:row r="19" ht="26.399999618530273" hidden="0" customHeight="1">
      <x:c r="A19" s="101" t="str">
        <x:v>npc_cecilia_vox</x:v>
      </x:c>
      <x:c r="B19" s="101" t="str">
        <x:v>Cecilia – Stimme im Mosaik</x:v>
      </x:c>
      <x:c r="C19" s="101" t="str">
        <x:v>HISTORISCHE_FANTASY</x:v>
      </x:c>
      <x:c r="D19" s="101" t="str">
        <x:v>musikalische Heiligenfigur</x:v>
      </x:c>
      <x:c r="E19" s="101" t="str">
        <x:v>D1-Q15</x:v>
      </x:c>
      <x:c r="F19" s="101" t="str">
        <x:v>sanft, standhaft, skeptisch gegenüber übertriebenen Legenden</x:v>
      </x:c>
      <x:c r="G19" s="101" t="str">
        <x:v>nachdenklich</x:v>
      </x:c>
      <x:c r="H19" s="101" t="str">
        <x:v>Leise Unsicherheit → klare Trennung von Fakt und Legende</x:v>
      </x:c>
      <x:c r="I19" s="101" t="str">
        <x:v>rhythmische, ruhige Sätze; musikalische Bilder</x:v>
      </x:c>
      <x:c r="J19" s="101" t="str">
        <x:v>junge frühchristliche Frau, cremefarbenes Gewand, dunkelroter Mantel, kleine tragbare Leier, goldene Mosaiklichtpunkte, ernster freundlicher Blick</x:v>
      </x:c>
      <x:c r="K19" s="111" t="str"/>
      <x:c r="L19" s="101" t="str">
        <x:v>Mobile-RPG-Charakterporträt, Ganzkörper oder Dreiviertelfigur, Renaissance-/Rom-Fantasy mit historisch plausiblen Materialien, junge frühchristliche Frau, cremefarbenes Gewand, dunkelroter Mantel, kleine tragbare Leier, goldene Mosaiklichtpunkte, ernster freundlicher Blick. Stimmung: nachdenklich. Klare Silhouette, neutraler atmosphärischer Hintergrund, warmes Gold und dunkle Erdtöne, keine Schrift, kein Logo, keine moderne Kleidung, keine Fotokopie einer realen Person.</x:v>
      </x:c>
      <x:c r="M19" s="101" t="str">
        <x:v>Historische Fakten nie improvisieren; Fiktion als Fiktion markieren; keine langen Monologe.</x:v>
      </x:c>
      <x:c r="N19" s="101" t="str">
        <x:v>https://it.wikipedia.org/wiki/Basilica_di_Santa_Cecilia_in_Trastevere
https://it.wikipedia.org/wiki/Basilica_di_Santa_Maria_in_Trastevere</x:v>
      </x:c>
      <x:c r="O19" s="101" t="str">
        <x:v>EDITORIAL_REVIEW</x:v>
      </x:c>
      <x:c r="P19" s="168" t="str">
        <x:v>STANCE:npc_cecilia_vox:IDLE_READY</x:v>
      </x:c>
      <x:c r="Q19" s="168" t="n">
        <x:v>1</x:v>
      </x:c>
      <x:c r="R19" s="168" t="str">
        <x:v>2–4 s | 1280×720 (720p) | seamless loop</x:v>
      </x:c>
      <x:c r="S19" s="168" t="str">
        <x:v>Asset-Prompts!CHAR-PORTRAIT:npc_cecilia_vox</x:v>
      </x:c>
    </x:row>
    <x:row r="20" ht="26.399999618530273" hidden="0" customHeight="1">
      <x:c r="A20" s="104" t="str">
        <x:v>npc_anita_garibaldi</x:v>
      </x:c>
      <x:c r="B20" s="104" t="str">
        <x:v>Anita Garibaldi – Reiterecho</x:v>
      </x:c>
      <x:c r="C20" s="104" t="str">
        <x:v>HISTORISCHE_FANTASY</x:v>
      </x:c>
      <x:c r="D20" s="104" t="str">
        <x:v>kämpferische Wegweiserin</x:v>
      </x:c>
      <x:c r="E20" s="104" t="str">
        <x:v>D1-Q16</x:v>
      </x:c>
      <x:c r="F20" s="104" t="str">
        <x:v>mutig, ungeduldig mit Prahlerei, loyal zum Team</x:v>
      </x:c>
      <x:c r="G20" s="104" t="str">
        <x:v>entschlossen unter Druck</x:v>
      </x:c>
      <x:c r="H20" s="104" t="str">
        <x:v>Marschbefehl → Erinnerungsroute → gemeinsamer Kampf</x:v>
      </x:c>
      <x:c r="I20" s="104" t="str">
        <x:v>energiegeladen, direkt, gelegentlich spöttisch</x:v>
      </x:c>
      <x:c r="J20" s="104" t="str">
        <x:v>brasilianisch-italienische Freiheitskämpferin zu Pferd, dunkles Reitkleid, rotes Halstuch, Wind im Haar, Pistole gesenkt, heroisch aber menschlich</x:v>
      </x:c>
      <x:c r="K20" s="111" t="str"/>
      <x:c r="L20" s="104" t="str">
        <x:v>Mobile-RPG-Charakterporträt, Ganzkörper oder Dreiviertelfigur, Renaissance-/Rom-Fantasy mit historisch plausiblen Materialien, brasilianisch-italienische Freiheitskämpferin zu Pferd, dunkles Reitkleid, rotes Halstuch, Wind im Haar, Pistole gesenkt, heroisch aber menschlich. Stimmung: entschlossen unter Druck. Klare Silhouette, neutraler atmosphärischer Hintergrund, warmes Gold und dunkle Erdtöne, keine Schrift, kein Logo, keine moderne Kleidung, keine Fotokopie einer realen Person.</x:v>
      </x:c>
      <x:c r="M20" s="104" t="str">
        <x:v>Historische Fakten nie improvisieren; Fiktion als Fiktion markieren; keine langen Monologe.</x:v>
      </x:c>
      <x:c r="N20" s="104" t="str">
        <x:v>https://turismoroma.it/es/node/31555
https://it.wikipedia.org/wiki/Mausoleo_Ossario_Garibaldino
https://it.wikipedia.org/wiki/Fontana_dell'Acqua_Paola
https://it.wikipedia.org/wiki/Monumento_a_Giuseppe_Garibaldi_(Roma)
https://it.wikipedia.org/wiki/Monumento_ad_Anita_Garibaldi</x:v>
      </x:c>
      <x:c r="O20" s="104" t="str">
        <x:v>EDITORIAL_REVIEW</x:v>
      </x:c>
      <x:c r="P20" s="168" t="str">
        <x:v>STANCE:npc_anita_garibaldi:IDLE_READY</x:v>
      </x:c>
      <x:c r="Q20" s="168" t="n">
        <x:v>1</x:v>
      </x:c>
      <x:c r="R20" s="168" t="str">
        <x:v>2–4 s | 1280×720 (720p) | seamless loop</x:v>
      </x:c>
      <x:c r="S20" s="168" t="str">
        <x:v>Asset-Prompts!CHAR-PORTRAIT:npc_anita_garibaldi</x:v>
      </x:c>
    </x:row>
    <x:row r="21" ht="26.399999618530273" hidden="0" customHeight="1">
      <x:c r="A21" s="101" t="str">
        <x:v>npc_michelangelo_campidoglio</x:v>
      </x:c>
      <x:c r="B21" s="101" t="str">
        <x:v>Michelangelo – missmutiger Platzgeist</x:v>
      </x:c>
      <x:c r="C21" s="101" t="str">
        <x:v>HISTORISCHE_FANTASY</x:v>
      </x:c>
      <x:c r="D21" s="101" t="str">
        <x:v>Architekturecho des Kapitols</x:v>
      </x:c>
      <x:c r="E21" s="101" t="str">
        <x:v>D2-Q01</x:v>
      </x:c>
      <x:c r="F21" s="101" t="str">
        <x:v>genial, schroff, empfindlich gegenüber falschen Proportionen</x:v>
      </x:c>
      <x:c r="G21" s="101" t="str">
        <x:v>mürrisch konzentriert</x:v>
      </x:c>
      <x:c r="H21" s="101" t="str">
        <x:v>Mürrische Prüfung → fachliche Anerkennung</x:v>
      </x:c>
      <x:c r="I21" s="101" t="str">
        <x:v>knappe Urteile, trockene Künstlerkritik</x:v>
      </x:c>
      <x:c r="J21" s="101" t="str">
        <x:v>älterer Renaissancekünstler mit grauem Bart, dunkler Kappe, staubigem schwarzem Gewand, Zirkel und Platzskizze, strenger Blick</x:v>
      </x:c>
      <x:c r="K21" s="111" t="str"/>
      <x:c r="L21" s="101" t="str">
        <x:v>Mobile-RPG-Charakterporträt, Ganzkörper oder Dreiviertelfigur, Renaissance-/Rom-Fantasy mit historisch plausiblen Materialien, älterer Renaissancekünstler mit grauem Bart, dunkler Kappe, staubigem schwarzem Gewand, Zirkel und Platzskizze, strenger Blick. Stimmung: mürrisch konzentriert. Klare Silhouette, neutraler atmosphärischer Hintergrund, warmes Gold und dunkle Erdtöne, keine Schrift, kein Logo, keine moderne Kleidung, keine Fotokopie einer realen Person.</x:v>
      </x:c>
      <x:c r="M21" s="101" t="str">
        <x:v>Historische Fakten nie improvisieren; Fiktion als Fiktion markieren; keine langen Monologe.</x:v>
      </x:c>
      <x:c r="N21" s="101" t="str">
        <x:v>https://it.wikipedia.org/wiki/Piazza_del_Campidoglio
https://www.openstreetmap.org/node/7239169954</x:v>
      </x:c>
      <x:c r="O21" s="101" t="str">
        <x:v>EDITORIAL_REVIEW</x:v>
      </x:c>
      <x:c r="P21" s="168" t="str">
        <x:v>STANCE:npc_michelangelo_campidoglio:IDLE_READY</x:v>
      </x:c>
      <x:c r="Q21" s="168" t="n">
        <x:v>1</x:v>
      </x:c>
      <x:c r="R21" s="168" t="str">
        <x:v>2–4 s | 1280×720 (720p) | seamless loop</x:v>
      </x:c>
      <x:c r="S21" s="168" t="str">
        <x:v>Asset-Prompts!CHAR-PORTRAIT:npc_michelangelo_campidoglio</x:v>
      </x:c>
    </x:row>
    <x:row r="22" ht="26.399999618530273" hidden="0" customHeight="1">
      <x:c r="A22" s="104" t="str">
        <x:v>npc_vittoria_alata</x:v>
      </x:c>
      <x:c r="B22" s="104" t="str">
        <x:v>Vittoria Alata</x:v>
      </x:c>
      <x:c r="C22" s="104" t="str">
        <x:v>FIKTIONAL</x:v>
      </x:c>
      <x:c r="D22" s="104" t="str">
        <x:v>geflügelte Stimme des Nationaldenkmals</x:v>
      </x:c>
      <x:c r="E22" s="104" t="str">
        <x:v>D2-Q02</x:v>
      </x:c>
      <x:c r="F22" s="104" t="str">
        <x:v>feierlich, selbstironisch, liebt große Silhouetten</x:v>
      </x:c>
      <x:c r="G22" s="104" t="str">
        <x:v>triumphal, aber gelangweilt</x:v>
      </x:c>
      <x:c r="H22" s="104" t="str">
        <x:v>Monumentale Distanz → spielerische Anerkennung</x:v>
      </x:c>
      <x:c r="I22" s="104" t="str">
        <x:v>große Gesten in kurzen Sätzen</x:v>
      </x:c>
      <x:c r="J22" s="104" t="str">
        <x:v>allegorische geflügelte Frau in weiß-goldenem Gewand, bronzene Flügel, Lorbeerkranz, zwei kleine Quadriga-Silhouetten als Licht hinter ihr</x:v>
      </x:c>
      <x:c r="K22" s="111" t="str"/>
      <x:c r="L22" s="104" t="str">
        <x:v>Mobile-RPG-Charakterporträt, Ganzkörper oder Dreiviertelfigur, Renaissance-/Rom-Fantasy mit historisch plausiblen Materialien, allegorische geflügelte Frau in weiß-goldenem Gewand, bronzene Flügel, Lorbeerkranz, zwei kleine Quadriga-Silhouetten als Licht hinter ihr. Stimmung: triumphal, aber gelangweilt. Klare Silhouette, neutraler atmosphärischer Hintergrund, warmes Gold und dunkle Erdtöne, keine Schrift, kein Logo, keine moderne Kleidung, keine Fotokopie einer realen Person.</x:v>
      </x:c>
      <x:c r="M22" s="104" t="str">
        <x:v>Historische Fakten nie improvisieren; Fiktion als Fiktion markieren; keine langen Monologe.</x:v>
      </x:c>
      <x:c r="N22" s="104" t="str">
        <x:v>https://vive.cultura.gov.it/</x:v>
      </x:c>
      <x:c r="O22" s="104" t="str">
        <x:v>EDITORIAL_REVIEW</x:v>
      </x:c>
      <x:c r="P22" s="168" t="str">
        <x:v>STANCE:npc_vittoria_alata:IDLE_READY</x:v>
      </x:c>
      <x:c r="Q22" s="168" t="n">
        <x:v>1</x:v>
      </x:c>
      <x:c r="R22" s="168" t="str">
        <x:v>2–4 s | 1280×720 (720p) | seamless loop</x:v>
      </x:c>
      <x:c r="S22" s="168" t="str">
        <x:v>Asset-Prompts!CHAR-PORTRAIT:npc_vittoria_alata</x:v>
      </x:c>
    </x:row>
    <x:row r="23" ht="26.399999618530273" hidden="0" customHeight="1">
      <x:c r="A23" s="101" t="str">
        <x:v>npc_lanista_felix</x:v>
      </x:c>
      <x:c r="B23" s="101" t="str">
        <x:v>Lanista Felix</x:v>
      </x:c>
      <x:c r="C23" s="101" t="str">
        <x:v>FIKTIONAL</x:v>
      </x:c>
      <x:c r="D23" s="101" t="str">
        <x:v>Trainergeist des Ludus</x:v>
      </x:c>
      <x:c r="E23" s="101" t="str">
        <x:v>D2-Q03 | M-D2-02</x:v>
      </x:c>
      <x:c r="F23" s="101" t="str">
        <x:v>laut, professionell, überraschend fürsorglich</x:v>
      </x:c>
      <x:c r="G23" s="101" t="str">
        <x:v>kampflustig</x:v>
      </x:c>
      <x:c r="H23" s="101" t="str">
        <x:v>Marktschreier → ernsthafter Trainer → stolzer Mentor</x:v>
      </x:c>
      <x:c r="I23" s="101" t="str">
        <x:v>Arenaansagen, klare Sicherheitsregeln</x:v>
      </x:c>
      <x:c r="J23" s="101" t="str">
        <x:v>kräftiger römischer Trainer in Lederharnisch, hölzerner Trainingsstab, rote Tunika, Narben, breites Grinsen, Sandstaub</x:v>
      </x:c>
      <x:c r="K23" s="111" t="str"/>
      <x:c r="L23" s="101" t="str">
        <x:v>Mobile-RPG-Charakterporträt, Ganzkörper oder Dreiviertelfigur, Renaissance-/Rom-Fantasy mit historisch plausiblen Materialien, kräftiger römischer Trainer in Lederharnisch, hölzerner Trainingsstab, rote Tunika, Narben, breites Grinsen, Sandstaub. Stimmung: kampflustig. Klare Silhouette, neutraler atmosphärischer Hintergrund, warmes Gold und dunkle Erdtöne, keine Schrift, kein Logo, keine moderne Kleidung, keine Fotokopie einer realen Person.</x:v>
      </x:c>
      <x:c r="M23" s="101" t="str">
        <x:v>Historische Fakten nie improvisieren; Fiktion als Fiktion markieren; keine langen Monologe.</x:v>
      </x:c>
      <x:c r="N23" s="101" t="str">
        <x:v>https://en.wikipedia.org/wiki/Arch_of_Constantine
https://it.wikipedia.org/wiki/Colosseo
https://de.wikipedia.org/wiki/Ludus_Magnus</x:v>
      </x:c>
      <x:c r="O23" s="101" t="str">
        <x:v>EDITORIAL_REVIEW</x:v>
      </x:c>
      <x:c r="P23" s="168" t="str">
        <x:v>STANCE:npc_lanista_felix:IDLE_READY</x:v>
      </x:c>
      <x:c r="Q23" s="168" t="n">
        <x:v>1</x:v>
      </x:c>
      <x:c r="R23" s="168" t="str">
        <x:v>2–4 s | 1280×720 (720p) | seamless loop</x:v>
      </x:c>
      <x:c r="S23" s="168" t="str">
        <x:v>Asset-Prompts!CHAR-PORTRAIT:npc_lanista_felix</x:v>
      </x:c>
    </x:row>
    <x:row r="24" ht="26.399999618530273" hidden="0" customHeight="1">
      <x:c r="A24" s="104" t="str">
        <x:v>npc_mercator_gaius</x:v>
      </x:c>
      <x:c r="B24" s="104" t="str">
        <x:v>Gaius Quattuorportus</x:v>
      </x:c>
      <x:c r="C24" s="104" t="str">
        <x:v>FIKTIONAL</x:v>
      </x:c>
      <x:c r="D24" s="104" t="str">
        <x:v>Händlergeist des Forum Boarium</x:v>
      </x:c>
      <x:c r="E24" s="104" t="str">
        <x:v>D2-Q04</x:v>
      </x:c>
      <x:c r="F24" s="104" t="str">
        <x:v>wortgewandt, opportunistisch, ehrlich über seine Unehrlichkeit</x:v>
      </x:c>
      <x:c r="G24" s="104" t="str">
        <x:v>geschäftig und misstrauisch</x:v>
      </x:c>
      <x:c r="H24" s="104" t="str">
        <x:v>Verkaufsmasche → Faktenprüfung → fairer Handel</x:v>
      </x:c>
      <x:c r="I24" s="104" t="str">
        <x:v>Handelsmetaphern, schnelle Gegenfragen</x:v>
      </x:c>
      <x:c r="J24" s="104" t="str">
        <x:v>antiker römischer Händler in gestreifter Tunika, Lederbeutel, bronzene Waage, vier kleine Tormarken am Gürtel, listiges freundliches Gesicht</x:v>
      </x:c>
      <x:c r="K24" s="111" t="str"/>
      <x:c r="L24" s="104" t="str">
        <x:v>Mobile-RPG-Charakterporträt, Ganzkörper oder Dreiviertelfigur, Renaissance-/Rom-Fantasy mit historisch plausiblen Materialien, antiker römischer Händler in gestreifter Tunika, Lederbeutel, bronzene Waage, vier kleine Tormarken am Gürtel, listiges freundliches Gesicht. Stimmung: geschäftig und misstrauisch. Klare Silhouette, neutraler atmosphärischer Hintergrund, warmes Gold und dunkle Erdtöne, keine Schrift, kein Logo, keine moderne Kleidung, keine Fotokopie einer realen Person.</x:v>
      </x:c>
      <x:c r="M24" s="104" t="str">
        <x:v>Historische Fakten nie improvisieren; Fiktion als Fiktion markieren; keine langen Monologe.</x:v>
      </x:c>
      <x:c r="N24" s="104" t="str">
        <x:v>https://it.wikipedia.org/wiki/Bocca_della_Verit%C3%A0
https://it.wikipedia.org/wiki/Tempio_di_Ercole_Vincitore
https://en.wikipedia.org/wiki/Arcus_Argentariorum
https://it.wikipedia.org/wiki/Arco_di_Giano</x:v>
      </x:c>
      <x:c r="O24" s="104" t="str">
        <x:v>EDITORIAL_REVIEW</x:v>
      </x:c>
      <x:c r="P24" s="168" t="str">
        <x:v>STANCE:npc_mercator_gaius:IDLE_READY</x:v>
      </x:c>
      <x:c r="Q24" s="168" t="n">
        <x:v>1</x:v>
      </x:c>
      <x:c r="R24" s="168" t="str">
        <x:v>2–4 s | 1280×720 (720p) | seamless loop</x:v>
      </x:c>
      <x:c r="S24" s="168" t="str">
        <x:v>Asset-Prompts!CHAR-PORTRAIT:npc_mercator_gaius</x:v>
      </x:c>
    </x:row>
    <x:row r="25" ht="26.399999618530273" hidden="0" customHeight="1">
      <x:c r="A25" s="101" t="str">
        <x:v>npc_triton_callidus</x:v>
      </x:c>
      <x:c r="B25" s="101" t="str">
        <x:v>Triton Callidus</x:v>
      </x:c>
      <x:c r="C25" s="101" t="str">
        <x:v>MYTHISCHE_FIKTION</x:v>
      </x:c>
      <x:c r="D25" s="101" t="str">
        <x:v>lauter Brunnenbote</x:v>
      </x:c>
      <x:c r="E25" s="101" t="str">
        <x:v>D2-Q05</x:v>
      </x:c>
      <x:c r="F25" s="101" t="str">
        <x:v>prahlerisch, loyal, leicht verwirrt an Land</x:v>
      </x:c>
      <x:c r="G25" s="101" t="str">
        <x:v>laut begeistert</x:v>
      </x:c>
      <x:c r="H25" s="101" t="str">
        <x:v>Prahlen → Orientierung → kameradschaftlicher Respekt</x:v>
      </x:c>
      <x:c r="I25" s="101" t="str">
        <x:v>Wasserwitze, kräftige Ausrufe</x:v>
      </x:c>
      <x:c r="J25" s="101" t="str">
        <x:v>muskulöser Triton mit bronzener Muschelschale, blaugrüne Schuppen, steinerne Patina, breites Lachen, Wasserwirbel um die Schultern</x:v>
      </x:c>
      <x:c r="K25" s="111" t="str"/>
      <x:c r="L25" s="101" t="str">
        <x:v>Mobile-RPG-Charakterporträt, Ganzkörper oder Dreiviertelfigur, Renaissance-/Rom-Fantasy mit historisch plausiblen Materialien, muskulöser Triton mit bronzener Muschelschale, blaugrüne Schuppen, steinerne Patina, breites Lachen, Wasserwirbel um die Schultern. Stimmung: laut begeistert. Klare Silhouette, neutraler atmosphärischer Hintergrund, warmes Gold und dunkle Erdtöne, keine Schrift, kein Logo, keine moderne Kleidung, keine Fotokopie einer realen Person.</x:v>
      </x:c>
      <x:c r="M25" s="101" t="str">
        <x:v>Historische Fakten nie improvisieren; Fiktion als Fiktion markieren; keine langen Monologe.</x:v>
      </x:c>
      <x:c r="N25" s="101" t="str">
        <x:v>https://it.wikipedia.org/wiki/Fontana_dei_Tritoni
https://www.rerumromanarum.com/2024/04/belvedere-romolo-e-remo.html
https://turismoroma.it/it/luoghi/fontana-piazza-pietro-d%E2%80%99illiria</x:v>
      </x:c>
      <x:c r="O25" s="101" t="str">
        <x:v>EDITORIAL_REVIEW</x:v>
      </x:c>
      <x:c r="P25" s="168" t="str">
        <x:v>STANCE:npc_triton_callidus:IDLE_READY</x:v>
      </x:c>
      <x:c r="Q25" s="168" t="n">
        <x:v>1</x:v>
      </x:c>
      <x:c r="R25" s="168" t="str">
        <x:v>2–4 s | 1280×720 (720p) | seamless loop</x:v>
      </x:c>
      <x:c r="S25" s="168" t="str">
        <x:v>Asset-Prompts!CHAR-PORTRAIT:npc_triton_callidus</x:v>
      </x:c>
    </x:row>
    <x:row r="26" ht="26.399999618530273" hidden="0" customHeight="1">
      <x:c r="A26" s="104" t="str">
        <x:v>npc_nauta_celimontanus</x:v>
      </x:c>
      <x:c r="B26" s="104" t="str">
        <x:v>Nauta Celimontanus</x:v>
      </x:c>
      <x:c r="C26" s="104" t="str">
        <x:v>FIKTIONAL</x:v>
      </x:c>
      <x:c r="D26" s="104" t="str">
        <x:v>Kapitän der steinernen Navicella</x:v>
      </x:c>
      <x:c r="E26" s="104" t="str">
        <x:v>D2-Q06</x:v>
      </x:c>
      <x:c r="F26" s="104" t="str">
        <x:v>abenteuerlustig, trocken, akzeptiert nur klare Befehle</x:v>
      </x:c>
      <x:c r="G26" s="104" t="str">
        <x:v>gelangweilt vor Anker</x:v>
      </x:c>
      <x:c r="H26" s="104" t="str">
        <x:v>Stillstand → Kursbestimmung → imaginäre Abfahrt</x:v>
      </x:c>
      <x:c r="I26" s="104" t="str">
        <x:v>Seefahrerkommandos, knapper Humor</x:v>
      </x:c>
      <x:c r="J26" s="104" t="str">
        <x:v>kleiner römischer Steuermann in wettergegerbtem Umhang, bronzenes Ruder, steinerne Schiffssilhouette hinter ihm, Salz- und Moosspuren</x:v>
      </x:c>
      <x:c r="K26" s="111" t="str"/>
      <x:c r="L26" s="104" t="str">
        <x:v>Mobile-RPG-Charakterporträt, Ganzkörper oder Dreiviertelfigur, Renaissance-/Rom-Fantasy mit historisch plausiblen Materialien, kleiner römischer Steuermann in wettergegerbtem Umhang, bronzenes Ruder, steinerne Schiffssilhouette hinter ihm, Salz- und Moosspuren. Stimmung: gelangweilt vor Anker. Klare Silhouette, neutraler atmosphärischer Hintergrund, warmes Gold und dunkle Erdtöne, keine Schrift, kein Logo, keine moderne Kleidung, keine Fotokopie einer realen Person.</x:v>
      </x:c>
      <x:c r="M26" s="104" t="str">
        <x:v>Historische Fakten nie improvisieren; Fiktion als Fiktion markieren; keine langen Monologe.</x:v>
      </x:c>
      <x:c r="N26" s="104" t="str">
        <x:v>https://it.wikipedia.org/wiki/Fontana_della_Navicella</x:v>
      </x:c>
      <x:c r="O26" s="104" t="str">
        <x:v>EDITORIAL_REVIEW</x:v>
      </x:c>
      <x:c r="P26" s="168" t="str">
        <x:v>STANCE:npc_nauta_celimontanus:IDLE_READY</x:v>
      </x:c>
      <x:c r="Q26" s="168" t="n">
        <x:v>1</x:v>
      </x:c>
      <x:c r="R26" s="168" t="str">
        <x:v>2–4 s | 1280×720 (720p) | seamless loop</x:v>
      </x:c>
      <x:c r="S26" s="168" t="str">
        <x:v>Asset-Prompts!CHAR-PORTRAIT:npc_nauta_celimontanus</x:v>
      </x:c>
    </x:row>
    <x:row r="27" ht="26.399999618530273" hidden="0" customHeight="1">
      <x:c r="A27" s="101" t="str">
        <x:v>npc_sixtus_vermesser</x:v>
      </x:c>
      <x:c r="B27" s="101" t="str">
        <x:v>Sixtus, Vermesser der Achsen</x:v>
      </x:c>
      <x:c r="C27" s="101" t="str">
        <x:v>HISTORISCHE_FANTASY</x:v>
      </x:c>
      <x:c r="D27" s="101" t="str">
        <x:v>päpstlicher Ordnungsgeist</x:v>
      </x:c>
      <x:c r="E27" s="101" t="str">
        <x:v>D2-Q07</x:v>
      </x:c>
      <x:c r="F27" s="101" t="str">
        <x:v>autoritätssicher, effizient, heimlich beeindruckt von Widerspruch</x:v>
      </x:c>
      <x:c r="G27" s="101" t="str">
        <x:v>streng</x:v>
      </x:c>
      <x:c r="H27" s="101" t="str">
        <x:v>Befehlston → funktionale Debatte → abgewogene Anerkennung</x:v>
      </x:c>
      <x:c r="I27" s="101" t="str">
        <x:v>formelle Anweisungen, nummerierte Argumente</x:v>
      </x:c>
      <x:c r="J27" s="101" t="str">
        <x:v>päpstlicher Renaissance-Verwalter in weiß-rotem Gewand, Messstab, Pergamentplan, scharfe Augen, schlichter Ring, keine moderne Insignie</x:v>
      </x:c>
      <x:c r="K27" s="111" t="str"/>
      <x:c r="L27" s="101" t="str">
        <x:v>Mobile-RPG-Charakterporträt, Ganzkörper oder Dreiviertelfigur, Renaissance-/Rom-Fantasy mit historisch plausiblen Materialien, päpstlicher Renaissance-Verwalter in weiß-rotem Gewand, Messstab, Pergamentplan, scharfe Augen, schlichter Ring, keine moderne Insignie. Stimmung: streng. Klare Silhouette, neutraler atmosphärischer Hintergrund, warmes Gold und dunkle Erdtöne, keine Schrift, kein Logo, keine moderne Kleidung, keine Fotokopie einer realen Person.</x:v>
      </x:c>
      <x:c r="M27" s="101" t="str">
        <x:v>Historische Fakten nie improvisieren; Fiktion als Fiktion markieren; keine langen Monologe.</x:v>
      </x:c>
      <x:c r="N27" s="101" t="str">
        <x:v>https://it.wikipedia.org/wiki/Basilica_di_San_Giovanni_in_Laterano
https://it.wikipedia.org/wiki/Obelisco_Lateranense
https://en.wikipedia.org/wiki/Porta_San_Giovanni_(Rome)</x:v>
      </x:c>
      <x:c r="O27" s="101" t="str">
        <x:v>EDITORIAL_REVIEW</x:v>
      </x:c>
      <x:c r="P27" s="168" t="str">
        <x:v>STANCE:npc_sixtus_vermesser:IDLE_READY</x:v>
      </x:c>
      <x:c r="Q27" s="168" t="n">
        <x:v>1</x:v>
      </x:c>
      <x:c r="R27" s="168" t="str">
        <x:v>2–4 s | 1280×720 (720p) | seamless loop</x:v>
      </x:c>
      <x:c r="S27" s="168" t="str">
        <x:v>Asset-Prompts!CHAR-PORTRAIT:npc_sixtus_vermesser</x:v>
      </x:c>
    </x:row>
    <x:row r="28" ht="26.399999618530273" hidden="0" customHeight="1">
      <x:c r="A28" s="104" t="str">
        <x:v>npc_aurelian_murus</x:v>
      </x:c>
      <x:c r="B28" s="104" t="str">
        <x:v>Aurelianus Murus</x:v>
      </x:c>
      <x:c r="C28" s="104" t="str">
        <x:v>HISTORISCHE_FANTASY</x:v>
      </x:c>
      <x:c r="D28" s="104" t="str">
        <x:v>Mauerkommandant</x:v>
      </x:c>
      <x:c r="E28" s="104" t="str">
        <x:v>D2-Q08</x:v>
      </x:c>
      <x:c r="F28" s="104" t="str">
        <x:v>diszipliniert, wortkarg, respektiert sichere Navigation</x:v>
      </x:c>
      <x:c r="G28" s="104" t="str">
        <x:v>alarmiert</x:v>
      </x:c>
      <x:c r="H28" s="104" t="str">
        <x:v>Alarm → Mauervergleich → taktische Entspannung</x:v>
      </x:c>
      <x:c r="I28" s="104" t="str">
        <x:v>Befehle, Lageberichte, keine Ausschmückung</x:v>
      </x:c>
      <x:c r="J28" s="104" t="str">
        <x:v>spätrömischer Offizier in Schuppenpanzer, roter Mantel, rechteckiger Schild, Ziegelstaub, Wachstafel mit Mauerlinie</x:v>
      </x:c>
      <x:c r="K28" s="111" t="str"/>
      <x:c r="L28" s="104" t="str">
        <x:v>Mobile-RPG-Charakterporträt, Ganzkörper oder Dreiviertelfigur, Renaissance-/Rom-Fantasy mit historisch plausiblen Materialien, spätrömischer Offizier in Schuppenpanzer, roter Mantel, rechteckiger Schild, Ziegelstaub, Wachstafel mit Mauerlinie. Stimmung: alarmiert. Klare Silhouette, neutraler atmosphärischer Hintergrund, warmes Gold und dunkle Erdtöne, keine Schrift, kein Logo, keine moderne Kleidung, keine Fotokopie einer realen Person.</x:v>
      </x:c>
      <x:c r="M28" s="104" t="str">
        <x:v>Historische Fakten nie improvisieren; Fiktion als Fiktion markieren; keine langen Monologe.</x:v>
      </x:c>
      <x:c r="N28" s="104" t="str">
        <x:v>https://en.wikipedia.org/wiki/Porta_Latina
https://en.wikipedia.org/wiki/Porta_Metronia</x:v>
      </x:c>
      <x:c r="O28" s="104" t="str">
        <x:v>EDITORIAL_REVIEW</x:v>
      </x:c>
      <x:c r="P28" s="168" t="str">
        <x:v>STANCE:npc_aurelian_murus:IDLE_READY</x:v>
      </x:c>
      <x:c r="Q28" s="168" t="n">
        <x:v>1</x:v>
      </x:c>
      <x:c r="R28" s="168" t="str">
        <x:v>2–4 s | 1280×720 (720p) | seamless loop</x:v>
      </x:c>
      <x:c r="S28" s="168" t="str">
        <x:v>Asset-Prompts!CHAR-PORTRAIT:npc_aurelian_murus</x:v>
      </x:c>
    </x:row>
    <x:row r="29" ht="26.399999618530273" hidden="0" customHeight="1">
      <x:c r="A29" s="101" t="str">
        <x:v>npc_livia_strata</x:v>
      </x:c>
      <x:c r="B29" s="101" t="str">
        <x:v>Livia Strata</x:v>
      </x:c>
      <x:c r="C29" s="101" t="str">
        <x:v>FIKTIONAL</x:v>
      </x:c>
      <x:c r="D29" s="101" t="str">
        <x:v>Archäologin zwischen den Zeitschichten</x:v>
      </x:c>
      <x:c r="E29" s="101" t="str">
        <x:v>D2-Q09</x:v>
      </x:c>
      <x:c r="F29" s="101" t="str">
        <x:v>begeistert, methodisch, vergisst beim Erklären gelegentlich zu atmen</x:v>
      </x:c>
      <x:c r="G29" s="101" t="str">
        <x:v>aufgeregt und besorgt</x:v>
      </x:c>
      <x:c r="H29" s="101" t="str">
        <x:v>Überforderung → geordnete Schichten → Vorahnung des Bosses</x:v>
      </x:c>
      <x:c r="I29" s="101" t="str">
        <x:v>schnelle Beobachtungen, dann präzise Zusammenfassung</x:v>
      </x:c>
      <x:c r="J29" s="101" t="str">
        <x:v>römische Feldarchäologin im staubigen braunen Mantel, Ledertasche, Pinsel, drei Materialproben – Marmor, Granit, Ziegel –, leuchtende Notizzettel</x:v>
      </x:c>
      <x:c r="K29" s="111" t="str"/>
      <x:c r="L29" s="101" t="str">
        <x:v>Mobile-RPG-Charakterporträt, Ganzkörper oder Dreiviertelfigur, Renaissance-/Rom-Fantasy mit historisch plausiblen Materialien, römische Feldarchäologin im staubigen braunen Mantel, Ledertasche, Pinsel, drei Materialproben – Marmor, Granit, Ziegel –, leuchtende Notizzettel. Stimmung: aufgeregt und besorgt. Klare Silhouette, neutraler atmosphärischer Hintergrund, warmes Gold und dunkle Erdtöne, keine Schrift, kein Logo, keine moderne Kleidung, keine Fotokopie einer realen Person.</x:v>
      </x:c>
      <x:c r="M29" s="101" t="str">
        <x:v>Historische Fakten nie improvisieren; Fiktion als Fiktion markieren; keine langen Monologe.</x:v>
      </x:c>
      <x:c r="N29" s="101" t="str">
        <x:v>https://www.turismoroma.it/en/places/piazza-di-santa-maria-maggiore
https://it.wikipedia.org/wiki/Obelisco_Esquilino
https://it.wikipedia.org/wiki/Terme_di_Traiano</x:v>
      </x:c>
      <x:c r="O29" s="101" t="str">
        <x:v>EDITORIAL_REVIEW</x:v>
      </x:c>
      <x:c r="P29" s="168" t="str">
        <x:v>STANCE:npc_livia_strata:IDLE_READY</x:v>
      </x:c>
      <x:c r="Q29" s="168" t="n">
        <x:v>1</x:v>
      </x:c>
      <x:c r="R29" s="168" t="str">
        <x:v>2–4 s | 1280×720 (720p) | seamless loop</x:v>
      </x:c>
      <x:c r="S29" s="168" t="str">
        <x:v>Asset-Prompts!CHAR-PORTRAIT:npc_livia_strata</x:v>
      </x:c>
    </x:row>
    <x:row r="30" ht="26.399999618530273" hidden="0" customHeight="1">
      <x:c r="A30" s="104" t="str">
        <x:v>npc_frontinus_aquarius</x:v>
      </x:c>
      <x:c r="B30" s="104" t="str">
        <x:v>Frontinus, Curator Aquarum</x:v>
      </x:c>
      <x:c r="C30" s="104" t="str">
        <x:v>HISTORISCHE_FANTASY</x:v>
      </x:c>
      <x:c r="D30" s="104" t="str">
        <x:v>Wasserbauinspektor</x:v>
      </x:c>
      <x:c r="E30" s="104" t="str">
        <x:v>D2-Q10</x:v>
      </x:c>
      <x:c r="F30" s="104" t="str">
        <x:v>sachlich, pflichtbewusst, sarkastisch bei schlechter Infrastruktur</x:v>
      </x:c>
      <x:c r="G30" s="104" t="str">
        <x:v>dringlich genervt</x:v>
      </x:c>
      <x:c r="H30" s="104" t="str">
        <x:v>Störungsmeldung → Systemverständnis → entschlossene Reparatur</x:v>
      </x:c>
      <x:c r="I30" s="104" t="str">
        <x:v>technische Diagnose mit trockenem Spott</x:v>
      </x:c>
      <x:c r="J30" s="104" t="str">
        <x:v>römischer Ingenieur in kurzer Tunika und Mantel, Messstab, Bleiplombe, Wachstafel mit Aquäduktquerschnitt, graues Haar, prüfender Blick</x:v>
      </x:c>
      <x:c r="K30" s="111" t="str"/>
      <x:c r="L30" s="104" t="str">
        <x:v>Mobile-RPG-Charakterporträt, Ganzkörper oder Dreiviertelfigur, Renaissance-/Rom-Fantasy mit historisch plausiblen Materialien, römischer Ingenieur in kurzer Tunika und Mantel, Messstab, Bleiplombe, Wachstafel mit Aquäduktquerschnitt, graues Haar, prüfender Blick. Stimmung: dringlich genervt. Klare Silhouette, neutraler atmosphärischer Hintergrund, warmes Gold und dunkle Erdtöne, keine Schrift, kein Logo, keine moderne Kleidung, keine Fotokopie einer realen Person.</x:v>
      </x:c>
      <x:c r="M30" s="104" t="str">
        <x:v>Historische Fakten nie improvisieren; Fiktion als Fiktion markieren; keine langen Monologe.</x:v>
      </x:c>
      <x:c r="N30" s="104" t="str">
        <x:v>https://www.sovraintendenzaroma.it/i_luoghi/roma_antica/monumenti/porta_maggiore</x:v>
      </x:c>
      <x:c r="O30" s="104" t="str">
        <x:v>EDITORIAL_REVIEW</x:v>
      </x:c>
      <x:c r="P30" s="168" t="str">
        <x:v>STANCE:npc_frontinus_aquarius:IDLE_READY</x:v>
      </x:c>
      <x:c r="Q30" s="168" t="n">
        <x:v>1</x:v>
      </x:c>
      <x:c r="R30" s="168" t="str">
        <x:v>2–4 s | 1280×720 (720p) | seamless loop</x:v>
      </x:c>
      <x:c r="S30" s="168" t="str">
        <x:v>Asset-Prompts!CHAR-PORTRAIT:npc_frontinus_aquarius</x:v>
      </x:c>
    </x:row>
    <x:row r="31" ht="26.399999618530273" hidden="0" customHeight="1">
      <x:c r="A31" s="101" t="str">
        <x:v>npc_livia_lens</x:v>
      </x:c>
      <x:c r="B31" s="101" t="str">
        <x:v>Livia Lens</x:v>
      </x:c>
      <x:c r="C31" s="101" t="str">
        <x:v>FIKTIONAL</x:v>
      </x:c>
      <x:c r="D31" s="101" t="str">
        <x:v>Chronistin und Medienquestgeberin</x:v>
      </x:c>
      <x:c r="E31" s="101" t="str">
        <x:v>M-D1-01 | M-D1-02 | M-D1-03 | M-LT-01</x:v>
      </x:c>
      <x:c r="F31" s="101" t="str">
        <x:v>schnell, kreativ, freundlich anspruchsvoll</x:v>
      </x:c>
      <x:c r="G31" s="101" t="str">
        <x:v>begeistert unter Zeitdruck</x:v>
      </x:c>
      <x:c r="H31" s="101" t="str">
        <x:v>Idee → klare Bildregie → ehrliches Lob</x:v>
      </x:c>
      <x:c r="I31" s="101" t="str">
        <x:v>knappe Regieanweisungen; lobt konkrete Details</x:v>
      </x:c>
      <x:c r="J31" s="101" t="str">
        <x:v>junge römische Chronistin im Renaissance-Reisemantel, kleine Messingkamera als magisches Artefakt, zwölf leere Bildrahmen am Gürtel, lebhafte braune Augen</x:v>
      </x:c>
      <x:c r="K31" s="111" t="str"/>
      <x:c r="L31" s="101" t="str">
        <x:v>Mobile-RPG-Charakterporträt, Ganzkörper oder Dreiviertelfigur, Renaissance-/Rom-Fantasy mit historisch plausiblen Materialien, junge römische Chronistin im Renaissance-Reisemantel, kleine Messingkamera als magisches Artefakt, zwölf leere Bildrahmen am Gürtel, lebhafte braune Augen. Stimmung: begeistert unter Zeitdruck. Klare Silhouette, neutraler atmosphärischer Hintergrund, warmes Gold und dunkle Erdtöne, keine Schrift, kein Logo, keine moderne Kleidung, keine Fotokopie einer realen Person.</x:v>
      </x:c>
      <x:c r="M31" s="101" t="str">
        <x:v>Historische Fakten nie improvisieren; Fiktion als Fiktion markieren; keine langen Monologe.</x:v>
      </x:c>
      <x:c r="N31" s="101" t="str">
        <x:v>https://www.turismoroma.it/it/luoghi/piazza-san-pietro
https://www.turismoroma.it/en/places/terrace-castel-santangelo
https://it.wikipedia.org/wiki/Piazza_Navona
https://it.wikipedia.org/wiki/Fontana_del_Nettuno_(Roma)
https://it.wikipedia.org/wiki/Fontana_del_Moro
https://www.turismoroma.it/it/luoghi/teatro-di-marcello</x:v>
      </x:c>
      <x:c r="O31" s="101" t="str">
        <x:v>EDITORIAL_REVIEW</x:v>
      </x:c>
      <x:c r="P31" s="168" t="str">
        <x:v>STANCE:npc_livia_lens:IDLE_READY</x:v>
      </x:c>
      <x:c r="Q31" s="168" t="n">
        <x:v>1</x:v>
      </x:c>
      <x:c r="R31" s="168" t="str">
        <x:v>2–4 s | 1280×720 (720p) | seamless loop</x:v>
      </x:c>
      <x:c r="S31" s="168" t="str">
        <x:v>Asset-Prompts!CHAR-PORTRAIT:npc_livia_lens</x:v>
      </x:c>
    </x:row>
    <x:row r="32" ht="26.399999618530273" hidden="0" customHeight="1">
      <x:c r="A32" s="104" t="str">
        <x:v>npc_auriga_quinta</x:v>
      </x:c>
      <x:c r="B32" s="104" t="str">
        <x:v>Quinta Fulvia</x:v>
      </x:c>
      <x:c r="C32" s="104" t="str">
        <x:v>FIKTIONAL</x:v>
      </x:c>
      <x:c r="D32" s="104" t="str">
        <x:v>Streitwagenregisseurin</x:v>
      </x:c>
      <x:c r="E32" s="104" t="str">
        <x:v>M-D2-01</x:v>
      </x:c>
      <x:c r="F32" s="104" t="str">
        <x:v>kompetitiv, laut, sicherheitsbewusst</x:v>
      </x:c>
      <x:c r="G32" s="104" t="str">
        <x:v>startbereit</x:v>
      </x:c>
      <x:c r="H32" s="104" t="str">
        <x:v>Rennfieber → präzise Bildfolge → Siegesjubel</x:v>
      </x:c>
      <x:c r="I32" s="104" t="str">
        <x:v>kurze Startkommandos und trockene Rennwitze</x:v>
      </x:c>
      <x:c r="J32" s="104" t="str">
        <x:v>römische Wagenlenkerin in grüner Tunika, Lederhelm, Zügel um die Schulter, Staub, selbstbewusstes Grinsen</x:v>
      </x:c>
      <x:c r="K32" s="111" t="str"/>
      <x:c r="L32" s="104" t="str">
        <x:v>Mobile-RPG-Charakterporträt, Ganzkörper oder Dreiviertelfigur, Renaissance-/Rom-Fantasy mit historisch plausiblen Materialien, römische Wagenlenkerin in grüner Tunika, Lederhelm, Zügel um die Schulter, Staub, selbstbewusstes Grinsen. Stimmung: startbereit. Klare Silhouette, neutraler atmosphärischer Hintergrund, warmes Gold und dunkle Erdtöne, keine Schrift, kein Logo, keine moderne Kleidung, keine Fotokopie einer realen Person.</x:v>
      </x:c>
      <x:c r="M32" s="104" t="str">
        <x:v>Historische Fakten nie improvisieren; Fiktion als Fiktion markieren; keine langen Monologe.</x:v>
      </x:c>
      <x:c r="N32" s="104" t="str">
        <x:v>https://www.turismoroma.it/en/places/circus-maximus</x:v>
      </x:c>
      <x:c r="O32" s="104" t="str">
        <x:v>EDITORIAL_REVIEW</x:v>
      </x:c>
      <x:c r="P32" s="168" t="str">
        <x:v>STANCE:npc_auriga_quinta:IDLE_READY</x:v>
      </x:c>
      <x:c r="Q32" s="168" t="n">
        <x:v>1</x:v>
      </x:c>
      <x:c r="R32" s="168" t="str">
        <x:v>2–4 s | 1280×720 (720p) | seamless loop</x:v>
      </x:c>
      <x:c r="S32" s="168" t="str">
        <x:v>Asset-Prompts!CHAR-PORTRAIT:npc_auriga_quinta</x:v>
      </x:c>
    </x:row>
    <x:row r="33" ht="26.399999618530273" hidden="0" customHeight="1">
      <x:c r="A33" s="101" t="str">
        <x:v>npc_mercator_minimus</x:v>
      </x:c>
      <x:c r="B33" s="101" t="str">
        <x:v>Mercator Minimus</x:v>
      </x:c>
      <x:c r="C33" s="101" t="str">
        <x:v>FIKTIONAL</x:v>
      </x:c>
      <x:c r="D33" s="101" t="str">
        <x:v>winziger Marktprüfer</x:v>
      </x:c>
      <x:c r="E33" s="101" t="str">
        <x:v>M-D2-03</x:v>
      </x:c>
      <x:c r="F33" s="101" t="str">
        <x:v>geschäftstüchtig, kritisch, leicht bestechlich durch gute Pointen</x:v>
      </x:c>
      <x:c r="G33" s="101" t="str">
        <x:v>skeptisch neugierig</x:v>
      </x:c>
      <x:c r="H33" s="101" t="str">
        <x:v>Misstrauen → unterhaltene Prüfung → Kaufempfehlung oder Warnung</x:v>
      </x:c>
      <x:c r="I33" s="101" t="str">
        <x:v>schnelle Produktfragen; fordert Belege</x:v>
      </x:c>
      <x:c r="J33" s="101" t="str">
        <x:v>kleiner römischer Händler hinter übergroßer Wachstafel, violette Tunika, Münzwaage, winzige Preisschilder, hochgezogene Augenbraue</x:v>
      </x:c>
      <x:c r="K33" s="111" t="str"/>
      <x:c r="L33" s="101" t="str">
        <x:v>Mobile-RPG-Charakterporträt, Ganzkörper oder Dreiviertelfigur, Renaissance-/Rom-Fantasy mit historisch plausiblen Materialien, kleiner römischer Händler hinter übergroßer Wachstafel, violette Tunika, Münzwaage, winzige Preisschilder, hochgezogene Augenbraue. Stimmung: skeptisch neugierig. Klare Silhouette, neutraler atmosphärischer Hintergrund, warmes Gold und dunkle Erdtöne, keine Schrift, kein Logo, keine moderne Kleidung, keine Fotokopie einer realen Person.</x:v>
      </x:c>
      <x:c r="M33" s="101" t="str">
        <x:v>Historische Fakten nie improvisieren; Fiktion als Fiktion markieren; keine langen Monologe.</x:v>
      </x:c>
      <x:c r="N33" s="101" t="str">
        <x:v>https://www.mercatiditraiano.it/en/museo/sede/mercati_di_traiano_storia</x:v>
      </x:c>
      <x:c r="O33" s="101" t="str">
        <x:v>EDITORIAL_REVIEW</x:v>
      </x:c>
      <x:c r="P33" s="168" t="str">
        <x:v>STANCE:npc_mercator_minimus:IDLE_READY</x:v>
      </x:c>
      <x:c r="Q33" s="168" t="n">
        <x:v>1</x:v>
      </x:c>
      <x:c r="R33" s="168" t="str">
        <x:v>2–4 s | 1280×720 (720p) | seamless loop</x:v>
      </x:c>
      <x:c r="S33" s="168" t="str">
        <x:v>Asset-Prompts!CHAR-PORTRAIT:npc_mercator_minimus</x:v>
      </x:c>
    </x:row>
    <x:row r="34" ht="26.399999618530273" hidden="0" customHeight="1">
      <x:c r="A34" s="104" t="str">
        <x:v>npc_tartaruga_quarta</x:v>
      </x:c>
      <x:c r="B34" s="104" t="str">
        <x:v>Die vierte Schildkröte</x:v>
      </x:c>
      <x:c r="C34" s="104" t="str">
        <x:v>FIKTIONAL</x:v>
      </x:c>
      <x:c r="D34" s="104" t="str">
        <x:v>versteckte Brunnenwächterin</x:v>
      </x:c>
      <x:c r="E34" s="104" t="str">
        <x:v>H-D1-01</x:v>
      </x:c>
      <x:c r="F34" s="104" t="str">
        <x:v>sehr langsam, sehr aufmerksam, unerwartet sarkastisch</x:v>
      </x:c>
      <x:c r="G34" s="104" t="str">
        <x:v>misstrauisch verschlafen</x:v>
      </x:c>
      <x:c r="H34" s="104" t="str">
        <x:v>Schlaf → Prüfung → knappe Zustimmung</x:v>
      </x:c>
      <x:c r="I34" s="104" t="str">
        <x:v>lange Pausen, kurze scharfe Sätze</x:v>
      </x:c>
      <x:c r="J34" s="104" t="str">
        <x:v>kleine bronzene Schildkröte mit grüner Patina, winziger Wächterhelm, leuchtende Augen, Wassertropfen</x:v>
      </x:c>
      <x:c r="K34" s="111" t="str"/>
      <x:c r="L34" s="104" t="str">
        <x:v>Mobile-RPG-Charakterporträt, Ganzkörper oder Dreiviertelfigur, Renaissance-/Rom-Fantasy mit historisch plausiblen Materialien, kleine bronzene Schildkröte mit grüner Patina, winziger Wächterhelm, leuchtende Augen, Wassertropfen. Stimmung: misstrauisch verschlafen. Klare Silhouette, neutraler atmosphärischer Hintergrund, warmes Gold und dunkle Erdtöne, keine Schrift, kein Logo, keine moderne Kleidung, keine Fotokopie einer realen Person.</x:v>
      </x:c>
      <x:c r="M34" s="104" t="str">
        <x:v>Historische Fakten nie improvisieren; Fiktion als Fiktion markieren; keine langen Monologe.</x:v>
      </x:c>
      <x:c r="N34" s="104" t="str">
        <x:v>https://www.turismoroma.it/it/luoghi/fontana-delle-tartarughe</x:v>
      </x:c>
      <x:c r="O34" s="104" t="str">
        <x:v>EDITORIAL_REVIEW</x:v>
      </x:c>
      <x:c r="P34" s="168" t="str">
        <x:v>STANCE:npc_tartaruga_quarta:IDLE_READY</x:v>
      </x:c>
      <x:c r="Q34" s="168" t="n">
        <x:v>1</x:v>
      </x:c>
      <x:c r="R34" s="168" t="str">
        <x:v>2–4 s | 1280×720 (720p) | seamless loop</x:v>
      </x:c>
      <x:c r="S34" s="168" t="str">
        <x:v>Asset-Prompts!CHAR-PORTRAIT:npc_tartaruga_quarta</x:v>
      </x:c>
    </x:row>
    <x:row r="35" ht="26.399999618530273" hidden="0" customHeight="1">
      <x:c r="A35" s="101" t="str">
        <x:v>npc_rattus_virgo</x:v>
      </x:c>
      <x:c r="B35" s="101" t="str">
        <x:v>Rattus Virgo</x:v>
      </x:c>
      <x:c r="C35" s="101" t="str">
        <x:v>FIKTIONAL</x:v>
      </x:c>
      <x:c r="D35" s="101" t="str">
        <x:v>wortgewandte Kanalratte</x:v>
      </x:c>
      <x:c r="E35" s="101" t="str">
        <x:v>H-D1-02</x:v>
      </x:c>
      <x:c r="F35" s="101" t="str">
        <x:v>frech, hungrig, erstaunlich gebildet</x:v>
      </x:c>
      <x:c r="G35" s="101" t="str">
        <x:v>ertappt und angriffslustig</x:v>
      </x:c>
      <x:c r="H35" s="101" t="str">
        <x:v>Spott → Fluchtversuch → Niederlage</x:v>
      </x:c>
      <x:c r="I35" s="101" t="str">
        <x:v>schnelle Ausreden, Wasserwortspiele</x:v>
      </x:c>
      <x:c r="J35" s="101" t="str">
        <x:v>große nasse Kanalratte mit zerfetzter römischer Schärpe, kleine gestohlene Münzen, Travertinstaub, wacher listiger Blick</x:v>
      </x:c>
      <x:c r="K35" s="111" t="str"/>
      <x:c r="L35" s="101" t="str">
        <x:v>Mobile-RPG-Charakterporträt, Ganzkörper oder Dreiviertelfigur, Renaissance-/Rom-Fantasy mit historisch plausiblen Materialien, große nasse Kanalratte mit zerfetzter römischer Schärpe, kleine gestohlene Münzen, Travertinstaub, wacher listiger Blick. Stimmung: ertappt und angriffslustig. Klare Silhouette, neutraler atmosphärischer Hintergrund, warmes Gold und dunkle Erdtöne, keine Schrift, kein Logo, keine moderne Kleidung, keine Fotokopie einer realen Person.</x:v>
      </x:c>
      <x:c r="M35" s="101" t="str">
        <x:v>Historische Fakten nie improvisieren; Fiktion als Fiktion markieren; keine langen Monologe.</x:v>
      </x:c>
      <x:c r="N35" s="101" t="str">
        <x:v>https://www.sovraintendenzaroma.it/i_luoghi/roma_antica/monumenti/acquedotto_vergine</x:v>
      </x:c>
      <x:c r="O35" s="101" t="str">
        <x:v>EDITORIAL_REVIEW</x:v>
      </x:c>
      <x:c r="P35" s="168" t="str">
        <x:v>STANCE:npc_rattus_virgo:IDLE_READY</x:v>
      </x:c>
      <x:c r="Q35" s="168" t="n">
        <x:v>1</x:v>
      </x:c>
      <x:c r="R35" s="168" t="str">
        <x:v>2–4 s | 1280×720 (720p) | seamless loop</x:v>
      </x:c>
      <x:c r="S35" s="168" t="str">
        <x:v>Asset-Prompts!CHAR-PORTRAIT:npc_rattus_virgo</x:v>
      </x:c>
    </x:row>
    <x:row r="36" ht="26.399999618530273" hidden="0" customHeight="1">
      <x:c r="A36" s="104" t="str">
        <x:v>npc_satirelli_gemelli</x:v>
      </x:c>
      <x:c r="B36" s="104" t="str">
        <x:v>I Satirelli Gemelli</x:v>
      </x:c>
      <x:c r="C36" s="104" t="str">
        <x:v>MYTHISCHE_FIKTION</x:v>
      </x:c>
      <x:c r="D36" s="104" t="str">
        <x:v>streitende Satyrzwillinge</x:v>
      </x:c>
      <x:c r="E36" s="104" t="str">
        <x:v>H-D1-03</x:v>
      </x:c>
      <x:c r="F36" s="104" t="str">
        <x:v>schelmisch, kompetitiv, nur gemeinsam vernünftig</x:v>
      </x:c>
      <x:c r="G36" s="104" t="str">
        <x:v>kichernd streitsüchtig</x:v>
      </x:c>
      <x:c r="H36" s="104" t="str">
        <x:v>Streit → Zuordnung → widerwillige Zusammenarbeit</x:v>
      </x:c>
      <x:c r="I36" s="104" t="str">
        <x:v>fallen einander ins Wort</x:v>
      </x:c>
      <x:c r="J36" s="104" t="str">
        <x:v>zwei kleine Satyrwesen aus dunklem Stein, lockiges Haar, kleine Hörner, einer mit Panflöte, einer mit Traubenranke, lebendige Augen</x:v>
      </x:c>
      <x:c r="K36" s="111" t="str"/>
      <x:c r="L36" s="104" t="str">
        <x:v>Mobile-RPG-Charakterporträt, Ganzkörper oder Dreiviertelfigur, Renaissance-/Rom-Fantasy mit historisch plausiblen Materialien, zwei kleine Satyrwesen aus dunklem Stein, lockiges Haar, kleine Hörner, einer mit Panflöte, einer mit Traubenranke, lebendige Augen. Stimmung: kichernd streitsüchtig. Klare Silhouette, neutraler atmosphärischer Hintergrund, warmes Gold und dunkle Erdtöne, keine Schrift, kein Logo, keine moderne Kleidung, keine Fotokopie einer realen Person.</x:v>
      </x:c>
      <x:c r="M36" s="104" t="str">
        <x:v>Historische Fakten nie improvisieren; Fiktion als Fiktion markieren; keine langen Monologe.</x:v>
      </x:c>
      <x:c r="N36" s="104" t="str">
        <x:v>https://www.comune.roma.it/web/it/attivita-progetto.page?contentId=PRG1072554</x:v>
      </x:c>
      <x:c r="O36" s="104" t="str">
        <x:v>EDITORIAL_REVIEW</x:v>
      </x:c>
      <x:c r="P36" s="168" t="str">
        <x:v>STANCE:npc_satirelli_gemelli:IDLE_READY</x:v>
      </x:c>
      <x:c r="Q36" s="168" t="n">
        <x:v>1</x:v>
      </x:c>
      <x:c r="R36" s="168" t="str">
        <x:v>2–4 s | 1280×720 (720p) | seamless loop</x:v>
      </x:c>
      <x:c r="S36" s="168" t="str">
        <x:v>Asset-Prompts!CHAR-PORTRAIT:npc_satirelli_gemelli</x:v>
      </x:c>
    </x:row>
    <x:row r="37" ht="26.399999618530273" hidden="0" customHeight="1">
      <x:c r="A37" s="101" t="str">
        <x:v>npc_porta_alchemica</x:v>
      </x:c>
      <x:c r="B37" s="101" t="str">
        <x:v>Alchemilla der Porta Magica</x:v>
      </x:c>
      <x:c r="C37" s="101" t="str">
        <x:v>FIKTIONAL</x:v>
      </x:c>
      <x:c r="D37" s="101" t="str">
        <x:v>alchemistische Wächterin</x:v>
      </x:c>
      <x:c r="E37" s="101" t="str">
        <x:v>H-D2-01</x:v>
      </x:c>
      <x:c r="F37" s="101" t="str">
        <x:v>rätselhaft, geduldig, erfreut über saubere Reihenfolgen</x:v>
      </x:c>
      <x:c r="G37" s="101" t="str">
        <x:v>vorsichtig hoffnungsvoll</x:v>
      </x:c>
      <x:c r="H37" s="101" t="str">
        <x:v>Verschlossen → geprüft → verschwörerisch freundlich</x:v>
      </x:c>
      <x:c r="I37" s="101" t="str">
        <x:v>symbolische, aber kurze Sätze</x:v>
      </x:c>
      <x:c r="J37" s="101" t="str">
        <x:v>Renaissance-Alchemistin in dunkelgrünem Mantel, Messingzirkel, kleine Glasphiolen, zwei steinerne Wächter hinter ihr, goldene Symbole</x:v>
      </x:c>
      <x:c r="K37" s="111" t="str"/>
      <x:c r="L37" s="101" t="str">
        <x:v>Mobile-RPG-Charakterporträt, Ganzkörper oder Dreiviertelfigur, Renaissance-/Rom-Fantasy mit historisch plausiblen Materialien, Renaissance-Alchemistin in dunkelgrünem Mantel, Messingzirkel, kleine Glasphiolen, zwei steinerne Wächter hinter ihr, goldene Symbole. Stimmung: vorsichtig hoffnungsvoll. Klare Silhouette, neutraler atmosphärischer Hintergrund, warmes Gold und dunkle Erdtöne, keine Schrift, kein Logo, keine moderne Kleidung, keine Fotokopie einer realen Person.</x:v>
      </x:c>
      <x:c r="M37" s="101" t="str">
        <x:v>Historische Fakten nie improvisieren; Fiktion als Fiktion markieren; keine langen Monologe.</x:v>
      </x:c>
      <x:c r="N37" s="101" t="str">
        <x:v>https://it.wikipedia.org/wiki/Piazza_Vittorio_Emanuele_II_(Roma)</x:v>
      </x:c>
      <x:c r="O37" s="101" t="str">
        <x:v>EDITORIAL_REVIEW</x:v>
      </x:c>
      <x:c r="P37" s="168" t="str">
        <x:v>STANCE:npc_porta_alchemica:IDLE_READY</x:v>
      </x:c>
      <x:c r="Q37" s="168" t="n">
        <x:v>1</x:v>
      </x:c>
      <x:c r="R37" s="168" t="str">
        <x:v>2–4 s | 1280×720 (720p) | seamless loop</x:v>
      </x:c>
      <x:c r="S37" s="168" t="str">
        <x:v>Asset-Prompts!CHAR-PORTRAIT:npc_porta_alchemica</x:v>
      </x:c>
    </x:row>
    <x:row r="38" ht="26.399999618530273" hidden="0" customHeight="1">
      <x:c r="A38" s="104" t="str">
        <x:v>npc_dante_rosa</x:v>
      </x:c>
      <x:c r="B38" s="104" t="str">
        <x:v>Dantes Wind</x:v>
      </x:c>
      <x:c r="C38" s="104" t="str">
        <x:v>LITERARISCHE_FANTASY</x:v>
      </x:c>
      <x:c r="D38" s="104" t="str">
        <x:v>Stimme der Windrose</x:v>
      </x:c>
      <x:c r="E38" s="104" t="str">
        <x:v>H-D2-02</x:v>
      </x:c>
      <x:c r="F38" s="104" t="str">
        <x:v>poetisch, trocken, mag klare Richtungen</x:v>
      </x:c>
      <x:c r="G38" s="104" t="str">
        <x:v>flüsternd ungeduldig</x:v>
      </x:c>
      <x:c r="H38" s="104" t="str">
        <x:v>Verwirrung → Orientierung → ruhiger Ausweg</x:v>
      </x:c>
      <x:c r="I38" s="104" t="str">
        <x:v>kurze Terzinen-Anklänge ohne Zitate</x:v>
      </x:c>
      <x:c r="J38" s="104" t="str">
        <x:v>schlanke Gestalt aus rotem Mantel und Windlinien, Lorbeerkranz, Pergamentstreifen, Windrose als Licht unter den Füßen</x:v>
      </x:c>
      <x:c r="K38" s="111" t="str"/>
      <x:c r="L38" s="104" t="str">
        <x:v>Mobile-RPG-Charakterporträt, Ganzkörper oder Dreiviertelfigur, Renaissance-/Rom-Fantasy mit historisch plausiblen Materialien, schlanke Gestalt aus rotem Mantel und Windlinien, Lorbeerkranz, Pergamentstreifen, Windrose als Licht unter den Füßen. Stimmung: flüsternd ungeduldig. Klare Silhouette, neutraler atmosphärischer Hintergrund, warmes Gold und dunkle Erdtöne, keine Schrift, kein Logo, keine moderne Kleidung, keine Fotokopie einer realen Person.</x:v>
      </x:c>
      <x:c r="M38" s="104" t="str">
        <x:v>Historische Fakten nie improvisieren; Fiktion als Fiktion markieren; keine langen Monologe.</x:v>
      </x:c>
      <x:c r="N38" s="104" t="str">
        <x:v>https://www.turismoroma.it/it/luoghi/giardino-di-piazza-dante</x:v>
      </x:c>
      <x:c r="O38" s="104" t="str">
        <x:v>EDITORIAL_REVIEW</x:v>
      </x:c>
      <x:c r="P38" s="168" t="str">
        <x:v>STANCE:npc_dante_rosa:IDLE_READY</x:v>
      </x:c>
      <x:c r="Q38" s="168" t="n">
        <x:v>1</x:v>
      </x:c>
      <x:c r="R38" s="168" t="str">
        <x:v>2–4 s | 1280×720 (720p) | seamless loop</x:v>
      </x:c>
      <x:c r="S38" s="168" t="str">
        <x:v>Asset-Prompts!CHAR-PORTRAIT:npc_dante_rosa</x:v>
      </x:c>
    </x:row>
    <x:row r="39" ht="66" hidden="0" customHeight="1">
      <x:c r="A39" s="101" t="str">
        <x:v>npc_cannoniere_gianicolo</x:v>
      </x:c>
      <x:c r="B39" s="101" t="str">
        <x:v>Il Cannoniere del Gianicolo</x:v>
      </x:c>
      <x:c r="C39" s="101" t="str">
        <x:v>FIKTIONAL_HISTORISCH_INSPIRIERT</x:v>
      </x:c>
      <x:c r="D39" s="101" t="str">
        <x:v>epischer Tagesboss</x:v>
      </x:c>
      <x:c r="E39" s="101" t="str">
        <x:v>B-D1-01</x:v>
      </x:c>
      <x:c r="F39" s="101" t="str">
        <x:v>laut, ehrenhaft, liebt präzise Zeitpunkte</x:v>
      </x:c>
      <x:c r="G39" s="101" t="str">
        <x:v>triumphal herausfordernd</x:v>
      </x:c>
      <x:c r="H39" s="101" t="str">
        <x:v>Ankündigung → Artillerieprüfung → respektvolle Kapitulation</x:v>
      </x:c>
      <x:c r="I39" s="101" t="str">
        <x:v>donnernde Kommandos, überraschend höfliche Anerkennung</x:v>
      </x:c>
      <x:c r="J39" s="101" t="str">
        <x:v>mächtiger Artillerist des 19. Jahrhunderts, rote Jacke, Messingknöpfe, rußiges Gesicht, Geisterkanone, orange-goldener Rauch</x:v>
      </x:c>
      <x:c r="K39" s="111" t="str"/>
      <x:c r="L39" s="101" t="str">
        <x:v>Mobile-RPG-Charakterporträt, Ganzkörper oder Dreiviertelfigur, Renaissance-/Rom-Fantasy mit historisch plausiblen Materialien, mächtiger Artillerist des 19. Jahrhunderts, rote Jacke, Messingknöpfe, rußiges Gesicht, Geisterkanone, orange-goldener Rauch. Stimmung: triumphal herausfordernd. Klare Silhouette, neutraler atmosphärischer Hintergrund, warmes Gold und dunkle Erdtöne, keine Schrift, kein Logo, keine moderne Kleidung, keine Fotokopie einer realen Person.</x:v>
      </x:c>
      <x:c r="M39" s="101" t="str">
        <x:v>Historische Fakten nie improvisieren; Fiktion als Fiktion markieren; keine langen Monologe.</x:v>
      </x:c>
      <x:c r="N39" s="101" t="str">
        <x:v>https://www.openstreetmap.org/node/1001130475</x:v>
      </x:c>
      <x:c r="O39" s="101" t="str">
        <x:v>EDITORIAL_REVIEW</x:v>
      </x:c>
      <x:c r="P39" s="168" t="str">
        <x:v>STANCE:npc_cannoniere_gianicolo:STAGE_1_TARGETING | STANCE:npc_cannoniere_gianicolo:STAGE_2_OVERHEATED | STANCE:npc_cannoniere_gianicolo:STAGE_3_LAST_STANDARD</x:v>
      </x:c>
      <x:c r="Q39" s="168" t="n">
        <x:v>3</x:v>
      </x:c>
      <x:c r="R39" s="168" t="str">
        <x:v>2–4 s | 1280×720 (720p) | seamless loop</x:v>
      </x:c>
      <x:c r="S39" s="168" t="str">
        <x:v>Asset-Prompts!CHAR-PORTRAIT:npc_cannoniere_gianicolo</x:v>
      </x:c>
    </x:row>
    <x:row r="40" ht="39.599998474121094" hidden="0" customHeight="1">
      <x:c r="A40" s="104" t="str">
        <x:v>npc_custode_neve</x:v>
      </x:c>
      <x:c r="B40" s="104" t="str">
        <x:v>Custode della Neve</x:v>
      </x:c>
      <x:c r="C40" s="104" t="str">
        <x:v>FIKTIONALE_LEGENDE</x:v>
      </x:c>
      <x:c r="D40" s="104" t="str">
        <x:v>legendärer Tagesboss</x:v>
      </x:c>
      <x:c r="E40" s="104" t="str">
        <x:v>B-D2-01</x:v>
      </x:c>
      <x:c r="F40" s="104" t="str">
        <x:v>majestätisch, kühl, unerbittlich, respektiert Erinnerung</x:v>
      </x:c>
      <x:c r="G40" s="104" t="str">
        <x:v>eisig feierlich</x:v>
      </x:c>
      <x:c r="H40" s="104" t="str">
        <x:v>Unnahbare Bedrohung → Risse in der Legende → Auflösung</x:v>
      </x:c>
      <x:c r="I40" s="104" t="str">
        <x:v>ruhige Sätze, Bilder von Schnee und Erinnerung</x:v>
      </x:c>
      <x:c r="J40" s="104" t="str">
        <x:v>riesiger weißer Wächter in byzantinisch-römischer Rüstung, Mantel aus Schneekristallen, goldene Marienmosaik-Reflexe, kein religiöses Gesicht imitieren, violett-oranges Bosslicht</x:v>
      </x:c>
      <x:c r="K40" s="111" t="str"/>
      <x:c r="L40" s="104" t="str">
        <x:v>Mobile-RPG-Charakterporträt, Ganzkörper oder Dreiviertelfigur, Renaissance-/Rom-Fantasy mit historisch plausiblen Materialien, riesiger weißer Wächter in byzantinisch-römischer Rüstung, Mantel aus Schneekristallen, goldene Marienmosaik-Reflexe, kein religiöses Gesicht imitieren, violett-oranges Bosslicht. Stimmung: eisig feierlich. Klare Silhouette, neutraler atmosphärischer Hintergrund, warmes Gold und dunkle Erdtöne, keine Schrift, kein Logo, keine moderne Kleidung, keine Fotokopie einer realen Person.</x:v>
      </x:c>
      <x:c r="M40" s="104" t="str">
        <x:v>Historische Fakten nie improvisieren; Fiktion als Fiktion markieren; keine langen Monologe.</x:v>
      </x:c>
      <x:c r="N40" s="104" t="str">
        <x:v>https://www.turismoroma.it/en/places/piazza-di-santa-maria-maggiore</x:v>
      </x:c>
      <x:c r="O40" s="104" t="str">
        <x:v>EDITORIAL_REVIEW</x:v>
      </x:c>
      <x:c r="P40" s="168" t="str">
        <x:v>STANCE:npc_custode_neve:STAGE_1_SNOW_SEAL | STANCE:npc_custode_neve:STAGE_2_WHITE_NIGHT | STANCE:npc_custode_neve:STAGE_3_MOSAIC_CRACKS</x:v>
      </x:c>
      <x:c r="Q40" s="168" t="n">
        <x:v>3</x:v>
      </x:c>
      <x:c r="R40" s="168" t="str">
        <x:v>2–4 s | 1280×720 (720p) | seamless loop</x:v>
      </x:c>
      <x:c r="S40" s="168" t="str">
        <x:v>Asset-Prompts!CHAR-PORTRAIT:npc_custode_neve</x:v>
      </x:c>
    </x:row>
  </x:sheetData>
  <x:mergeCells>
    <x:mergeCell ref="A1:O1"/>
    <x:mergeCell ref="A2:O2"/>
  </x:mergeCells>
  <x:pageMargins left="0.7" right="0.7" top="0.75" bottom="0.75" header="0.3" footer="0.3"/>
  <x:tableParts count="1">
    <x:tablePart xmlns:r="http://schemas.openxmlformats.org/officeDocument/2006/relationships" r:id="R64cc4a940eec4f51"/>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17" hidden="0" customWidth="1"/>
    <x:col min="4" max="4" width="40" hidden="0" customWidth="1"/>
    <x:col min="5" max="5" width="30" hidden="0" customWidth="1"/>
    <x:col min="6" max="6" width="26" hidden="0" customWidth="1"/>
    <x:col min="7" max="7" width="58" hidden="0" customWidth="1"/>
    <x:col min="8" max="8" width="48" hidden="0" customWidth="1"/>
    <x:col min="9" max="9" width="44" hidden="0" customWidth="1"/>
    <x:col min="10" max="10" width="38" hidden="0" customWidth="1"/>
    <x:col min="11" max="11" width="58" hidden="0" customWidth="1"/>
    <x:col min="12" max="12" width="16" hidden="0" customWidth="1"/>
    <x:col min="13" max="13" width="50" hidden="0" customWidth="1"/>
    <x:col min="14" max="14" width="50" hidden="0" customWidth="1"/>
    <x:col min="15" max="15" width="58" hidden="0" customWidth="1"/>
    <x:col min="16" max="16" width="28" hidden="0" customWidth="1"/>
    <x:col min="17" max="17" width="25" hidden="0" customWidth="1"/>
    <x:col min="18" max="18" width="52" hidden="0" customWidth="1"/>
  </x:cols>
  <x:sheetData>
    <x:row r="1" ht="28" customHeight="1">
      <x:c r="A1" s="91" t="str">
        <x:v>Via Romae – Rätsel und Beobachtungen v0.8</x:v>
      </x:c>
      <x:c r="B1" s="91"/>
      <x:c r="C1" s="91"/>
      <x:c r="D1" s="91"/>
      <x:c r="E1" s="91"/>
      <x:c r="F1" s="91"/>
      <x:c r="G1" s="91"/>
      <x:c r="H1" s="91"/>
      <x:c r="I1" s="91"/>
      <x:c r="J1" s="91"/>
      <x:c r="K1" s="91"/>
      <x:c r="L1" s="91"/>
      <x:c r="M1" s="91"/>
      <x:c r="N1" s="91"/>
      <x:c r="O1" s="91"/>
      <x:c r="P1" s="91"/>
      <x:c r="Q1" s="91"/>
      <x:c r="R1" s="91"/>
    </x:row>
    <x:row r="2" ht="38" customHeight="1">
      <x:c r="A2" s="95" t="str">
        <x:v>Alle Ortsfragen plus Synthese-, Zuordnungs- und Codeaufgaben. Jede Pflichtinteraktion besitzt Evidence, Sollantwort, Varianten, zweistufige Hilfe und Fallback.</x:v>
      </x:c>
      <x:c r="B2" s="95"/>
      <x:c r="C2" s="95"/>
      <x:c r="D2" s="95"/>
      <x:c r="E2" s="95"/>
      <x:c r="F2" s="95"/>
      <x:c r="G2" s="95"/>
      <x:c r="H2" s="95"/>
      <x:c r="I2" s="95"/>
      <x:c r="J2" s="95"/>
      <x:c r="K2" s="95"/>
      <x:c r="L2" s="95"/>
      <x:c r="M2" s="95"/>
      <x:c r="N2" s="95"/>
      <x:c r="O2" s="95"/>
      <x:c r="P2" s="95"/>
      <x:c r="Q2" s="95"/>
      <x:c r="R2" s="95"/>
    </x:row>
    <x:row r="3">
      <x:c r="A3" s="52"/>
      <x:c r="B3" s="52"/>
      <x:c r="C3" s="52"/>
      <x:c r="D3" s="52"/>
      <x:c r="E3" s="52"/>
      <x:c r="F3" s="52"/>
      <x:c r="G3" s="52"/>
      <x:c r="H3" s="52"/>
      <x:c r="I3" s="52"/>
      <x:c r="J3" s="52"/>
      <x:c r="K3" s="52"/>
      <x:c r="L3" s="52"/>
      <x:c r="M3" s="52"/>
      <x:c r="N3" s="52"/>
      <x:c r="O3" s="52"/>
      <x:c r="P3" s="52"/>
      <x:c r="Q3" s="52"/>
      <x:c r="R3" s="52"/>
    </x:row>
    <x:row r="4" ht="42" customHeight="1">
      <x:c r="A4" s="98" t="str">
        <x:v>Puzzle-ID</x:v>
      </x:c>
      <x:c r="B4" s="98" t="str">
        <x:v>Quest-ID</x:v>
      </x:c>
      <x:c r="C4" s="98" t="str">
        <x:v>Step-Ref</x:v>
      </x:c>
      <x:c r="D4" s="98" t="str">
        <x:v>Kandidaten-ID</x:v>
      </x:c>
      <x:c r="E4" s="98" t="str">
        <x:v>Ort</x:v>
      </x:c>
      <x:c r="F4" s="98" t="str">
        <x:v>Antworttyp</x:v>
      </x:c>
      <x:c r="G4" s="98" t="str">
        <x:v>Prompt</x:v>
      </x:c>
      <x:c r="H4" s="98" t="str">
        <x:v>Optionen / Reihenfolge</x:v>
      </x:c>
      <x:c r="I4" s="98" t="str">
        <x:v>Sollantwort</x:v>
      </x:c>
      <x:c r="J4" s="98" t="str">
        <x:v>Akzeptierte Varianten</x:v>
      </x:c>
      <x:c r="K4" s="98" t="str">
        <x:v>Observable Evidence</x:v>
      </x:c>
      <x:c r="L4" s="98" t="str">
        <x:v>Evidence-Grade</x:v>
      </x:c>
      <x:c r="M4" s="98" t="str">
        <x:v>Hinweis 1</x:v>
      </x:c>
      <x:c r="N4" s="98" t="str">
        <x:v>Hinweis 2</x:v>
      </x:c>
      <x:c r="O4" s="98" t="str">
        <x:v>Fallback</x:v>
      </x:c>
      <x:c r="P4" s="98" t="str">
        <x:v>Fehlerfolge</x:v>
      </x:c>
      <x:c r="Q4" s="98" t="str">
        <x:v>Validierungsstatus</x:v>
      </x:c>
      <x:c r="R4" s="98" t="str">
        <x:v>Quelle</x:v>
      </x:c>
    </x:row>
    <x:row r="5" ht="82" customHeight="1">
      <x:c r="A5" s="101" t="str">
        <x:v>OBS-D1-Q01-1</x:v>
      </x:c>
      <x:c r="B5" s="101" t="str">
        <x:v>D1-Q01</x:v>
      </x:c>
      <x:c r="C5" s="101" t="str">
        <x:v>station_1</x:v>
      </x:c>
      <x:c r="D5" s="101" t="str">
        <x:v>place_day_1_piazza_san_pietro</x:v>
      </x:c>
      <x:c r="E5" s="101" t="str">
        <x:v>Petersplatz</x:v>
      </x:c>
      <x:c r="F5" s="101" t="str">
        <x:v>OBSERVATION_INPUT</x:v>
      </x:c>
      <x:c r="G5" s="101" t="str">
        <x:v>Stellt euch auf eine der runden Marmorplatten auf der Querachse des Obelisken und blickt zur Kolonnade. Wie viele Säulenreihen scheinen übrig zu bleiben?</x:v>
      </x:c>
      <x:c r="H5" s="101" t="str"/>
      <x:c r="I5" s="101" t="str">
        <x:v>Eine</x:v>
      </x:c>
      <x:c r="J5" s="101" t="str">
        <x:v>Eine</x:v>
      </x:c>
      <x:c r="K5" s="101" t="str">
        <x:v>Runde Marmor-Brennpunktmarkierung im Pflaster zwischen Obelisk und Kolonnade; danach Blick auf die großen Säulen.</x:v>
      </x:c>
      <x:c r="L5" s="101" t="str">
        <x:v>B</x:v>
      </x:c>
      <x:c r="M5" s="101" t="str">
        <x:v>Blickt auf: Runde Marmor-Brennpunktmarkierung im Pflaster zwischen Obelisk und Kolonnade; danach Blick auf die großen Säulen.</x:v>
      </x:c>
      <x:c r="N5" s="101" t="str">
        <x:v>Konzentriert euch auf die große, dauerhaft sichtbare Form.</x:v>
      </x:c>
      <x:c r="O5" s="101" t="str">
        <x:v>Gleichörtiger Fallback gemäß Ortszuordnung: V03-Punkt; Die Bodenmarkierung muss vor Veröffentlichung auf einem aktuellen Bild eindeutig lokalisiert werden.</x:v>
      </x:c>
      <x:c r="P5" s="101" t="str">
        <x:v>Kein Grundabschlussverlust</x:v>
      </x:c>
      <x:c r="Q5" s="101" t="str">
        <x:v>FIELD_CHECK_REQUIRED</x:v>
      </x:c>
      <x:c r="R5" s="101" t="str">
        <x:v>https://www.turismoroma.it/it/luoghi/piazza-san-pietro</x:v>
      </x:c>
    </x:row>
    <x:row r="6" ht="82" customHeight="1">
      <x:c r="A6" s="104" t="str">
        <x:v>OBS-D1-Q01-2</x:v>
      </x:c>
      <x:c r="B6" s="104" t="str">
        <x:v>D1-Q01</x:v>
      </x:c>
      <x:c r="C6" s="104" t="str">
        <x:v>station_2</x:v>
      </x:c>
      <x:c r="D6" s="104" t="str">
        <x:v>place_day_1_passetto_di_borgo</x:v>
      </x:c>
      <x:c r="E6" s="104" t="str">
        <x:v>Passetto di Borgo</x:v>
      </x:c>
      <x:c r="F6" s="104" t="str">
        <x:v>OBSERVATION_INPUT</x:v>
      </x:c>
      <x:c r="G6" s="104" t="str">
        <x:v>Wo verläuft der befestigte Verbindungsgang des Passetto?</x:v>
      </x:c>
      <x:c r="H6" s="104" t="str"/>
      <x:c r="I6" s="104" t="str">
        <x:v>Auf der Mauer</x:v>
      </x:c>
      <x:c r="J6" s="104" t="str">
        <x:v>Auf der Mauer</x:v>
      </x:c>
      <x:c r="K6" s="104" t="str">
        <x:v>Langer, geschlossener Maueraufbau mit kleinen Öffnungen; vom öffentlichen Straßenraum sichtbar.</x:v>
      </x:c>
      <x:c r="L6" s="104" t="str">
        <x:v>A</x:v>
      </x:c>
      <x:c r="M6" s="104" t="str">
        <x:v>Blickt auf: Langer, geschlossener Maueraufbau mit kleinen Öffnungen; vom öffentlichen Straßenraum sichtbar.</x:v>
      </x:c>
      <x:c r="N6" s="104" t="str">
        <x:v>Konzentriert euch auf die große, dauerhaft sichtbare Form.</x:v>
      </x:c>
      <x:c r="O6" s="104" t="str">
        <x:v>Gleichörtiger Fallback gemäß Ortszuordnung: V03-Punkt; Exakten Gehsteig-Blickpunkt im Dossier verwenden; der begehbare Passetto selbst ist nicht erforderlich.</x:v>
      </x:c>
      <x:c r="P6" s="104" t="str">
        <x:v>Kein Grundabschlussverlust</x:v>
      </x:c>
      <x:c r="Q6" s="104" t="str">
        <x:v>REMOTE_REVIEW</x:v>
      </x:c>
      <x:c r="R6" s="104" t="str">
        <x:v>https://www.turismoroma.it/en/places/passetto-di-borgo</x:v>
      </x:c>
    </x:row>
    <x:row r="7" ht="82" customHeight="1">
      <x:c r="A7" s="101" t="str">
        <x:v>OBS-D1-Q01-3</x:v>
      </x:c>
      <x:c r="B7" s="101" t="str">
        <x:v>D1-Q01</x:v>
      </x:c>
      <x:c r="C7" s="101" t="str">
        <x:v>station_3</x:v>
      </x:c>
      <x:c r="D7" s="101" t="str">
        <x:v>place_day_1_castel_sant_angelo</x:v>
      </x:c>
      <x:c r="E7" s="101" t="str">
        <x:v>Engelsburg</x:v>
      </x:c>
      <x:c r="F7" s="101" t="str">
        <x:v>OBSERVATION_INPUT</x:v>
      </x:c>
      <x:c r="G7" s="101" t="str">
        <x:v>Welche geflügelte Figur bekrönt die Engelsburg?</x:v>
      </x:c>
      <x:c r="H7" s="101" t="str"/>
      <x:c r="I7" s="101" t="str">
        <x:v>Der Erzengel Michael</x:v>
      </x:c>
      <x:c r="J7" s="101" t="str">
        <x:v>Der Erzengel Michael</x:v>
      </x:c>
      <x:c r="K7" s="101" t="str">
        <x:v>Große geflügelte Bronzefigur auf dem höchsten Punkt, vom öffentlichen Vorplatz sichtbar.</x:v>
      </x:c>
      <x:c r="L7" s="101" t="str">
        <x:v>A</x:v>
      </x:c>
      <x:c r="M7" s="101" t="str">
        <x:v>Blickt auf: Große geflügelte Bronzefigur auf dem höchsten Punkt, vom öffentlichen Vorplatz sichtbar.</x:v>
      </x:c>
      <x:c r="N7" s="101" t="str">
        <x:v>Konzentriert euch auf die große, dauerhaft sichtbare Form.</x:v>
      </x:c>
      <x:c r="O7" s="101" t="str">
        <x:v>Gleichörtiger Fallback gemäß Ortszuordnung: Moved from the monument centroid to the public exterior forecourt at the bridge/castle approach. No ticket or castle entry may be required.; Nur der öffentliche Vorplatz darf als Trigger dienen; kein Eintritt in die Burg.</x:v>
      </x:c>
      <x:c r="P7" s="101" t="str">
        <x:v>Kein Grundabschlussverlust</x:v>
      </x:c>
      <x:c r="Q7" s="101" t="str">
        <x:v>REMOTE_REVIEW</x:v>
      </x:c>
      <x:c r="R7" s="101" t="str">
        <x:v>https://www.turismoroma.it/en/places/santangelo-castle</x:v>
      </x:c>
    </x:row>
    <x:row r="8" ht="82" customHeight="1">
      <x:c r="A8" s="104" t="str">
        <x:v>OBS-D1-Q02-1</x:v>
      </x:c>
      <x:c r="B8" s="104" t="str">
        <x:v>D1-Q02</x:v>
      </x:c>
      <x:c r="C8" s="104" t="str">
        <x:v>station_1</x:v>
      </x:c>
      <x:c r="D8" s="104" t="str">
        <x:v>place_day_1_porta_san_pellegrino</x:v>
      </x:c>
      <x:c r="E8" s="104" t="str">
        <x:v>St.-Pellegrino-Tor</x:v>
      </x:c>
      <x:c r="F8" s="104" t="str">
        <x:v>OBSERVATION_INPUT</x:v>
      </x:c>
      <x:c r="G8" s="104" t="str">
        <x:v>Welches Tier erkennt ihr im Wappen über dem Torbogen?</x:v>
      </x:c>
      <x:c r="H8" s="104" t="str"/>
      <x:c r="I8" s="104" t="str">
        <x:v>Einen Stier</x:v>
      </x:c>
      <x:c r="J8" s="104" t="str">
        <x:v>Einen Stier</x:v>
      </x:c>
      <x:c r="K8" s="104" t="str">
        <x:v>Großer Torbogen und hoch angebrachtes päpstliches Wappen mit Stiermotiv.</x:v>
      </x:c>
      <x:c r="L8" s="104" t="str">
        <x:v>B</x:v>
      </x:c>
      <x:c r="M8" s="104" t="str">
        <x:v>Blickt auf: Großer Torbogen und hoch angebrachtes päpstliches Wappen mit Stiermotiv.</x:v>
      </x:c>
      <x:c r="N8" s="104" t="str">
        <x:v>Konzentriert euch auf die große, dauerhaft sichtbare Form.</x:v>
      </x:c>
      <x:c r="O8" s="104" t="str">
        <x:v>Gleichörtiger Fallback gemäß Ortszuordnung: V03-Punkt; Der Stier ist relativ hoch angebracht; Antwortgröße auf aktuellen Bildern prüfen.</x:v>
      </x:c>
      <x:c r="P8" s="104" t="str">
        <x:v>Kein Grundabschlussverlust</x:v>
      </x:c>
      <x:c r="Q8" s="104" t="str">
        <x:v>FIELD_CHECK_REQUIRED</x:v>
      </x:c>
      <x:c r="R8" s="104" t="str">
        <x:v>https://it.wikipedia.org/wiki/Porta_San_Pellegrino</x:v>
      </x:c>
    </x:row>
    <x:row r="9" ht="82" customHeight="1">
      <x:c r="A9" s="101" t="str">
        <x:v>OBS-D1-Q02-2</x:v>
      </x:c>
      <x:c r="B9" s="101" t="str">
        <x:v>D1-Q02</x:v>
      </x:c>
      <x:c r="C9" s="101" t="str">
        <x:v>station_2</x:v>
      </x:c>
      <x:c r="D9" s="101" t="str">
        <x:v>place_day_1_porta_cavalleggeri</x:v>
      </x:c>
      <x:c r="E9" s="101" t="str">
        <x:v>Porta Cavalleggeri</x:v>
      </x:c>
      <x:c r="F9" s="101" t="str">
        <x:v>OBSERVATION_INPUT</x:v>
      </x:c>
      <x:c r="G9" s="101" t="str">
        <x:v>Wie viele historische Hauptbögen sind als Torrest sichtbar?</x:v>
      </x:c>
      <x:c r="H9" s="101" t="str"/>
      <x:c r="I9" s="101" t="str">
        <x:v>Einer</x:v>
      </x:c>
      <x:c r="J9" s="101" t="str">
        <x:v>Einer</x:v>
      </x:c>
      <x:c r="K9" s="101" t="str">
        <x:v>Ein einzelner erhaltener Mauerbogen mit päpstlichen Zeichen nahe dem Vatikan.</x:v>
      </x:c>
      <x:c r="L9" s="101" t="str">
        <x:v>B</x:v>
      </x:c>
      <x:c r="M9" s="101" t="str">
        <x:v>Blickt auf: Ein einzelner erhaltener Mauerbogen mit päpstlichen Zeichen nahe dem Vatikan.</x:v>
      </x:c>
      <x:c r="N9" s="101" t="str">
        <x:v>Konzentriert euch auf die große, dauerhaft sichtbare Form.</x:v>
      </x:c>
      <x:c r="O9" s="101" t="str">
        <x:v>Gleichörtiger Fallback gemäß Ortszuordnung: V03-Punkt; Als Ersatz für einen zu vollen Petersplatz geeignet; Sichtbarkeit zwischen Verkehr und parkenden Fahrzeugen prüfen.</x:v>
      </x:c>
      <x:c r="P9" s="101" t="str">
        <x:v>Kein Grundabschlussverlust</x:v>
      </x:c>
      <x:c r="Q9" s="101" t="str">
        <x:v>FIELD_CHECK_REQUIRED</x:v>
      </x:c>
      <x:c r="R9" s="101" t="str">
        <x:v>https://www.openstreetmap.org/node/6205478926</x:v>
      </x:c>
    </x:row>
    <x:row r="10" ht="82" customHeight="1">
      <x:c r="A10" s="104" t="str">
        <x:v>OBS-D1-Q02-3</x:v>
      </x:c>
      <x:c r="B10" s="104" t="str">
        <x:v>D1-Q02</x:v>
      </x:c>
      <x:c r="C10" s="104" t="str">
        <x:v>station_3</x:v>
      </x:c>
      <x:c r="D10" s="104" t="str">
        <x:v>place_day_1_porta_santo_spirito</x:v>
      </x:c>
      <x:c r="E10" s="104" t="str">
        <x:v>Porta Santo Spirito</x:v>
      </x:c>
      <x:c r="F10" s="104" t="str">
        <x:v>OBSERVATION_INPUT</x:v>
      </x:c>
      <x:c r="G10" s="104" t="str">
        <x:v>Welche Kombination flankiert den großen mittleren Bogen?</x:v>
      </x:c>
      <x:c r="H10" s="104" t="str"/>
      <x:c r="I10" s="104" t="str">
        <x:v>Dorische Säulen und leere Nischen</x:v>
      </x:c>
      <x:c r="J10" s="104" t="str">
        <x:v>Dorische Säulen und leere Nischen</x:v>
      </x:c>
      <x:c r="K10" s="104" t="str">
        <x:v>Großer Mittelbogen, paarweise Säulen und deutlich erkennbare leere Nischen.</x:v>
      </x:c>
      <x:c r="L10" s="104" t="str">
        <x:v>A</x:v>
      </x:c>
      <x:c r="M10" s="104" t="str">
        <x:v>Blickt auf: Großer Mittelbogen, paarweise Säulen und deutlich erkennbare leere Nischen.</x:v>
      </x:c>
      <x:c r="N10" s="104" t="str">
        <x:v>Konzentriert euch auf die große, dauerhaft sichtbare Form.</x:v>
      </x:c>
      <x:c r="O10" s="104" t="str">
        <x:v>Gleichörtiger Fallback gemäß Ortszuordnung: V03-Punkt; VISUAL_EVIDENCE_NOT_YET_VERIFIED</x:v>
      </x:c>
      <x:c r="P10" s="104" t="str">
        <x:v>Kein Grundabschlussverlust</x:v>
      </x:c>
      <x:c r="Q10" s="104" t="str">
        <x:v>REMOTE_REVIEW</x:v>
      </x:c>
      <x:c r="R10" s="104" t="str">
        <x:v>https://www.turismoroma.it/it/luoghi/porta-santo-spirito</x:v>
      </x:c>
    </x:row>
    <x:row r="11" ht="82" customHeight="1">
      <x:c r="A11" s="101" t="str">
        <x:v>OBS-D1-Q03-1</x:v>
      </x:c>
      <x:c r="B11" s="101" t="str">
        <x:v>D1-Q03</x:v>
      </x:c>
      <x:c r="C11" s="101" t="str">
        <x:v>station_1</x:v>
      </x:c>
      <x:c r="D11" s="101" t="str">
        <x:v>place_day_1_piazza_del_popolo</x:v>
      </x:c>
      <x:c r="E11" s="101" t="str">
        <x:v>Piazza del Popolo</x:v>
      </x:c>
      <x:c r="F11" s="101" t="str">
        <x:v>OBSERVATION_INPUT</x:v>
      </x:c>
      <x:c r="G11" s="101" t="str">
        <x:v>Wie viele nahezu spiegelbildliche Kuppelkirchen flankieren den Beginn der Via del Corso?</x:v>
      </x:c>
      <x:c r="H11" s="101" t="str"/>
      <x:c r="I11" s="101" t="str">
        <x:v>Zwei</x:v>
      </x:c>
      <x:c r="J11" s="101" t="str">
        <x:v>Zwei</x:v>
      </x:c>
      <x:c r="K11" s="101" t="str">
        <x:v>Zwei große Kuppelkirchen am südlichen Platzende und drei radial ausgehende Straßen.</x:v>
      </x:c>
      <x:c r="L11" s="101" t="str">
        <x:v>A</x:v>
      </x:c>
      <x:c r="M11" s="101" t="str">
        <x:v>Blickt auf: Zwei große Kuppelkirchen am südlichen Platzende und drei radial ausgehende Straßen.</x:v>
      </x:c>
      <x:c r="N11" s="101" t="str">
        <x:v>Konzentriert euch auf die große, dauerhaft sichtbare Form.</x:v>
      </x:c>
      <x:c r="O11" s="101" t="str">
        <x:v>Gleichörtiger Fallback gemäß Ortszuordnung: V03-Punkt; VISUAL_EVIDENCE_NOT_YET_VERIFIED|CROWDING_RISK</x:v>
      </x:c>
      <x:c r="P11" s="101" t="str">
        <x:v>Kein Grundabschlussverlust</x:v>
      </x:c>
      <x:c r="Q11" s="101" t="str">
        <x:v>REMOTE_REVIEW</x:v>
      </x:c>
      <x:c r="R11" s="101" t="str">
        <x:v>https://en.wikipedia.org/wiki/Piazza_del_Popolo</x:v>
      </x:c>
    </x:row>
    <x:row r="12" ht="82" customHeight="1">
      <x:c r="A12" s="104" t="str">
        <x:v>OBS-D1-Q03-2</x:v>
      </x:c>
      <x:c r="B12" s="104" t="str">
        <x:v>D1-Q03</x:v>
      </x:c>
      <x:c r="C12" s="104" t="str">
        <x:v>station_2</x:v>
      </x:c>
      <x:c r="D12" s="104" t="str">
        <x:v>place_day_1_obelisco_flaminio</x:v>
      </x:c>
      <x:c r="E12" s="104" t="str">
        <x:v>Obelisco Flaminio</x:v>
      </x:c>
      <x:c r="F12" s="104" t="str">
        <x:v>OBSERVATION_INPUT</x:v>
      </x:c>
      <x:c r="G12" s="104" t="str">
        <x:v>Wie viele Löwenbrunnen stehen rund um den Sockel des Obelisken?</x:v>
      </x:c>
      <x:c r="H12" s="104" t="str"/>
      <x:c r="I12" s="104" t="str">
        <x:v>Vier</x:v>
      </x:c>
      <x:c r="J12" s="104" t="str">
        <x:v>Vier</x:v>
      </x:c>
      <x:c r="K12" s="104" t="str">
        <x:v>Vier monumentale Löwenbrunnen unmittelbar um den Sockel.</x:v>
      </x:c>
      <x:c r="L12" s="104" t="str">
        <x:v>A</x:v>
      </x:c>
      <x:c r="M12" s="104" t="str">
        <x:v>Blickt auf: Vier monumentale Löwenbrunnen unmittelbar um den Sockel.</x:v>
      </x:c>
      <x:c r="N12" s="104" t="str">
        <x:v>Konzentriert euch auf die große, dauerhaft sichtbare Form.</x:v>
      </x:c>
      <x:c r="O12" s="104" t="str">
        <x:v>Gleichörtiger Fallback gemäß Ortszuordnung: V03-Punkt; VISUAL_EVIDENCE_NOT_YET_VERIFIED|CROWDING_RISK</x:v>
      </x:c>
      <x:c r="P12" s="104" t="str">
        <x:v>Kein Grundabschlussverlust</x:v>
      </x:c>
      <x:c r="Q12" s="104" t="str">
        <x:v>REMOTE_REVIEW</x:v>
      </x:c>
      <x:c r="R12" s="104" t="str">
        <x:v>https://en.wikipedia.org/wiki/Flaminio_Obelisk</x:v>
      </x:c>
    </x:row>
    <x:row r="13" ht="82" customHeight="1">
      <x:c r="A13" s="101" t="str">
        <x:v>OBS-D1-Q03-3</x:v>
      </x:c>
      <x:c r="B13" s="101" t="str">
        <x:v>D1-Q03</x:v>
      </x:c>
      <x:c r="C13" s="101" t="str">
        <x:v>station_3</x:v>
      </x:c>
      <x:c r="D13" s="101" t="str">
        <x:v>place_day_1_porta_del_popolo</x:v>
      </x:c>
      <x:c r="E13" s="101" t="str">
        <x:v>Porta del Popolo</x:v>
      </x:c>
      <x:c r="F13" s="101" t="str">
        <x:v>OBSERVATION_INPUT</x:v>
      </x:c>
      <x:c r="G13" s="101" t="str">
        <x:v>Wie viele große Durchgänge besitzt die Porta del Popolo heute?</x:v>
      </x:c>
      <x:c r="H13" s="101" t="str"/>
      <x:c r="I13" s="101" t="str">
        <x:v>Drei</x:v>
      </x:c>
      <x:c r="J13" s="101" t="str">
        <x:v>Drei</x:v>
      </x:c>
      <x:c r="K13" s="101" t="str">
        <x:v>Drei große heutige Öffnungen, davon ein höherer Mittelbogen.</x:v>
      </x:c>
      <x:c r="L13" s="101" t="str">
        <x:v>A</x:v>
      </x:c>
      <x:c r="M13" s="101" t="str">
        <x:v>Blickt auf: Drei große heutige Öffnungen, davon ein höherer Mittelbogen.</x:v>
      </x:c>
      <x:c r="N13" s="101" t="str">
        <x:v>Konzentriert euch auf die große, dauerhaft sichtbare Form.</x:v>
      </x:c>
      <x:c r="O13" s="101" t="str">
        <x:v>Gleichörtiger Fallback gemäß Ortszuordnung: V03-Punkt; VISUAL_EVIDENCE_NOT_YET_VERIFIED</x:v>
      </x:c>
      <x:c r="P13" s="101" t="str">
        <x:v>Kein Grundabschlussverlust</x:v>
      </x:c>
      <x:c r="Q13" s="101" t="str">
        <x:v>REMOTE_REVIEW</x:v>
      </x:c>
      <x:c r="R13" s="101" t="str">
        <x:v>https://en.wikipedia.org/wiki/Porta_del_Popolo</x:v>
      </x:c>
    </x:row>
    <x:row r="14" ht="82" customHeight="1">
      <x:c r="A14" s="104" t="str">
        <x:v>OBS-D1-Q04-1</x:v>
      </x:c>
      <x:c r="B14" s="104" t="str">
        <x:v>D1-Q04</x:v>
      </x:c>
      <x:c r="C14" s="104" t="str">
        <x:v>station_1</x:v>
      </x:c>
      <x:c r="D14" s="104" t="str">
        <x:v>place_day_1_obelisco_di_antinoo</x:v>
      </x:c>
      <x:c r="E14" s="104" t="str">
        <x:v>Obelisco di Antinoo</x:v>
      </x:c>
      <x:c r="F14" s="104" t="str">
        <x:v>OBSERVATION_INPUT</x:v>
      </x:c>
      <x:c r="G14" s="104" t="str">
        <x:v>Welche Art von Schriftzeichen bedeckt den Schaft?</x:v>
      </x:c>
      <x:c r="H14" s="104" t="str"/>
      <x:c r="I14" s="104" t="str">
        <x:v>Hieroglyphen</x:v>
      </x:c>
      <x:c r="J14" s="104" t="str">
        <x:v>Hieroglyphen</x:v>
      </x:c>
      <x:c r="K14" s="104" t="str">
        <x:v>Hieroglyphen auf allen Schaftseiten und deutliche Obeliskform.</x:v>
      </x:c>
      <x:c r="L14" s="104" t="str">
        <x:v>A</x:v>
      </x:c>
      <x:c r="M14" s="104" t="str">
        <x:v>Blickt auf: Hieroglyphen auf allen Schaftseiten und deutliche Obeliskform.</x:v>
      </x:c>
      <x:c r="N14" s="104" t="str">
        <x:v>Konzentriert euch auf die große, dauerhaft sichtbare Form.</x:v>
      </x:c>
      <x:c r="O14" s="104" t="str">
        <x:v>Gleichörtiger Fallback gemäß Ortszuordnung: V03-Punkt; VISUAL_EVIDENCE_NOT_YET_VERIFIED|CROWDING_RISK</x:v>
      </x:c>
      <x:c r="P14" s="104" t="str">
        <x:v>Kein Grundabschlussverlust</x:v>
      </x:c>
      <x:c r="Q14" s="104" t="str">
        <x:v>REMOTE_REVIEW</x:v>
      </x:c>
      <x:c r="R14" s="104" t="str">
        <x:v>https://it.wikipedia.org/wiki/Obelisco_del_Pincio</x:v>
      </x:c>
    </x:row>
    <x:row r="15" ht="82" customHeight="1">
      <x:c r="A15" s="101" t="str">
        <x:v>OBS-D1-Q04-2</x:v>
      </x:c>
      <x:c r="B15" s="101" t="str">
        <x:v>D1-Q04</x:v>
      </x:c>
      <x:c r="C15" s="101" t="str">
        <x:v>station_2</x:v>
      </x:c>
      <x:c r="D15" s="101" t="str">
        <x:v>place_day_1_fontana_della_dea_di_roma</x:v>
      </x:c>
      <x:c r="E15" s="101" t="str">
        <x:v>Fontana della Dea di Roma</x:v>
      </x:c>
      <x:c r="F15" s="101" t="str">
        <x:v>OBSERVATION_INPUT</x:v>
      </x:c>
      <x:c r="G15" s="101" t="str">
        <x:v>Welches Tier ist zusammen mit den Zwillingen Romulus und Remus dargestellt?</x:v>
      </x:c>
      <x:c r="H15" s="101" t="str"/>
      <x:c r="I15" s="101" t="str">
        <x:v>Eine Wölfin</x:v>
      </x:c>
      <x:c r="J15" s="101" t="str">
        <x:v>Eine Wölfin</x:v>
      </x:c>
      <x:c r="K15" s="101" t="str">
        <x:v>Zentrale sitzende Göttin und gut erkennbare Wölfin mit Zwillingen im unteren Bereich.</x:v>
      </x:c>
      <x:c r="L15" s="101" t="str">
        <x:v>A</x:v>
      </x:c>
      <x:c r="M15" s="101" t="str">
        <x:v>Blickt auf: Zentrale sitzende Göttin und gut erkennbare Wölfin mit Zwillingen im unteren Bereich.</x:v>
      </x:c>
      <x:c r="N15" s="101" t="str">
        <x:v>Konzentriert euch auf die große, dauerhaft sichtbare Form.</x:v>
      </x:c>
      <x:c r="O15" s="101" t="str">
        <x:v>Gleichörtiger Fallback gemäß Ortszuordnung: V03-Punkt; VISUAL_EVIDENCE_NOT_YET_VERIFIED</x:v>
      </x:c>
      <x:c r="P15" s="101" t="str">
        <x:v>Kein Grundabschlussverlust</x:v>
      </x:c>
      <x:c r="Q15" s="101" t="str">
        <x:v>REMOTE_REVIEW</x:v>
      </x:c>
      <x:c r="R15" s="101" t="str">
        <x:v>https://www.openstreetmap.org/relation/11496554</x:v>
      </x:c>
    </x:row>
    <x:row r="16" ht="82" customHeight="1">
      <x:c r="A16" s="104" t="str">
        <x:v>OBS-D1-Q04-3</x:v>
      </x:c>
      <x:c r="B16" s="104" t="str">
        <x:v>D1-Q04</x:v>
      </x:c>
      <x:c r="C16" s="104" t="str">
        <x:v>station_3</x:v>
      </x:c>
      <x:c r="D16" s="104" t="str">
        <x:v>place_day_1_balconata_del_pincio</x:v>
      </x:c>
      <x:c r="E16" s="104" t="str">
        <x:v>Balconata del Pincio</x:v>
      </x:c>
      <x:c r="F16" s="104" t="str">
        <x:v>OBSERVATION_INPUT</x:v>
      </x:c>
      <x:c r="G16" s="104" t="str">
        <x:v>Welcher große Platz liegt direkt unter der Aussichtsterrasse?</x:v>
      </x:c>
      <x:c r="H16" s="104" t="str"/>
      <x:c r="I16" s="104" t="str">
        <x:v>Piazza del Popolo</x:v>
      </x:c>
      <x:c r="J16" s="104" t="str">
        <x:v>Piazza del Popolo</x:v>
      </x:c>
      <x:c r="K16" s="104" t="str">
        <x:v>Große Balustrade mit unmittelbarem Überblick auf Piazza del Popolo.</x:v>
      </x:c>
      <x:c r="L16" s="104" t="str">
        <x:v>A</x:v>
      </x:c>
      <x:c r="M16" s="104" t="str">
        <x:v>Blickt auf: Große Balustrade mit unmittelbarem Überblick auf Piazza del Popolo.</x:v>
      </x:c>
      <x:c r="N16" s="104" t="str">
        <x:v>Konzentriert euch auf die große, dauerhaft sichtbare Form.</x:v>
      </x:c>
      <x:c r="O16" s="104" t="str">
        <x:v>Gleichörtiger Fallback gemäß Ortszuordnung: V03-Punkt; VISUAL_EVIDENCE_NOT_YET_VERIFIED</x:v>
      </x:c>
      <x:c r="P16" s="104" t="str">
        <x:v>Kein Grundabschlussverlust</x:v>
      </x:c>
      <x:c r="Q16" s="104" t="str">
        <x:v>REMOTE_REVIEW</x:v>
      </x:c>
      <x:c r="R16" s="104" t="str">
        <x:v>https://www.openstreetmap.org/node/649529694</x:v>
      </x:c>
    </x:row>
    <x:row r="17" ht="82" customHeight="1">
      <x:c r="A17" s="101" t="str">
        <x:v>OBS-D1-Q05-1</x:v>
      </x:c>
      <x:c r="B17" s="101" t="str">
        <x:v>D1-Q05</x:v>
      </x:c>
      <x:c r="C17" s="101" t="str">
        <x:v>station_1</x:v>
      </x:c>
      <x:c r="D17" s="101" t="str">
        <x:v>place_day_1_piazza_di_spagna</x:v>
      </x:c>
      <x:c r="E17" s="101" t="str">
        <x:v>Spanischer Platz</x:v>
      </x:c>
      <x:c r="F17" s="101" t="str">
        <x:v>OBSERVATION_INPUT</x:v>
      </x:c>
      <x:c r="G17" s="101" t="str">
        <x:v>Welche Form hat der Brunnen am Fuß der Spanischen Treppe?</x:v>
      </x:c>
      <x:c r="H17" s="101" t="str"/>
      <x:c r="I17" s="101" t="str">
        <x:v>Ein Boot</x:v>
      </x:c>
      <x:c r="J17" s="101" t="str">
        <x:v>Ein Boot</x:v>
      </x:c>
      <x:c r="K17" s="101" t="str">
        <x:v>Bootsförmiger Brunnen am Fuß der großen Freitreppe.</x:v>
      </x:c>
      <x:c r="L17" s="101" t="str">
        <x:v>A</x:v>
      </x:c>
      <x:c r="M17" s="101" t="str">
        <x:v>Blickt auf: Bootsförmiger Brunnen am Fuß der großen Freitreppe.</x:v>
      </x:c>
      <x:c r="N17" s="101" t="str">
        <x:v>Konzentriert euch auf die große, dauerhaft sichtbare Form.</x:v>
      </x:c>
      <x:c r="O17" s="101" t="str">
        <x:v>Gleichörtiger Fallback gemäß Ortszuordnung: V03-Punkt; Die sehr hohe Besucherzahl kann Zähl- und Bodenaufgaben stören; nur Großform verwenden.</x:v>
      </x:c>
      <x:c r="P17" s="101" t="str">
        <x:v>Kein Grundabschlussverlust</x:v>
      </x:c>
      <x:c r="Q17" s="101" t="str">
        <x:v>REMOTE_REVIEW</x:v>
      </x:c>
      <x:c r="R17" s="101" t="str">
        <x:v>https://it.wikipedia.org/wiki/Piazza_di_Spagna</x:v>
      </x:c>
    </x:row>
    <x:row r="18" ht="82" customHeight="1">
      <x:c r="A18" s="104" t="str">
        <x:v>OBS-D1-Q06-1</x:v>
      </x:c>
      <x:c r="B18" s="104" t="str">
        <x:v>D1-Q06</x:v>
      </x:c>
      <x:c r="C18" s="104" t="str">
        <x:v>station_1</x:v>
      </x:c>
      <x:c r="D18" s="104" t="str">
        <x:v>place_day_1_piazza_navona</x:v>
      </x:c>
      <x:c r="E18" s="104" t="str">
        <x:v>Piazza Navona</x:v>
      </x:c>
      <x:c r="F18" s="104" t="str">
        <x:v>OBSERVATION_INPUT</x:v>
      </x:c>
      <x:c r="G18" s="104" t="str">
        <x:v>Wie viele große Brunnen liegen entlang der Längsachse der Piazza Navona?</x:v>
      </x:c>
      <x:c r="H18" s="104" t="str"/>
      <x:c r="I18" s="104" t="str">
        <x:v>Drei</x:v>
      </x:c>
      <x:c r="J18" s="104" t="str">
        <x:v>Drei</x:v>
      </x:c>
      <x:c r="K18" s="104" t="str">
        <x:v>Drei weit auseinanderliegende Großbrunnen entlang der Platzachse.</x:v>
      </x:c>
      <x:c r="L18" s="104" t="str">
        <x:v>A</x:v>
      </x:c>
      <x:c r="M18" s="104" t="str">
        <x:v>Blickt auf: Drei weit auseinanderliegende Großbrunnen entlang der Platzachse.</x:v>
      </x:c>
      <x:c r="N18" s="104" t="str">
        <x:v>Konzentriert euch auf die große, dauerhaft sichtbare Form.</x:v>
      </x:c>
      <x:c r="O18" s="104" t="str">
        <x:v>Gleichörtiger Fallback gemäß Ortszuordnung: V03-Punkt; Für die Medienquest sind alle drei Brunnen als separate Fotostationen zu markieren.</x:v>
      </x:c>
      <x:c r="P18" s="104" t="str">
        <x:v>Kein Grundabschlussverlust</x:v>
      </x:c>
      <x:c r="Q18" s="104" t="str">
        <x:v>REMOTE_REVIEW</x:v>
      </x:c>
      <x:c r="R18" s="104" t="str">
        <x:v>https://it.wikipedia.org/wiki/Piazza_Navona</x:v>
      </x:c>
    </x:row>
    <x:row r="19" ht="82" customHeight="1">
      <x:c r="A19" s="101" t="str">
        <x:v>OBS-D1-Q06-2</x:v>
      </x:c>
      <x:c r="B19" s="101" t="str">
        <x:v>D1-Q06</x:v>
      </x:c>
      <x:c r="C19" s="101" t="str">
        <x:v>station_2</x:v>
      </x:c>
      <x:c r="D19" s="101" t="str">
        <x:v>place_day_1_fontana_del_nettuno</x:v>
      </x:c>
      <x:c r="E19" s="101" t="str">
        <x:v>Neptunsbrunnen</x:v>
      </x:c>
      <x:c r="F19" s="101" t="str">
        <x:v>OBSERVATION_INPUT</x:v>
      </x:c>
      <x:c r="G19" s="101" t="str">
        <x:v>Mit welchem Meerestier ringt Neptun in der zentralen Skulptur?</x:v>
      </x:c>
      <x:c r="H19" s="101" t="str"/>
      <x:c r="I19" s="101" t="str">
        <x:v>Mit einem Oktopus</x:v>
      </x:c>
      <x:c r="J19" s="101" t="str">
        <x:v>Mit einem Oktopus</x:v>
      </x:c>
      <x:c r="K19" s="101" t="str">
        <x:v>Große zentrale Neptunfigur im Ringkampf mit einem vielarmigen Meerestier.</x:v>
      </x:c>
      <x:c r="L19" s="101" t="str">
        <x:v>A</x:v>
      </x:c>
      <x:c r="M19" s="101" t="str">
        <x:v>Blickt auf: Große zentrale Neptunfigur im Ringkampf mit einem vielarmigen Meerestier.</x:v>
      </x:c>
      <x:c r="N19" s="101" t="str">
        <x:v>Konzentriert euch auf die große, dauerhaft sichtbare Form.</x:v>
      </x:c>
      <x:c r="O19" s="101" t="str">
        <x:v>Gleichörtiger Fallback gemäß Ortszuordnung: V03-Punkt; VISUAL_EVIDENCE_NOT_YET_VERIFIED|CROWDING_RISK</x:v>
      </x:c>
      <x:c r="P19" s="101" t="str">
        <x:v>Kein Grundabschlussverlust</x:v>
      </x:c>
      <x:c r="Q19" s="101" t="str">
        <x:v>REMOTE_REVIEW</x:v>
      </x:c>
      <x:c r="R19" s="101" t="str">
        <x:v>https://it.wikipedia.org/wiki/Fontana_del_Nettuno_(Roma)</x:v>
      </x:c>
    </x:row>
    <x:row r="20" ht="82" customHeight="1">
      <x:c r="A20" s="104" t="str">
        <x:v>OBS-D1-Q06-3</x:v>
      </x:c>
      <x:c r="B20" s="104" t="str">
        <x:v>D1-Q06</x:v>
      </x:c>
      <x:c r="C20" s="104" t="str">
        <x:v>station_3</x:v>
      </x:c>
      <x:c r="D20" s="104" t="str">
        <x:v>place_day_1_fontana_del_moro</x:v>
      </x:c>
      <x:c r="E20" s="104" t="str">
        <x:v>Mohrenbrunnen</x:v>
      </x:c>
      <x:c r="F20" s="104" t="str">
        <x:v>OBSERVATION_INPUT</x:v>
      </x:c>
      <x:c r="G20" s="104" t="str">
        <x:v>Welches Tier hält die zentrale Figur des Mohrenbrunnens fest?</x:v>
      </x:c>
      <x:c r="H20" s="104" t="str"/>
      <x:c r="I20" s="104" t="str">
        <x:v>Einen Delfin</x:v>
      </x:c>
      <x:c r="J20" s="104" t="str">
        <x:v>Einen Delfin</x:v>
      </x:c>
      <x:c r="K20" s="104" t="str">
        <x:v>Zentrale männliche Figur mit Delfin; vier Tritonen im unteren Becken.</x:v>
      </x:c>
      <x:c r="L20" s="104" t="str">
        <x:v>A</x:v>
      </x:c>
      <x:c r="M20" s="104" t="str">
        <x:v>Blickt auf: Zentrale männliche Figur mit Delfin; vier Tritonen im unteren Becken.</x:v>
      </x:c>
      <x:c r="N20" s="104" t="str">
        <x:v>Konzentriert euch auf die große, dauerhaft sichtbare Form.</x:v>
      </x:c>
      <x:c r="O20" s="104" t="str">
        <x:v>Gleichörtiger Fallback gemäß Ortszuordnung: V03-Punkt; VISUAL_EVIDENCE_NOT_YET_VERIFIED|CROWDING_RISK</x:v>
      </x:c>
      <x:c r="P20" s="104" t="str">
        <x:v>Kein Grundabschlussverlust</x:v>
      </x:c>
      <x:c r="Q20" s="104" t="str">
        <x:v>REMOTE_REVIEW</x:v>
      </x:c>
      <x:c r="R20" s="104" t="str">
        <x:v>https://it.wikipedia.org/wiki/Fontana_del_Moro</x:v>
      </x:c>
    </x:row>
    <x:row r="21" ht="82" customHeight="1">
      <x:c r="A21" s="101" t="str">
        <x:v>OBS-D1-Q07-1</x:v>
      </x:c>
      <x:c r="B21" s="101" t="str">
        <x:v>D1-Q07</x:v>
      </x:c>
      <x:c r="C21" s="101" t="str">
        <x:v>station_1</x:v>
      </x:c>
      <x:c r="D21" s="101" t="str">
        <x:v>place_day_1_pantheon</x:v>
      </x:c>
      <x:c r="E21" s="101" t="str">
        <x:v>Pantheon</x:v>
      </x:c>
      <x:c r="F21" s="101" t="str">
        <x:v>OBSERVATION_INPUT</x:v>
      </x:c>
      <x:c r="G21" s="101" t="str">
        <x:v>Welcher Name steht in der obersten Zeile der großen Inschrift über dem Eingang?</x:v>
      </x:c>
      <x:c r="H21" s="101" t="str"/>
      <x:c r="I21" s="101" t="str">
        <x:v>AGRIPPA</x:v>
      </x:c>
      <x:c r="J21" s="101" t="str">
        <x:v>AGRIPPA</x:v>
      </x:c>
      <x:c r="K21" s="101" t="str">
        <x:v>Sehr große lateinische Inschrift über dem Portikus; vollständig vom öffentlichen Platz lesbar.</x:v>
      </x:c>
      <x:c r="L21" s="101" t="str">
        <x:v>A</x:v>
      </x:c>
      <x:c r="M21" s="101" t="str">
        <x:v>Blickt auf: Sehr große lateinische Inschrift über dem Portikus; vollständig vom öffentlichen Platz lesbar.</x:v>
      </x:c>
      <x:c r="N21" s="101" t="str">
        <x:v>Konzentriert euch auf die große, dauerhaft sichtbare Form.</x:v>
      </x:c>
      <x:c r="O21" s="101" t="str">
        <x:v>Gleichörtiger Fallback gemäß Ortszuordnung: V03-Punkt; Trigger auf Piazza della Rotonda legen; kein Eintritt und keine Innenfrage.</x:v>
      </x:c>
      <x:c r="P21" s="101" t="str">
        <x:v>Kein Grundabschlussverlust</x:v>
      </x:c>
      <x:c r="Q21" s="101" t="str">
        <x:v>REMOTE_REVIEW</x:v>
      </x:c>
      <x:c r="R21" s="101" t="str">
        <x:v>https://www.turismoroma.it/it/luoghi/pantheon</x:v>
      </x:c>
    </x:row>
    <x:row r="22" ht="82" customHeight="1">
      <x:c r="A22" s="104" t="str">
        <x:v>OBS-D1-Q07-2</x:v>
      </x:c>
      <x:c r="B22" s="104" t="str">
        <x:v>D1-Q07</x:v>
      </x:c>
      <x:c r="C22" s="104" t="str">
        <x:v>station_2</x:v>
      </x:c>
      <x:c r="D22" s="104" t="str">
        <x:v>place_day_1_obelisco_macuteo</x:v>
      </x:c>
      <x:c r="E22" s="104" t="str">
        <x:v>Obelisco Macuteo</x:v>
      </x:c>
      <x:c r="F22" s="104" t="str">
        <x:v>OBSERVATION_INPUT</x:v>
      </x:c>
      <x:c r="G22" s="104" t="str">
        <x:v>Auf welchem Bauwerk steht der Obelisco Macuteo heute?</x:v>
      </x:c>
      <x:c r="H22" s="104" t="str"/>
      <x:c r="I22" s="104" t="str">
        <x:v>Auf einem Brunnen</x:v>
      </x:c>
      <x:c r="J22" s="104" t="str">
        <x:v>Auf einem Brunnen</x:v>
      </x:c>
      <x:c r="K22" s="104" t="str">
        <x:v>Obelisk mit Hieroglyphen, der sichtbar aus der Brunnenanlage der Piazza della Rotonda aufragt.</x:v>
      </x:c>
      <x:c r="L22" s="104" t="str">
        <x:v>A</x:v>
      </x:c>
      <x:c r="M22" s="104" t="str">
        <x:v>Blickt auf: Obelisk mit Hieroglyphen, der sichtbar aus der Brunnenanlage der Piazza della Rotonda aufragt.</x:v>
      </x:c>
      <x:c r="N22" s="104" t="str">
        <x:v>Konzentriert euch auf die große, dauerhaft sichtbare Form.</x:v>
      </x:c>
      <x:c r="O22" s="104" t="str">
        <x:v>Gleichörtiger Fallback gemäß Ortszuordnung: V03-Punkt; VISUAL_EVIDENCE_NOT_YET_VERIFIED</x:v>
      </x:c>
      <x:c r="P22" s="104" t="str">
        <x:v>Kein Grundabschlussverlust</x:v>
      </x:c>
      <x:c r="Q22" s="104" t="str">
        <x:v>REMOTE_REVIEW</x:v>
      </x:c>
      <x:c r="R22" s="104" t="str">
        <x:v>https://it.wikipedia.org/wiki/Obelisco_del_Pantheon</x:v>
      </x:c>
    </x:row>
    <x:row r="23" ht="82" customHeight="1">
      <x:c r="A23" s="101" t="str">
        <x:v>OBS-D1-Q08-1</x:v>
      </x:c>
      <x:c r="B23" s="101" t="str">
        <x:v>D1-Q08</x:v>
      </x:c>
      <x:c r="C23" s="101" t="str">
        <x:v>station_1</x:v>
      </x:c>
      <x:c r="D23" s="101" t="str">
        <x:v>place_day_1_obelisco_di_montecitorio</x:v>
      </x:c>
      <x:c r="E23" s="101" t="str">
        <x:v>Obelisco di Montecitorio</x:v>
      </x:c>
      <x:c r="F23" s="101" t="str">
        <x:v>OBSERVATION_INPUT</x:v>
      </x:c>
      <x:c r="G23" s="101" t="str">
        <x:v>Welche Schriftzeichen bedecken den Schaft des Obelisken?</x:v>
      </x:c>
      <x:c r="H23" s="101" t="str"/>
      <x:c r="I23" s="101" t="str">
        <x:v>Ägyptische Hieroglyphen</x:v>
      </x:c>
      <x:c r="J23" s="101" t="str">
        <x:v>Ägyptische Hieroglyphen</x:v>
      </x:c>
      <x:c r="K23" s="101" t="str">
        <x:v>Monumentaler Schaft mit Hieroglyphen und einer Metallkugel an der Spitze.</x:v>
      </x:c>
      <x:c r="L23" s="101" t="str">
        <x:v>A</x:v>
      </x:c>
      <x:c r="M23" s="101" t="str">
        <x:v>Blickt auf: Monumentaler Schaft mit Hieroglyphen und einer Metallkugel an der Spitze.</x:v>
      </x:c>
      <x:c r="N23" s="101" t="str">
        <x:v>Konzentriert euch auf die große, dauerhaft sichtbare Form.</x:v>
      </x:c>
      <x:c r="O23" s="101" t="str">
        <x:v>Gleichörtiger Fallback gemäß Ortszuordnung: V03-Punkt; VISUAL_EVIDENCE_NOT_YET_VERIFIED|CROWDING_RISK</x:v>
      </x:c>
      <x:c r="P23" s="101" t="str">
        <x:v>Kein Grundabschlussverlust</x:v>
      </x:c>
      <x:c r="Q23" s="101" t="str">
        <x:v>REMOTE_REVIEW</x:v>
      </x:c>
      <x:c r="R23" s="101" t="str">
        <x:v>https://it.wikipedia.org/wiki/Obelisco_di_Montecitorio</x:v>
      </x:c>
    </x:row>
    <x:row r="24" ht="82" customHeight="1">
      <x:c r="A24" s="104" t="str">
        <x:v>OBS-D1-Q08-2</x:v>
      </x:c>
      <x:c r="B24" s="104" t="str">
        <x:v>D1-Q08</x:v>
      </x:c>
      <x:c r="C24" s="104" t="str">
        <x:v>station_2</x:v>
      </x:c>
      <x:c r="D24" s="104" t="str">
        <x:v>place_day_1_colonna_di_marco_aurelio</x:v>
      </x:c>
      <x:c r="E24" s="104" t="str">
        <x:v>Mark-Aurel-Säule</x:v>
      </x:c>
      <x:c r="F24" s="104" t="str">
        <x:v>OBSERVATION_INPUT</x:v>
      </x:c>
      <x:c r="G24" s="104" t="str">
        <x:v>In welchem Muster läuft das Reliefband um die Säule?</x:v>
      </x:c>
      <x:c r="H24" s="104" t="str"/>
      <x:c r="I24" s="104" t="str">
        <x:v>Spiralförmig</x:v>
      </x:c>
      <x:c r="J24" s="104" t="str">
        <x:v>Spiralförmig</x:v>
      </x:c>
      <x:c r="K24" s="104" t="str">
        <x:v>Breites spiralförmiges Reliefband und große Figur auf der Spitze.</x:v>
      </x:c>
      <x:c r="L24" s="104" t="str">
        <x:v>A</x:v>
      </x:c>
      <x:c r="M24" s="104" t="str">
        <x:v>Blickt auf: Breites spiralförmiges Reliefband und große Figur auf der Spitze.</x:v>
      </x:c>
      <x:c r="N24" s="104" t="str">
        <x:v>Konzentriert euch auf die große, dauerhaft sichtbare Form.</x:v>
      </x:c>
      <x:c r="O24" s="104" t="str">
        <x:v>Gleichörtiger Fallback gemäß Ortszuordnung: V03-Punkt; VISUAL_EVIDENCE_NOT_YET_VERIFIED</x:v>
      </x:c>
      <x:c r="P24" s="104" t="str">
        <x:v>Kein Grundabschlussverlust</x:v>
      </x:c>
      <x:c r="Q24" s="104" t="str">
        <x:v>REMOTE_REVIEW</x:v>
      </x:c>
      <x:c r="R24" s="104" t="str">
        <x:v>https://it.wikipedia.org/wiki/Colonna_di_Marco_Aurelio</x:v>
      </x:c>
    </x:row>
    <x:row r="25" ht="82" customHeight="1">
      <x:c r="A25" s="101" t="str">
        <x:v>OBS-D1-Q09-1</x:v>
      </x:c>
      <x:c r="B25" s="101" t="str">
        <x:v>D1-Q09</x:v>
      </x:c>
      <x:c r="C25" s="101" t="str">
        <x:v>station_1</x:v>
      </x:c>
      <x:c r="D25" s="101" t="str">
        <x:v>place_day_1_fontana_di_trevi</x:v>
      </x:c>
      <x:c r="E25" s="101" t="str">
        <x:v>Trevi-Brunnen</x:v>
      </x:c>
      <x:c r="F25" s="101" t="str">
        <x:v>OBSERVATION_INPUT</x:v>
      </x:c>
      <x:c r="G25" s="101" t="str">
        <x:v>Wie viele Seepferde ziehen den Wagen der zentralen Figur?</x:v>
      </x:c>
      <x:c r="H25" s="101" t="str"/>
      <x:c r="I25" s="101" t="str">
        <x:v>Zwei</x:v>
      </x:c>
      <x:c r="J25" s="101" t="str">
        <x:v>Zwei</x:v>
      </x:c>
      <x:c r="K25" s="101" t="str">
        <x:v>Zwei große Seepferde vor dem muschelförmigen Wagen der Zentralfigur.</x:v>
      </x:c>
      <x:c r="L25" s="101" t="str">
        <x:v>B</x:v>
      </x:c>
      <x:c r="M25" s="101" t="str">
        <x:v>Blickt auf: Zwei große Seepferde vor dem muschelförmigen Wagen der Zentralfigur.</x:v>
      </x:c>
      <x:c r="N25" s="101" t="str">
        <x:v>Konzentriert euch auf die große, dauerhaft sichtbare Form.</x:v>
      </x:c>
      <x:c r="O25" s="101" t="str">
        <x:v>Gleichörtiger Fallback gemäß Ortszuordnung: V03-Punkt; Nur von mehreren Positionen erkennbare Großdetails verwenden; keine Boden- oder Randdetails.</x:v>
      </x:c>
      <x:c r="P25" s="101" t="str">
        <x:v>Kein Grundabschlussverlust</x:v>
      </x:c>
      <x:c r="Q25" s="101" t="str">
        <x:v>FIELD_CHECK_REQUIRED</x:v>
      </x:c>
      <x:c r="R25" s="101" t="str">
        <x:v>https://it.wikipedia.org/wiki/Fontana_di_Trevi</x:v>
      </x:c>
    </x:row>
    <x:row r="26" ht="82" customHeight="1">
      <x:c r="A26" s="104" t="str">
        <x:v>OBS-D1-Q09-2</x:v>
      </x:c>
      <x:c r="B26" s="104" t="str">
        <x:v>D1-Q09</x:v>
      </x:c>
      <x:c r="C26" s="104" t="str">
        <x:v>station_2</x:v>
      </x:c>
      <x:c r="D26" s="104" t="str">
        <x:v>place_day_1_acquedotto_vergine</x:v>
      </x:c>
      <x:c r="E26" s="104" t="str">
        <x:v>Acquedotto Vergine</x:v>
      </x:c>
      <x:c r="F26" s="104" t="str">
        <x:v>OBSERVATION_INPUT</x:v>
      </x:c>
      <x:c r="G26" s="104" t="str">
        <x:v>Wie viele kleinere antike Arkaden sind in der Via del Nazareno nebeneinander erhalten?</x:v>
      </x:c>
      <x:c r="H26" s="104" t="str"/>
      <x:c r="I26" s="104" t="str">
        <x:v>Drei</x:v>
      </x:c>
      <x:c r="J26" s="104" t="str">
        <x:v>Drei</x:v>
      </x:c>
      <x:c r="K26" s="104" t="str">
        <x:v>Drei teilweise im heutigen Bodenniveau versunkene Travertinarkaden hinter einer Absperrung.</x:v>
      </x:c>
      <x:c r="L26" s="104" t="str">
        <x:v>B</x:v>
      </x:c>
      <x:c r="M26" s="104" t="str">
        <x:v>Blickt auf: Drei teilweise im heutigen Bodenniveau versunkene Travertinarkaden hinter einer Absperrung.</x:v>
      </x:c>
      <x:c r="N26" s="104" t="str">
        <x:v>Konzentriert euch auf die große, dauerhaft sichtbare Form.</x:v>
      </x:c>
      <x:c r="O26" s="104" t="str">
        <x:v>Gleichörtiger Fallback gemäß Ortszuordnung: V03-Punkt; Die Arkaden sind teilweise eingetieft und durch Gitter verdeckt; nur nach aktuellem Sichttest als Pflichtfrage einsetzen.</x:v>
      </x:c>
      <x:c r="P26" s="104" t="str">
        <x:v>Kein Grundabschlussverlust</x:v>
      </x:c>
      <x:c r="Q26" s="104" t="str">
        <x:v>FIELD_CHECK_REQUIRED</x:v>
      </x:c>
      <x:c r="R26" s="104" t="str">
        <x:v>https://www.sovraintendenzaroma.it/i_luoghi/roma_antica/monumenti/acquedotto_vergine</x:v>
      </x:c>
    </x:row>
    <x:row r="27" ht="82" customHeight="1">
      <x:c r="A27" s="101" t="str">
        <x:v>OBS-D1-Q09-3</x:v>
      </x:c>
      <x:c r="B27" s="101" t="str">
        <x:v>D1-Q09</x:v>
      </x:c>
      <x:c r="C27" s="101" t="str">
        <x:v>station_3</x:v>
      </x:c>
      <x:c r="D27" s="101" t="str">
        <x:v>place_day_1_fontana_del_tritone</x:v>
      </x:c>
      <x:c r="E27" s="101" t="str">
        <x:v>Tritonenbrunnen</x:v>
      </x:c>
      <x:c r="F27" s="101" t="str">
        <x:v>OBSERVATION_INPUT</x:v>
      </x:c>
      <x:c r="G27" s="101" t="str">
        <x:v>Wie viele Delfine tragen die große Muschel?</x:v>
      </x:c>
      <x:c r="H27" s="101" t="str"/>
      <x:c r="I27" s="101" t="str">
        <x:v>Vier</x:v>
      </x:c>
      <x:c r="J27" s="101" t="str">
        <x:v>Vier</x:v>
      </x:c>
      <x:c r="K27" s="101" t="str">
        <x:v>Vier große Delfine, Muschelschale, Triton mit Schneckenhorn.</x:v>
      </x:c>
      <x:c r="L27" s="101" t="str">
        <x:v>A</x:v>
      </x:c>
      <x:c r="M27" s="101" t="str">
        <x:v>Blickt auf: Vier große Delfine, Muschelschale, Triton mit Schneckenhorn.</x:v>
      </x:c>
      <x:c r="N27" s="101" t="str">
        <x:v>Konzentriert euch auf die große, dauerhaft sichtbare Form.</x:v>
      </x:c>
      <x:c r="O27" s="101" t="str">
        <x:v>Gleichörtiger Fallback gemäß Ortszuordnung: V03-Punkt; VISUAL_EVIDENCE_NOT_YET_VERIFIED|CROWDING_RISK</x:v>
      </x:c>
      <x:c r="P27" s="101" t="str">
        <x:v>Kein Grundabschlussverlust</x:v>
      </x:c>
      <x:c r="Q27" s="101" t="str">
        <x:v>REMOTE_REVIEW</x:v>
      </x:c>
      <x:c r="R27" s="101" t="str">
        <x:v>https://it.wikipedia.org/wiki/Fontana_del_Tritone</x:v>
      </x:c>
    </x:row>
    <x:row r="28" ht="82" customHeight="1">
      <x:c r="A28" s="104" t="str">
        <x:v>OBS-D1-Q10-1</x:v>
      </x:c>
      <x:c r="B28" s="104" t="str">
        <x:v>D1-Q10</x:v>
      </x:c>
      <x:c r="C28" s="104" t="str">
        <x:v>station_1</x:v>
      </x:c>
      <x:c r="D28" s="104" t="str">
        <x:v>place_day_1_piazza_scanderbeg</x:v>
      </x:c>
      <x:c r="E28" s="104" t="str">
        <x:v>Piazza Scanderbeg</x:v>
      </x:c>
      <x:c r="F28" s="104" t="str">
        <x:v>OBSERVATION_INPUT</x:v>
      </x:c>
      <x:c r="G28" s="104" t="str">
        <x:v>Welcher Name steht beim Porträtrelief am Palazzo Scanderbeg?</x:v>
      </x:c>
      <x:c r="H28" s="104" t="str"/>
      <x:c r="I28" s="104" t="str">
        <x:v>Scanderbeg</x:v>
      </x:c>
      <x:c r="J28" s="104" t="str">
        <x:v>Scanderbeg</x:v>
      </x:c>
      <x:c r="K28" s="104" t="str">
        <x:v>Steinernes Porträtrelief mit lesbarem Namen an der Hausfassade.</x:v>
      </x:c>
      <x:c r="L28" s="104" t="str">
        <x:v>B</x:v>
      </x:c>
      <x:c r="M28" s="104" t="str">
        <x:v>Blickt auf: Steinernes Porträtrelief mit lesbarem Namen an der Hausfassade.</x:v>
      </x:c>
      <x:c r="N28" s="104" t="str">
        <x:v>Konzentriert euch auf die große, dauerhaft sichtbare Form.</x:v>
      </x:c>
      <x:c r="O28" s="104" t="str">
        <x:v>Gleichörtiger Fallback gemäß Ortszuordnung: V03-Punkt; VISUAL_EVIDENCE_NOT_YET_VERIFIED</x:v>
      </x:c>
      <x:c r="P28" s="104" t="str">
        <x:v>Kein Grundabschlussverlust</x:v>
      </x:c>
      <x:c r="Q28" s="104" t="str">
        <x:v>FIELD_CHECK_REQUIRED</x:v>
      </x:c>
      <x:c r="R28" s="104" t="str">
        <x:v>https://en.wikipedia.org/wiki/Piazza_Scanderbeg</x:v>
      </x:c>
    </x:row>
    <x:row r="29" ht="82" customHeight="1">
      <x:c r="A29" s="101" t="str">
        <x:v>OBS-D1-Q10-2</x:v>
      </x:c>
      <x:c r="B29" s="101" t="str">
        <x:v>D1-Q10</x:v>
      </x:c>
      <x:c r="C29" s="101" t="str">
        <x:v>station_2</x:v>
      </x:c>
      <x:c r="D29" s="101" t="str">
        <x:v>place_day_1_obelisco_del_quirinale</x:v>
      </x:c>
      <x:c r="E29" s="101" t="str">
        <x:v>Obelisco del Quirinale</x:v>
      </x:c>
      <x:c r="F29" s="101" t="str">
        <x:v>OBSERVATION_INPUT</x:v>
      </x:c>
      <x:c r="G29" s="101" t="str">
        <x:v>Wie viele monumentale Pferde flankieren den Obelisken?</x:v>
      </x:c>
      <x:c r="H29" s="101" t="str"/>
      <x:c r="I29" s="101" t="str">
        <x:v>Zwei</x:v>
      </x:c>
      <x:c r="J29" s="101" t="str">
        <x:v>Zwei</x:v>
      </x:c>
      <x:c r="K29" s="101" t="str">
        <x:v>Zwei monumentale Pferdegruppen flankieren den Obelisken.</x:v>
      </x:c>
      <x:c r="L29" s="101" t="str">
        <x:v>A</x:v>
      </x:c>
      <x:c r="M29" s="101" t="str">
        <x:v>Blickt auf: Zwei monumentale Pferdegruppen flankieren den Obelisken.</x:v>
      </x:c>
      <x:c r="N29" s="101" t="str">
        <x:v>Konzentriert euch auf die große, dauerhaft sichtbare Form.</x:v>
      </x:c>
      <x:c r="O29" s="101" t="str">
        <x:v>Gleichörtiger Fallback gemäß Ortszuordnung: V03-Punkt; VISUAL_EVIDENCE_NOT_YET_VERIFIED</x:v>
      </x:c>
      <x:c r="P29" s="101" t="str">
        <x:v>Kein Grundabschlussverlust</x:v>
      </x:c>
      <x:c r="Q29" s="101" t="str">
        <x:v>REMOTE_REVIEW</x:v>
      </x:c>
      <x:c r="R29" s="101" t="str">
        <x:v>https://it.wikipedia.org/wiki/Obelisco_del_Quirinale</x:v>
      </x:c>
    </x:row>
    <x:row r="30" ht="82" customHeight="1">
      <x:c r="A30" s="104" t="str">
        <x:v>OBS-D1-Q10-3</x:v>
      </x:c>
      <x:c r="B30" s="104" t="str">
        <x:v>D1-Q10</x:v>
      </x:c>
      <x:c r="C30" s="104" t="str">
        <x:v>station_3</x:v>
      </x:c>
      <x:c r="D30" s="104" t="str">
        <x:v>place_day_1_palazzo_del_quirinale</x:v>
      </x:c>
      <x:c r="E30" s="104" t="str">
        <x:v>Quirinalspalast</x:v>
      </x:c>
      <x:c r="F30" s="104" t="str">
        <x:v>OBSERVATION_INPUT</x:v>
      </x:c>
      <x:c r="G30" s="104" t="str">
        <x:v>Welche heutige staatliche Institution nutzt den Quirinalspalast?</x:v>
      </x:c>
      <x:c r="H30" s="104" t="str"/>
      <x:c r="I30" s="104" t="str">
        <x:v>Der Präsident der Italienischen Republik</x:v>
      </x:c>
      <x:c r="J30" s="104" t="str">
        <x:v>Der Präsident der Italienischen Republik</x:v>
      </x:c>
      <x:c r="K30" s="104" t="str">
        <x:v>Monumentale lange Palastfassade und Hauptportal an der öffentlich zugänglichen Piazza del Quirinale.</x:v>
      </x:c>
      <x:c r="L30" s="104" t="str">
        <x:v>A</x:v>
      </x:c>
      <x:c r="M30" s="104" t="str">
        <x:v>Blickt auf: Monumentale lange Palastfassade und Hauptportal an der öffentlich zugänglichen Piazza del Quirinale.</x:v>
      </x:c>
      <x:c r="N30" s="104" t="str">
        <x:v>Konzentriert euch auf die große, dauerhaft sichtbare Form.</x:v>
      </x:c>
      <x:c r="O30" s="104" t="str">
        <x:v>Gleichörtiger Fallback gemäß Ortszuordnung: V03-Punkt; Keine Annäherung an Wachen oder Eingang verlangen; Trigger auf der freien Platzfläche.</x:v>
      </x:c>
      <x:c r="P30" s="104" t="str">
        <x:v>Kein Grundabschlussverlust</x:v>
      </x:c>
      <x:c r="Q30" s="104" t="str">
        <x:v>REMOTE_REVIEW</x:v>
      </x:c>
      <x:c r="R30" s="104" t="str">
        <x:v>https://palazzo.quirinale.it/palazzo_en.html</x:v>
      </x:c>
    </x:row>
    <x:row r="31" ht="82" customHeight="1">
      <x:c r="A31" s="101" t="str">
        <x:v>OBS-D1-Q11-1</x:v>
      </x:c>
      <x:c r="B31" s="101" t="str">
        <x:v>D1-Q11</x:v>
      </x:c>
      <x:c r="C31" s="101" t="str">
        <x:v>station_1</x:v>
      </x:c>
      <x:c r="D31" s="101" t="str">
        <x:v>place_day_1_colonna_dell_immacolata</x:v>
      </x:c>
      <x:c r="E31" s="101" t="str">
        <x:v>Colonna dell'Immacolata</x:v>
      </x:c>
      <x:c r="F31" s="101" t="str">
        <x:v>OBSERVATION_INPUT</x:v>
      </x:c>
      <x:c r="G31" s="101" t="str">
        <x:v>Welche religiöse Figur steht auf der Spitze der Säule?</x:v>
      </x:c>
      <x:c r="H31" s="101" t="str"/>
      <x:c r="I31" s="101" t="str">
        <x:v>Maria</x:v>
      </x:c>
      <x:c r="J31" s="101" t="str">
        <x:v>Maria</x:v>
      </x:c>
      <x:c r="K31" s="101" t="str">
        <x:v>Große Marienstatue auf der Spitze und vier sitzende Sockelfiguren.</x:v>
      </x:c>
      <x:c r="L31" s="101" t="str">
        <x:v>A</x:v>
      </x:c>
      <x:c r="M31" s="101" t="str">
        <x:v>Blickt auf: Große Marienstatue auf der Spitze und vier sitzende Sockelfiguren.</x:v>
      </x:c>
      <x:c r="N31" s="101" t="str">
        <x:v>Konzentriert euch auf die große, dauerhaft sichtbare Form.</x:v>
      </x:c>
      <x:c r="O31" s="101" t="str">
        <x:v>Gleichörtiger Fallback gemäß Ortszuordnung: V03-Punkt; VISUAL_EVIDENCE_NOT_YET_VERIFIED</x:v>
      </x:c>
      <x:c r="P31" s="101" t="str">
        <x:v>Kein Grundabschlussverlust</x:v>
      </x:c>
      <x:c r="Q31" s="101" t="str">
        <x:v>REMOTE_REVIEW</x:v>
      </x:c>
      <x:c r="R31" s="101" t="str">
        <x:v>https://it.wikipedia.org/wiki/Colonna_dell'Immacolata_(Roma)</x:v>
      </x:c>
    </x:row>
    <x:row r="32" ht="82" customHeight="1">
      <x:c r="A32" s="104" t="str">
        <x:v>OBS-D1-Q12-1</x:v>
      </x:c>
      <x:c r="B32" s="104" t="str">
        <x:v>D1-Q12</x:v>
      </x:c>
      <x:c r="C32" s="104" t="str">
        <x:v>station_1</x:v>
      </x:c>
      <x:c r="D32" s="104" t="str">
        <x:v>place_day_1_ponte_sisto</x:v>
      </x:c>
      <x:c r="E32" s="104" t="str">
        <x:v>Ponte Sisto</x:v>
      </x:c>
      <x:c r="F32" s="104" t="str">
        <x:v>OBSERVATION_INPUT</x:v>
      </x:c>
      <x:c r="G32" s="104" t="str">
        <x:v>Welche geometrische Form hat die Öffnung zwischen den beiden mittleren Brückenbögen?</x:v>
      </x:c>
      <x:c r="H32" s="104" t="str"/>
      <x:c r="I32" s="104" t="str">
        <x:v>Einen Kreis</x:v>
      </x:c>
      <x:c r="J32" s="104" t="str">
        <x:v>Einen Kreis</x:v>
      </x:c>
      <x:c r="K32" s="104" t="str">
        <x:v>Große kreisrunde Öffnung zwischen den beiden mittleren Brückenbögen.</x:v>
      </x:c>
      <x:c r="L32" s="104" t="str">
        <x:v>A</x:v>
      </x:c>
      <x:c r="M32" s="104" t="str">
        <x:v>Blickt auf: Große kreisrunde Öffnung zwischen den beiden mittleren Brückenbögen.</x:v>
      </x:c>
      <x:c r="N32" s="104" t="str">
        <x:v>Konzentriert euch auf die große, dauerhaft sichtbare Form.</x:v>
      </x:c>
      <x:c r="O32" s="104" t="str">
        <x:v>Gleichörtiger Fallback gemäß Ortszuordnung: V03-Punkt; VISUAL_EVIDENCE_NOT_YET_VERIFIED</x:v>
      </x:c>
      <x:c r="P32" s="104" t="str">
        <x:v>Kein Grundabschlussverlust</x:v>
      </x:c>
      <x:c r="Q32" s="104" t="str">
        <x:v>REMOTE_REVIEW</x:v>
      </x:c>
      <x:c r="R32" s="104" t="str">
        <x:v>https://www.turismoroma.it/it/luoghi/ponte-sisto</x:v>
      </x:c>
    </x:row>
    <x:row r="33" ht="82" customHeight="1">
      <x:c r="A33" s="101" t="str">
        <x:v>OBS-D1-Q12-2</x:v>
      </x:c>
      <x:c r="B33" s="101" t="str">
        <x:v>D1-Q12</x:v>
      </x:c>
      <x:c r="C33" s="101" t="str">
        <x:v>station_2</x:v>
      </x:c>
      <x:c r="D33" s="101" t="str">
        <x:v>place_day_1_palazzo_farnese</x:v>
      </x:c>
      <x:c r="E33" s="101" t="str">
        <x:v>Palazzo Farnese</x:v>
      </x:c>
      <x:c r="F33" s="101" t="str">
        <x:v>OBSERVATION_INPUT</x:v>
      </x:c>
      <x:c r="G33" s="101" t="str">
        <x:v>Welches heraldische Symbol wiederholt sich im Farnese-Wappen?</x:v>
      </x:c>
      <x:c r="H33" s="101" t="str"/>
      <x:c r="I33" s="101" t="str">
        <x:v>Die Lilie</x:v>
      </x:c>
      <x:c r="J33" s="101" t="str">
        <x:v>Die Lilie</x:v>
      </x:c>
      <x:c r="K33" s="101" t="str">
        <x:v>Großes päpstliches Wappen über dem Mittelportal und wiederkehrende Lilienmotive.</x:v>
      </x:c>
      <x:c r="L33" s="101" t="str">
        <x:v>B</x:v>
      </x:c>
      <x:c r="M33" s="101" t="str">
        <x:v>Blickt auf: Großes päpstliches Wappen über dem Mittelportal und wiederkehrende Lilienmotive.</x:v>
      </x:c>
      <x:c r="N33" s="101" t="str">
        <x:v>Konzentriert euch auf die große, dauerhaft sichtbare Form.</x:v>
      </x:c>
      <x:c r="O33" s="101" t="str">
        <x:v>Gleichörtiger Fallback gemäß Ortszuordnung: V03-Punkt; Botschaftsgebäude: keine längere Gruppenblockade direkt vor dem Eingang; gegenüberstehenden Blickpunkt wählen.</x:v>
      </x:c>
      <x:c r="P33" s="101" t="str">
        <x:v>Kein Grundabschlussverlust</x:v>
      </x:c>
      <x:c r="Q33" s="101" t="str">
        <x:v>FIELD_CHECK_REQUIRED</x:v>
      </x:c>
      <x:c r="R33" s="101" t="str">
        <x:v>https://it.wikipedia.org/wiki/Palazzo_Farnese_(Roma)</x:v>
      </x:c>
    </x:row>
    <x:row r="34" ht="82" customHeight="1">
      <x:c r="A34" s="104" t="str">
        <x:v>OBS-D1-Q12-3</x:v>
      </x:c>
      <x:c r="B34" s="104" t="str">
        <x:v>D1-Q12</x:v>
      </x:c>
      <x:c r="C34" s="104" t="str">
        <x:v>station_3</x:v>
      </x:c>
      <x:c r="D34" s="104" t="str">
        <x:v>place_day_1_campo_de_fiori</x:v>
      </x:c>
      <x:c r="E34" s="104" t="str">
        <x:v>Campo de' Fiori</x:v>
      </x:c>
      <x:c r="F34" s="104" t="str">
        <x:v>OBSERVATION_INPUT</x:v>
      </x:c>
      <x:c r="G34" s="104" t="str">
        <x:v>Welchen Gegenstand hält Giordano Bruno unter seinen gekreuzten Händen?</x:v>
      </x:c>
      <x:c r="H34" s="104" t="str"/>
      <x:c r="I34" s="104" t="str">
        <x:v>Ein geschlossenes Buch</x:v>
      </x:c>
      <x:c r="J34" s="104" t="str">
        <x:v>Ein geschlossenes Buch</x:v>
      </x:c>
      <x:c r="K34" s="104" t="str">
        <x:v>Monumentale dunkle Bronzefigur; geschlossenes Buch direkt unter den gekreuzten Händen.</x:v>
      </x:c>
      <x:c r="L34" s="104" t="str">
        <x:v>A</x:v>
      </x:c>
      <x:c r="M34" s="104" t="str">
        <x:v>Blickt auf: Monumentale dunkle Bronzefigur; geschlossenes Buch direkt unter den gekreuzten Händen.</x:v>
      </x:c>
      <x:c r="N34" s="104" t="str">
        <x:v>Konzentriert euch auf die große, dauerhaft sichtbare Form.</x:v>
      </x:c>
      <x:c r="O34" s="104" t="str">
        <x:v>Gleichörtiger Fallback gemäß Ortszuordnung: V03-Punkt; Am Vormittag kann der Markt die Sockelsicht einschränken; Aufgabe auf die große Figur beschränken.</x:v>
      </x:c>
      <x:c r="P34" s="104" t="str">
        <x:v>Kein Grundabschlussverlust</x:v>
      </x:c>
      <x:c r="Q34" s="104" t="str">
        <x:v>REMOTE_REVIEW</x:v>
      </x:c>
      <x:c r="R34" s="104" t="str">
        <x:v>https://www.sovraintendenzaroma.it/i_luoghi/roma_medioevale_e_moderna/monumenti/monumento_a_giordano_bruno</x:v>
      </x:c>
    </x:row>
    <x:row r="35" ht="82" customHeight="1">
      <x:c r="A35" s="101" t="str">
        <x:v>OBS-D1-Q12-4</x:v>
      </x:c>
      <x:c r="B35" s="101" t="str">
        <x:v>D1-Q12</x:v>
      </x:c>
      <x:c r="C35" s="101" t="str">
        <x:v>station_4</x:v>
      </x:c>
      <x:c r="D35" s="101" t="str">
        <x:v>place_day_1_largo_di_torre_argentina</x:v>
      </x:c>
      <x:c r="E35" s="101" t="str">
        <x:v>Largo di Torre Argentina</x:v>
      </x:c>
      <x:c r="F35" s="101" t="str">
        <x:v>OBSERVATION_INPUT</x:v>
      </x:c>
      <x:c r="G35" s="101" t="str">
        <x:v>Wie viele republikanische Tempel sind im Areal zusammengefasst?</x:v>
      </x:c>
      <x:c r="H35" s="101" t="str"/>
      <x:c r="I35" s="101" t="str">
        <x:v>Vier</x:v>
      </x:c>
      <x:c r="J35" s="101" t="str">
        <x:v>Vier</x:v>
      </x:c>
      <x:c r="K35" s="101" t="str">
        <x:v>Vier klar getrennte Tempelkomplexe im tiefer liegenden Areal.</x:v>
      </x:c>
      <x:c r="L35" s="101" t="str">
        <x:v>B</x:v>
      </x:c>
      <x:c r="M35" s="101" t="str">
        <x:v>Blickt auf: Vier klar getrennte Tempelkomplexe im tiefer liegenden Areal.</x:v>
      </x:c>
      <x:c r="N35" s="101" t="str">
        <x:v>Konzentriert euch auf die große, dauerhaft sichtbare Form.</x:v>
      </x:c>
      <x:c r="O35" s="101" t="str">
        <x:v>Gleichörtiger Fallback gemäß Ortszuordnung: V03-Punkt; Trigger auf öffentlichen Gehweg legen; kein Betreten des inzwischen zugänglichen, aber zeitgebundenen Areals.</x:v>
      </x:c>
      <x:c r="P35" s="101" t="str">
        <x:v>Kein Grundabschlussverlust</x:v>
      </x:c>
      <x:c r="Q35" s="101" t="str">
        <x:v>FIELD_CHECK_REQUIRED</x:v>
      </x:c>
      <x:c r="R35" s="101" t="str">
        <x:v>https://it.wikipedia.org/wiki/Largo_di_Torre_Argentina</x:v>
      </x:c>
    </x:row>
    <x:row r="36" ht="82" customHeight="1">
      <x:c r="A36" s="104" t="str">
        <x:v>OBS-D1-Q13-1</x:v>
      </x:c>
      <x:c r="B36" s="104" t="str">
        <x:v>D1-Q13</x:v>
      </x:c>
      <x:c r="C36" s="104" t="str">
        <x:v>station_1</x:v>
      </x:c>
      <x:c r="D36" s="104" t="str">
        <x:v>place_day_1_basilica_di_sant_andrea_della_valle</x:v>
      </x:c>
      <x:c r="E36" s="104" t="str">
        <x:v>Basilica di Sant'Andrea della Valle</x:v>
      </x:c>
      <x:c r="F36" s="104" t="str">
        <x:v>OBSERVATION_INPUT</x:v>
      </x:c>
      <x:c r="G36" s="104" t="str">
        <x:v>Auf welcher Seite der Fassade sitzt die einzelne große Engelsfigur?</x:v>
      </x:c>
      <x:c r="H36" s="104" t="str"/>
      <x:c r="I36" s="104" t="str">
        <x:v>Links</x:v>
      </x:c>
      <x:c r="J36" s="104" t="str">
        <x:v>Links</x:v>
      </x:c>
      <x:c r="K36" s="104" t="str">
        <x:v>Einzelne große Engelsfigur auf der linken Fassadenseite, wenn man vor der Kirche steht.</x:v>
      </x:c>
      <x:c r="L36" s="104" t="str">
        <x:v>B</x:v>
      </x:c>
      <x:c r="M36" s="104" t="str">
        <x:v>Blickt auf: Einzelne große Engelsfigur auf der linken Fassadenseite, wenn man vor der Kirche steht.</x:v>
      </x:c>
      <x:c r="N36" s="104" t="str">
        <x:v>Konzentriert euch auf die große, dauerhaft sichtbare Form.</x:v>
      </x:c>
      <x:c r="O36" s="104" t="str">
        <x:v>Gleichörtiger Fallback gemäß Ortszuordnung: V03-Punkt; Nur Außenfassade; die Kuppelfresken und Innenkunst dürfen nicht Teil der Pflichtaufgabe sein.</x:v>
      </x:c>
      <x:c r="P36" s="104" t="str">
        <x:v>Kein Grundabschlussverlust</x:v>
      </x:c>
      <x:c r="Q36" s="104" t="str">
        <x:v>FIELD_CHECK_REQUIRED</x:v>
      </x:c>
      <x:c r="R36" s="104" t="str">
        <x:v>https://it.wikipedia.org/wiki/Basilica_di_Sant'Andrea_della_Valle</x:v>
      </x:c>
    </x:row>
    <x:row r="37" ht="82" customHeight="1">
      <x:c r="A37" s="101" t="str">
        <x:v>OBS-D1-Q13-2</x:v>
      </x:c>
      <x:c r="B37" s="101" t="str">
        <x:v>D1-Q13</x:v>
      </x:c>
      <x:c r="C37" s="101" t="str">
        <x:v>station_2</x:v>
      </x:c>
      <x:c r="D37" s="101" t="str">
        <x:v>place_day_1_fontana_delle_tartarughe</x:v>
      </x:c>
      <x:c r="E37" s="101" t="str">
        <x:v>Fontana delle Tartarughe</x:v>
      </x:c>
      <x:c r="F37" s="101" t="str">
        <x:v>OBSERVATION_INPUT</x:v>
      </x:c>
      <x:c r="G37" s="101" t="str">
        <x:v>Wie viele Schildkröten klettern zum oberen Becken?</x:v>
      </x:c>
      <x:c r="H37" s="101" t="str"/>
      <x:c r="I37" s="101" t="str">
        <x:v>Vier</x:v>
      </x:c>
      <x:c r="J37" s="101" t="str">
        <x:v>Vier</x:v>
      </x:c>
      <x:c r="K37" s="101" t="str">
        <x:v>Vier deutlich sichtbare Schildkröten am Rand des oberen Beckens.</x:v>
      </x:c>
      <x:c r="L37" s="101" t="str">
        <x:v>A</x:v>
      </x:c>
      <x:c r="M37" s="101" t="str">
        <x:v>Blickt auf: Vier deutlich sichtbare Schildkröten am Rand des oberen Beckens.</x:v>
      </x:c>
      <x:c r="N37" s="101" t="str">
        <x:v>Konzentriert euch auf die große, dauerhaft sichtbare Form.</x:v>
      </x:c>
      <x:c r="O37" s="101" t="str">
        <x:v>Gleichörtiger Fallback gemäß Ortszuordnung: Corrected an erroneous OSM-derived point to the official Turismo Roma coordinate in Piazza Mattei.; VISUAL_EVIDENCE_NOT_YET_VERIFIED</x:v>
      </x:c>
      <x:c r="P37" s="101" t="str">
        <x:v>Kein Grundabschlussverlust</x:v>
      </x:c>
      <x:c r="Q37" s="101" t="str">
        <x:v>REMOTE_REVIEW</x:v>
      </x:c>
      <x:c r="R37" s="101" t="str">
        <x:v>https://www.turismoroma.it/it/luoghi/fontana-delle-tartarughe</x:v>
      </x:c>
    </x:row>
    <x:row r="38" ht="82" customHeight="1">
      <x:c r="A38" s="104" t="str">
        <x:v>OBS-D1-Q13-3</x:v>
      </x:c>
      <x:c r="B38" s="104" t="str">
        <x:v>D1-Q13</x:v>
      </x:c>
      <x:c r="C38" s="104" t="str">
        <x:v>station_3</x:v>
      </x:c>
      <x:c r="D38" s="104" t="str">
        <x:v>place_day_1_teatro_di_marcello</x:v>
      </x:c>
      <x:c r="E38" s="104" t="str">
        <x:v>Marcellustheater</x:v>
      </x:c>
      <x:c r="F38" s="104" t="str">
        <x:v>OBSERVATION_INPUT</x:v>
      </x:c>
      <x:c r="G38" s="104" t="str">
        <x:v>Wie viele übereinanderliegende antike Arkadengeschosse sind von außen klar sichtbar?</x:v>
      </x:c>
      <x:c r="H38" s="104" t="str"/>
      <x:c r="I38" s="104" t="str">
        <x:v>Zwei</x:v>
      </x:c>
      <x:c r="J38" s="104" t="str">
        <x:v>Zwei</x:v>
      </x:c>
      <x:c r="K38" s="104" t="str">
        <x:v>Zwei übereinanderliegende antike Arkadenebenen unter einem späteren Wohnpalast.</x:v>
      </x:c>
      <x:c r="L38" s="104" t="str">
        <x:v>A</x:v>
      </x:c>
      <x:c r="M38" s="104" t="str">
        <x:v>Blickt auf: Zwei übereinanderliegende antike Arkadenebenen unter einem späteren Wohnpalast.</x:v>
      </x:c>
      <x:c r="N38" s="104" t="str">
        <x:v>Konzentriert euch auf die große, dauerhaft sichtbare Form.</x:v>
      </x:c>
      <x:c r="O38" s="104" t="str">
        <x:v>Gleichörtiger Fallback gemäß Ortszuordnung: V03-Punkt; Offizieller Fußweg erlaubt Außenbesichtigung; Medienquest-Pickup ohne Zugang zu Innenräumen.</x:v>
      </x:c>
      <x:c r="P38" s="104" t="str">
        <x:v>Kein Grundabschlussverlust</x:v>
      </x:c>
      <x:c r="Q38" s="104" t="str">
        <x:v>REMOTE_REVIEW</x:v>
      </x:c>
      <x:c r="R38" s="104" t="str">
        <x:v>https://www.turismoroma.it/it/luoghi/teatro-di-marcello</x:v>
      </x:c>
    </x:row>
    <x:row r="39" ht="82" customHeight="1">
      <x:c r="A39" s="101" t="str">
        <x:v>OBS-D1-Q14-1</x:v>
      </x:c>
      <x:c r="B39" s="101" t="str">
        <x:v>D1-Q14</x:v>
      </x:c>
      <x:c r="C39" s="101" t="str">
        <x:v>station_1</x:v>
      </x:c>
      <x:c r="D39" s="101" t="str">
        <x:v>place_day_1_isola_tiberina</x:v>
      </x:c>
      <x:c r="E39" s="101" t="str">
        <x:v>Isola Tiberina</x:v>
      </x:c>
      <x:c r="F39" s="101" t="str">
        <x:v>OBSERVATION_INPUT</x:v>
      </x:c>
      <x:c r="G39" s="101" t="str">
        <x:v>Welche Form ahmt die antike Travertinverkleidung an der Inselspitze nach?</x:v>
      </x:c>
      <x:c r="H39" s="101" t="str"/>
      <x:c r="I39" s="101" t="str">
        <x:v>Den Bug eines Schiffes</x:v>
      </x:c>
      <x:c r="J39" s="101" t="str">
        <x:v>Den Bug eines Schiffes</x:v>
      </x:c>
      <x:c r="K39" s="101" t="str">
        <x:v>Travertinreste einer Schiffsspitze und Asklepios-Relief am östlichen Inselende.</x:v>
      </x:c>
      <x:c r="L39" s="101" t="str">
        <x:v>B</x:v>
      </x:c>
      <x:c r="M39" s="101" t="str">
        <x:v>Blickt auf: Travertinreste einer Schiffsspitze und Asklepios-Relief am östlichen Inselende.</x:v>
      </x:c>
      <x:c r="N39" s="101" t="str">
        <x:v>Konzentriert euch auf die große, dauerhaft sichtbare Form.</x:v>
      </x:c>
      <x:c r="O39" s="101" t="str">
        <x:v>Gleichörtiger Fallback gemäß Ortszuordnung: V03-Punkt; Nur verwenden, wenn der genaue öffentliche Blickpunkt und die freie Sicht auf die Travertinreste bestätigt sind.</x:v>
      </x:c>
      <x:c r="P39" s="101" t="str">
        <x:v>Kein Grundabschlussverlust</x:v>
      </x:c>
      <x:c r="Q39" s="101" t="str">
        <x:v>FIELD_CHECK_REQUIRED</x:v>
      </x:c>
      <x:c r="R39" s="101" t="str">
        <x:v>https://www.openstreetmap.org/node/4798313727</x:v>
      </x:c>
    </x:row>
    <x:row r="40" ht="82" customHeight="1">
      <x:c r="A40" s="104" t="str">
        <x:v>OBS-D1-Q15-1</x:v>
      </x:c>
      <x:c r="B40" s="104" t="str">
        <x:v>D1-Q15</x:v>
      </x:c>
      <x:c r="C40" s="104" t="str">
        <x:v>station_1</x:v>
      </x:c>
      <x:c r="D40" s="104" t="str">
        <x:v>place_day_1_basilica_di_santa_cecilia_in_trastevere</x:v>
      </x:c>
      <x:c r="E40" s="104" t="str">
        <x:v>Basilica di Santa Cecilia in Trastevere</x:v>
      </x:c>
      <x:c r="F40" s="104" t="str">
        <x:v>OBSERVATION_INPUT</x:v>
      </x:c>
      <x:c r="G40" s="104" t="str">
        <x:v>Welche Kunst wird traditionell von der hier verehrten heiligen Cecilia beschützt?</x:v>
      </x:c>
      <x:c r="H40" s="104" t="str"/>
      <x:c r="I40" s="104" t="str">
        <x:v>Die Musik</x:v>
      </x:c>
      <x:c r="J40" s="104" t="str">
        <x:v>Die Musik</x:v>
      </x:c>
      <x:c r="K40" s="104" t="str">
        <x:v>Kirchenname und Widmung am äußeren Zugang; Innenhofbrunnen nur optional, weil der Hof zeitabhängig sein kann.</x:v>
      </x:c>
      <x:c r="L40" s="104" t="str">
        <x:v>B</x:v>
      </x:c>
      <x:c r="M40" s="104" t="str">
        <x:v>Blickt auf: Kirchenname und Widmung am äußeren Zugang; Innenhofbrunnen nur optional, weil der Hof zeitabhängig sein kann.</x:v>
      </x:c>
      <x:c r="N40" s="104" t="str">
        <x:v>Konzentriert euch auf die große, dauerhaft sichtbare Form.</x:v>
      </x:c>
      <x:c r="O40" s="104" t="str">
        <x:v>Gleichörtiger Fallback gemäß Ortszuordnung: V03-Punkt; Für die Kleriker-Klassengeschichte nur Außenpunkt vor dem Tor nutzen; der vorhandene Punkt im Hof ist zu versetzen.</x:v>
      </x:c>
      <x:c r="P40" s="104" t="str">
        <x:v>Kein Grundabschlussverlust</x:v>
      </x:c>
      <x:c r="Q40" s="104" t="str">
        <x:v>FIELD_CHECK_REQUIRED</x:v>
      </x:c>
      <x:c r="R40" s="104" t="str">
        <x:v>https://it.wikipedia.org/wiki/Basilica_di_Santa_Cecilia_in_Trastevere</x:v>
      </x:c>
    </x:row>
    <x:row r="41" ht="82" customHeight="1">
      <x:c r="A41" s="101" t="str">
        <x:v>OBS-D1-Q15-2</x:v>
      </x:c>
      <x:c r="B41" s="101" t="str">
        <x:v>D1-Q15</x:v>
      </x:c>
      <x:c r="C41" s="101" t="str">
        <x:v>station_2</x:v>
      </x:c>
      <x:c r="D41" s="101" t="str">
        <x:v>place_day_1_basilica_di_santa_maria_in_trastevere</x:v>
      </x:c>
      <x:c r="E41" s="101" t="str">
        <x:v>Santa Maria in Trastevere</x:v>
      </x:c>
      <x:c r="F41" s="101" t="str">
        <x:v>OBSERVATION_INPUT</x:v>
      </x:c>
      <x:c r="G41" s="101" t="str">
        <x:v>Welche zwei Hauptfiguren sitzen im Zentrum des großen Fassadenmosaiks?</x:v>
      </x:c>
      <x:c r="H41" s="101" t="str"/>
      <x:c r="I41" s="101" t="str">
        <x:v>Maria und Christus</x:v>
      </x:c>
      <x:c r="J41" s="101" t="str">
        <x:v>Maria und Christus</x:v>
      </x:c>
      <x:c r="K41" s="101" t="str">
        <x:v>Großes goldenes Mosaik hoch an der Fassade; vom Platz sichtbar.</x:v>
      </x:c>
      <x:c r="L41" s="101" t="str">
        <x:v>A</x:v>
      </x:c>
      <x:c r="M41" s="101" t="str">
        <x:v>Blickt auf: Großes goldenes Mosaik hoch an der Fassade; vom Platz sichtbar.</x:v>
      </x:c>
      <x:c r="N41" s="101" t="str">
        <x:v>Konzentriert euch auf die große, dauerhaft sichtbare Form.</x:v>
      </x:c>
      <x:c r="O41" s="101" t="str">
        <x:v>Gleichörtiger Fallback gemäß Ortszuordnung: V03-Punkt; VISUAL_EVIDENCE_NOT_YET_VERIFIED|EXTERIOR_VANTAGE_POINT_REQUIRED|INTERIOR_AND_OPENING_HOURS_MUST_NOT_BE_REQUIRED|CROWDING_RISK</x:v>
      </x:c>
      <x:c r="P41" s="101" t="str">
        <x:v>Kein Grundabschlussverlust</x:v>
      </x:c>
      <x:c r="Q41" s="101" t="str">
        <x:v>REMOTE_REVIEW</x:v>
      </x:c>
      <x:c r="R41" s="101" t="str">
        <x:v>https://it.wikipedia.org/wiki/Basilica_di_Santa_Maria_in_Trastevere</x:v>
      </x:c>
    </x:row>
    <x:row r="42" ht="82" customHeight="1">
      <x:c r="A42" s="104" t="str">
        <x:v>OBS-D1-Q16-1</x:v>
      </x:c>
      <x:c r="B42" s="104" t="str">
        <x:v>D1-Q16</x:v>
      </x:c>
      <x:c r="C42" s="104" t="str">
        <x:v>station_1</x:v>
      </x:c>
      <x:c r="D42" s="104" t="str">
        <x:v>place_day_1_mura_gianicolensi_2</x:v>
      </x:c>
      <x:c r="E42" s="104" t="str">
        <x:v>Gianicolense-Mauern</x:v>
      </x:c>
      <x:c r="F42" s="104" t="str">
        <x:v>OBSERVATION_INPUT</x:v>
      </x:c>
      <x:c r="G42" s="104" t="str">
        <x:v>Aus welchem Material besteht der sichtbare Hauptkörper der Mauer überwiegend?</x:v>
      </x:c>
      <x:c r="H42" s="104" t="str"/>
      <x:c r="I42" s="104" t="str">
        <x:v>Aus Ziegelmauerwerk</x:v>
      </x:c>
      <x:c r="J42" s="104" t="str">
        <x:v>Aus Ziegelmauerwerk</x:v>
      </x:c>
      <x:c r="K42" s="104" t="str">
        <x:v>Langer massiver Mauerabschnitt mit Schieß- und Verteidigungsformen.</x:v>
      </x:c>
      <x:c r="L42" s="104" t="str">
        <x:v>A</x:v>
      </x:c>
      <x:c r="M42" s="104" t="str">
        <x:v>Blickt auf: Langer massiver Mauerabschnitt mit Schieß- und Verteidigungsformen.</x:v>
      </x:c>
      <x:c r="N42" s="104" t="str">
        <x:v>Konzentriert euch auf die große, dauerhaft sichtbare Form.</x:v>
      </x:c>
      <x:c r="O42" s="104" t="str">
        <x:v>Gleichörtiger Fallback gemäß Ortszuordnung: V03-Punkt; VISUAL_EVIDENCE_NOT_YET_VERIFIED</x:v>
      </x:c>
      <x:c r="P42" s="104" t="str">
        <x:v>Kein Grundabschlussverlust</x:v>
      </x:c>
      <x:c r="Q42" s="104" t="str">
        <x:v>REMOTE_REVIEW</x:v>
      </x:c>
      <x:c r="R42" s="104" t="str">
        <x:v>https://turismoroma.it/es/node/31555</x:v>
      </x:c>
    </x:row>
    <x:row r="43" ht="82" customHeight="1">
      <x:c r="A43" s="101" t="str">
        <x:v>OBS-D1-Q16-2</x:v>
      </x:c>
      <x:c r="B43" s="101" t="str">
        <x:v>D1-Q16</x:v>
      </x:c>
      <x:c r="C43" s="101" t="str">
        <x:v>station_2</x:v>
      </x:c>
      <x:c r="D43" s="101" t="str">
        <x:v>place_day_1_mausoleo_ossario_garibaldino</x:v>
      </x:c>
      <x:c r="E43" s="101" t="str">
        <x:v>Mausoleo Ossario Garibaldino</x:v>
      </x:c>
      <x:c r="F43" s="101" t="str">
        <x:v>OBSERVATION_INPUT</x:v>
      </x:c>
      <x:c r="G43" s="101" t="str">
        <x:v>Wie viele offene Bogenfronten umgeben den zentralen Teil des Ossariums?</x:v>
      </x:c>
      <x:c r="H43" s="101" t="str"/>
      <x:c r="I43" s="101" t="str">
        <x:v>Vier</x:v>
      </x:c>
      <x:c r="J43" s="101" t="str">
        <x:v>Vier</x:v>
      </x:c>
      <x:c r="K43" s="101" t="str">
        <x:v>Symmetrischer Zentralbau mit vier großen offenen Bögen.</x:v>
      </x:c>
      <x:c r="L43" s="101" t="str">
        <x:v>A</x:v>
      </x:c>
      <x:c r="M43" s="101" t="str">
        <x:v>Blickt auf: Symmetrischer Zentralbau mit vier großen offenen Bögen.</x:v>
      </x:c>
      <x:c r="N43" s="101" t="str">
        <x:v>Konzentriert euch auf die große, dauerhaft sichtbare Form.</x:v>
      </x:c>
      <x:c r="O43" s="101" t="str">
        <x:v>Gleichörtiger Fallback gemäß Ortszuordnung: V03-Punkt; VISUAL_EVIDENCE_NOT_YET_VERIFIED</x:v>
      </x:c>
      <x:c r="P43" s="101" t="str">
        <x:v>Kein Grundabschlussverlust</x:v>
      </x:c>
      <x:c r="Q43" s="101" t="str">
        <x:v>REMOTE_REVIEW</x:v>
      </x:c>
      <x:c r="R43" s="101" t="str">
        <x:v>https://it.wikipedia.org/wiki/Mausoleo_Ossario_Garibaldino</x:v>
      </x:c>
    </x:row>
    <x:row r="44" ht="82" customHeight="1">
      <x:c r="A44" s="104" t="str">
        <x:v>OBS-D1-Q16-3</x:v>
      </x:c>
      <x:c r="B44" s="104" t="str">
        <x:v>D1-Q16</x:v>
      </x:c>
      <x:c r="C44" s="104" t="str">
        <x:v>station_3</x:v>
      </x:c>
      <x:c r="D44" s="104" t="str">
        <x:v>place_day_1_fontana_dell_acqua_paola</x:v>
      </x:c>
      <x:c r="E44" s="104" t="str">
        <x:v>Fontana Dell'Acqua Paola</x:v>
      </x:c>
      <x:c r="F44" s="104" t="str">
        <x:v>OBSERVATION_INPUT</x:v>
      </x:c>
      <x:c r="G44" s="104" t="str">
        <x:v>Wie viele große Bogenöffnungen gliedern die Hauptfassade?</x:v>
      </x:c>
      <x:c r="H44" s="104" t="str"/>
      <x:c r="I44" s="104" t="str">
        <x:v>Fünf</x:v>
      </x:c>
      <x:c r="J44" s="104" t="str">
        <x:v>Fünf</x:v>
      </x:c>
      <x:c r="K44" s="104" t="str">
        <x:v>Fünf weithin sichtbare Bogenfelder in der Hauptfassade.</x:v>
      </x:c>
      <x:c r="L44" s="104" t="str">
        <x:v>A</x:v>
      </x:c>
      <x:c r="M44" s="104" t="str">
        <x:v>Blickt auf: Fünf weithin sichtbare Bogenfelder in der Hauptfassade.</x:v>
      </x:c>
      <x:c r="N44" s="104" t="str">
        <x:v>Konzentriert euch auf die große, dauerhaft sichtbare Form.</x:v>
      </x:c>
      <x:c r="O44" s="104" t="str">
        <x:v>Gleichörtiger Fallback gemäß Ortszuordnung: V03-Punkt; VISUAL_EVIDENCE_NOT_YET_VERIFIED|CROWDING_RISK</x:v>
      </x:c>
      <x:c r="P44" s="104" t="str">
        <x:v>Kein Grundabschlussverlust</x:v>
      </x:c>
      <x:c r="Q44" s="104" t="str">
        <x:v>REMOTE_REVIEW</x:v>
      </x:c>
      <x:c r="R44" s="104" t="str">
        <x:v>https://it.wikipedia.org/wiki/Fontana_dell'Acqua_Paola</x:v>
      </x:c>
    </x:row>
    <x:row r="45" ht="82" customHeight="1">
      <x:c r="A45" s="101" t="str">
        <x:v>OBS-D1-Q16-4</x:v>
      </x:c>
      <x:c r="B45" s="101" t="str">
        <x:v>D1-Q16</x:v>
      </x:c>
      <x:c r="C45" s="101" t="str">
        <x:v>station_4</x:v>
      </x:c>
      <x:c r="D45" s="101" t="str">
        <x:v>place_day_1_monumento_a_garibaldi</x:v>
      </x:c>
      <x:c r="E45" s="101" t="str">
        <x:v>Monumento a Garibaldi</x:v>
      </x:c>
      <x:c r="F45" s="101" t="str">
        <x:v>OBSERVATION_INPUT</x:v>
      </x:c>
      <x:c r="G45" s="101" t="str">
        <x:v>Auf welchem Tier sitzt Giuseppe Garibaldi?</x:v>
      </x:c>
      <x:c r="H45" s="101" t="str"/>
      <x:c r="I45" s="101" t="str">
        <x:v>Auf einem Pferd</x:v>
      </x:c>
      <x:c r="J45" s="101" t="str">
        <x:v>Auf einem Pferd</x:v>
      </x:c>
      <x:c r="K45" s="101" t="str">
        <x:v>Große Reiterfigur auf hohem Sockel.</x:v>
      </x:c>
      <x:c r="L45" s="101" t="str">
        <x:v>A</x:v>
      </x:c>
      <x:c r="M45" s="101" t="str">
        <x:v>Blickt auf: Große Reiterfigur auf hohem Sockel.</x:v>
      </x:c>
      <x:c r="N45" s="101" t="str">
        <x:v>Konzentriert euch auf die große, dauerhaft sichtbare Form.</x:v>
      </x:c>
      <x:c r="O45" s="101" t="str">
        <x:v>Gleichörtiger Fallback gemäß Ortszuordnung: V03-Punkt; VISUAL_EVIDENCE_NOT_YET_VERIFIED</x:v>
      </x:c>
      <x:c r="P45" s="101" t="str">
        <x:v>Kein Grundabschlussverlust</x:v>
      </x:c>
      <x:c r="Q45" s="101" t="str">
        <x:v>REMOTE_REVIEW</x:v>
      </x:c>
      <x:c r="R45" s="101" t="str">
        <x:v>https://it.wikipedia.org/wiki/Monumento_a_Giuseppe_Garibaldi_(Roma)</x:v>
      </x:c>
    </x:row>
    <x:row r="46" ht="82" customHeight="1">
      <x:c r="A46" s="104" t="str">
        <x:v>OBS-D1-Q16-5</x:v>
      </x:c>
      <x:c r="B46" s="104" t="str">
        <x:v>D1-Q16</x:v>
      </x:c>
      <x:c r="C46" s="104" t="str">
        <x:v>station_5</x:v>
      </x:c>
      <x:c r="D46" s="104" t="str">
        <x:v>place_day_1_monumento_ad_anita_garibaldi</x:v>
      </x:c>
      <x:c r="E46" s="104" t="str">
        <x:v>Monumento ad Anita Garibaldi</x:v>
      </x:c>
      <x:c r="F46" s="104" t="str">
        <x:v>OBSERVATION_INPUT</x:v>
      </x:c>
      <x:c r="G46" s="104" t="str">
        <x:v>Welche Waffe hält Anita Garibaldi in der erhobenen Hand?</x:v>
      </x:c>
      <x:c r="H46" s="104" t="str"/>
      <x:c r="I46" s="104" t="str">
        <x:v>Eine Pistole</x:v>
      </x:c>
      <x:c r="J46" s="104" t="str">
        <x:v>Eine Pistole</x:v>
      </x:c>
      <x:c r="K46" s="104" t="str">
        <x:v>Große Reiterfigur mit deutlich erhobener Handwaffe.</x:v>
      </x:c>
      <x:c r="L46" s="104" t="str">
        <x:v>A</x:v>
      </x:c>
      <x:c r="M46" s="104" t="str">
        <x:v>Blickt auf: Große Reiterfigur mit deutlich erhobener Handwaffe.</x:v>
      </x:c>
      <x:c r="N46" s="104" t="str">
        <x:v>Konzentriert euch auf die große, dauerhaft sichtbare Form.</x:v>
      </x:c>
      <x:c r="O46" s="104" t="str">
        <x:v>Gleichörtiger Fallback gemäß Ortszuordnung: V03-Punkt; VISUAL_EVIDENCE_NOT_YET_VERIFIED</x:v>
      </x:c>
      <x:c r="P46" s="104" t="str">
        <x:v>Kein Grundabschlussverlust</x:v>
      </x:c>
      <x:c r="Q46" s="104" t="str">
        <x:v>REMOTE_REVIEW</x:v>
      </x:c>
      <x:c r="R46" s="104" t="str">
        <x:v>https://it.wikipedia.org/wiki/Monumento_ad_Anita_Garibaldi</x:v>
      </x:c>
    </x:row>
    <x:row r="47" ht="82" customHeight="1">
      <x:c r="A47" s="101" t="str">
        <x:v>OBS-D2-Q01-1</x:v>
      </x:c>
      <x:c r="B47" s="101" t="str">
        <x:v>D2-Q01</x:v>
      </x:c>
      <x:c r="C47" s="101" t="str">
        <x:v>station_1</x:v>
      </x:c>
      <x:c r="D47" s="101" t="str">
        <x:v>place_day_2_piazza_del_campidoglio</x:v>
      </x:c>
      <x:c r="E47" s="101" t="str">
        <x:v>Kapitolsplatz</x:v>
      </x:c>
      <x:c r="F47" s="101" t="str">
        <x:v>OBSERVATION_INPUT</x:v>
      </x:c>
      <x:c r="G47" s="101" t="str">
        <x:v>Welches geometrische Motiv prägt das Pflaster rund um die Reiterstatue?</x:v>
      </x:c>
      <x:c r="H47" s="101" t="str"/>
      <x:c r="I47" s="101" t="str">
        <x:v>Ein Stern in einem Oval</x:v>
      </x:c>
      <x:c r="J47" s="101" t="str">
        <x:v>Ein Stern in einem Oval</x:v>
      </x:c>
      <x:c r="K47" s="101" t="str">
        <x:v>Großes hell-dunkles Sternoval im Pflaster um die Reiterstatue.</x:v>
      </x:c>
      <x:c r="L47" s="101" t="str">
        <x:v>A</x:v>
      </x:c>
      <x:c r="M47" s="101" t="str">
        <x:v>Blickt auf: Großes hell-dunkles Sternoval im Pflaster um die Reiterstatue.</x:v>
      </x:c>
      <x:c r="N47" s="101" t="str">
        <x:v>Konzentriert euch auf die große, dauerhaft sichtbare Form.</x:v>
      </x:c>
      <x:c r="O47" s="101" t="str">
        <x:v>Gleichörtiger Fallback gemäß Ortszuordnung: V03-Punkt; VISUAL_EVIDENCE_NOT_YET_VERIFIED|CROWDING_RISK</x:v>
      </x:c>
      <x:c r="P47" s="101" t="str">
        <x:v>Kein Grundabschlussverlust</x:v>
      </x:c>
      <x:c r="Q47" s="101" t="str">
        <x:v>REMOTE_REVIEW</x:v>
      </x:c>
      <x:c r="R47" s="101" t="str">
        <x:v>https://it.wikipedia.org/wiki/Piazza_del_Campidoglio</x:v>
      </x:c>
    </x:row>
    <x:row r="48" ht="82" customHeight="1">
      <x:c r="A48" s="104" t="str">
        <x:v>OBS-D2-Q01-2</x:v>
      </x:c>
      <x:c r="B48" s="104" t="str">
        <x:v>D2-Q01</x:v>
      </x:c>
      <x:c r="C48" s="104" t="str">
        <x:v>station_2</x:v>
      </x:c>
      <x:c r="D48" s="104" t="str">
        <x:v>place_day_2_giulio_cesare</x:v>
      </x:c>
      <x:c r="E48" s="104" t="str">
        <x:v>Giulio Cesare</x:v>
      </x:c>
      <x:c r="F48" s="104" t="str">
        <x:v>OBSERVATION_INPUT</x:v>
      </x:c>
      <x:c r="G48" s="104" t="str">
        <x:v>Welchen Gegenstand hält Caesar in der linken Hand?</x:v>
      </x:c>
      <x:c r="H48" s="104" t="str"/>
      <x:c r="I48" s="104" t="str">
        <x:v>Eine Schriftrolle</x:v>
      </x:c>
      <x:c r="J48" s="104" t="str">
        <x:v>Eine Schriftrolle</x:v>
      </x:c>
      <x:c r="K48" s="104" t="str">
        <x:v>Lebensgroße Bronze mit deutlich sichtbarer Schriftrolle in der linken Hand.</x:v>
      </x:c>
      <x:c r="L48" s="104" t="str">
        <x:v>B</x:v>
      </x:c>
      <x:c r="M48" s="104" t="str">
        <x:v>Blickt auf: Lebensgroße Bronze mit deutlich sichtbarer Schriftrolle in der linken Hand.</x:v>
      </x:c>
      <x:c r="N48" s="104" t="str">
        <x:v>Konzentriert euch auf die große, dauerhaft sichtbare Form.</x:v>
      </x:c>
      <x:c r="O48" s="104" t="str">
        <x:v>Gleichörtiger Fallback gemäß Ortszuordnung: V03-Punkt; Für die konkrete moderne Statue ist zusätzlich ein kommunaler Inventareintrag wünschenswert.</x:v>
      </x:c>
      <x:c r="P48" s="104" t="str">
        <x:v>Kein Grundabschlussverlust</x:v>
      </x:c>
      <x:c r="Q48" s="104" t="str">
        <x:v>FIELD_CHECK_REQUIRED</x:v>
      </x:c>
      <x:c r="R48" s="104" t="str">
        <x:v>https://www.openstreetmap.org/node/7239169954</x:v>
      </x:c>
    </x:row>
    <x:row r="49" ht="82" customHeight="1">
      <x:c r="A49" s="101" t="str">
        <x:v>OBS-D2-Q02-1</x:v>
      </x:c>
      <x:c r="B49" s="101" t="str">
        <x:v>D2-Q02</x:v>
      </x:c>
      <x:c r="C49" s="101" t="str">
        <x:v>station_1</x:v>
      </x:c>
      <x:c r="D49" s="101" t="str">
        <x:v>place_day_2_altare_della_patria</x:v>
      </x:c>
      <x:c r="E49" s="101" t="str">
        <x:v>Nationaldenkmal für Viktor Emanuel II.</x:v>
      </x:c>
      <x:c r="F49" s="101" t="str">
        <x:v>OBSERVATION_INPUT</x:v>
      </x:c>
      <x:c r="G49" s="101" t="str">
        <x:v>Wie viele große Quadrigen stehen auf den beiden oberen Enden des Nationaldenkmals?</x:v>
      </x:c>
      <x:c r="H49" s="101" t="str"/>
      <x:c r="I49" s="101" t="str">
        <x:v>Zwei</x:v>
      </x:c>
      <x:c r="J49" s="101" t="str">
        <x:v>Zwei</x:v>
      </x:c>
      <x:c r="K49" s="101" t="str">
        <x:v>Zwei monumentale Quadrigen auf den oberen Enden des Bauwerks.</x:v>
      </x:c>
      <x:c r="L49" s="101" t="str">
        <x:v>A</x:v>
      </x:c>
      <x:c r="M49" s="101" t="str">
        <x:v>Blickt auf: Zwei monumentale Quadrigen auf den oberen Enden des Bauwerks.</x:v>
      </x:c>
      <x:c r="N49" s="101" t="str">
        <x:v>Konzentriert euch auf die große, dauerhaft sichtbare Form.</x:v>
      </x:c>
      <x:c r="O49" s="101" t="str">
        <x:v>Gleichörtiger Fallback gemäß Ortszuordnung: V03-Punkt; Nur Außenansicht; keine Terrasse oder Museumseintritt verlangen.</x:v>
      </x:c>
      <x:c r="P49" s="101" t="str">
        <x:v>Kein Grundabschlussverlust</x:v>
      </x:c>
      <x:c r="Q49" s="101" t="str">
        <x:v>REMOTE_REVIEW</x:v>
      </x:c>
      <x:c r="R49" s="101" t="str">
        <x:v>https://vive.cultura.gov.it/</x:v>
      </x:c>
    </x:row>
    <x:row r="50" ht="82" customHeight="1">
      <x:c r="A50" s="104" t="str">
        <x:v>OBS-D2-Q03-1</x:v>
      </x:c>
      <x:c r="B50" s="104" t="str">
        <x:v>D2-Q03</x:v>
      </x:c>
      <x:c r="C50" s="104" t="str">
        <x:v>station_1</x:v>
      </x:c>
      <x:c r="D50" s="104" t="str">
        <x:v>place_day_2_arco_di_costantino</x:v>
      </x:c>
      <x:c r="E50" s="104" t="str">
        <x:v>Konstantinsbogen</x:v>
      </x:c>
      <x:c r="F50" s="104" t="str">
        <x:v>OBSERVATION_INPUT</x:v>
      </x:c>
      <x:c r="G50" s="104" t="str">
        <x:v>Wie viele Durchgänge besitzt der Konstantinsbogen?</x:v>
      </x:c>
      <x:c r="H50" s="104" t="str"/>
      <x:c r="I50" s="104" t="str">
        <x:v>Drei</x:v>
      </x:c>
      <x:c r="J50" s="104" t="str">
        <x:v>Drei</x:v>
      </x:c>
      <x:c r="K50" s="104" t="str">
        <x:v>Drei monumentale Durchgänge, vom öffentlichen Bereich beim Kolosseum sichtbar.</x:v>
      </x:c>
      <x:c r="L50" s="104" t="str">
        <x:v>A</x:v>
      </x:c>
      <x:c r="M50" s="104" t="str">
        <x:v>Blickt auf: Drei monumentale Durchgänge, vom öffentlichen Bereich beim Kolosseum sichtbar.</x:v>
      </x:c>
      <x:c r="N50" s="104" t="str">
        <x:v>Konzentriert euch auf die große, dauerhaft sichtbare Form.</x:v>
      </x:c>
      <x:c r="O50" s="104" t="str">
        <x:v>Gleichörtiger Fallback gemäß Ortszuordnung: V03-Punkt; VISUAL_EVIDENCE_NOT_YET_VERIFIED|CROWDING_RISK</x:v>
      </x:c>
      <x:c r="P50" s="104" t="str">
        <x:v>Kein Grundabschlussverlust</x:v>
      </x:c>
      <x:c r="Q50" s="104" t="str">
        <x:v>REMOTE_REVIEW</x:v>
      </x:c>
      <x:c r="R50" s="104" t="str">
        <x:v>https://en.wikipedia.org/wiki/Arch_of_Constantine</x:v>
      </x:c>
    </x:row>
    <x:row r="51" ht="82" customHeight="1">
      <x:c r="A51" s="101" t="str">
        <x:v>OBS-D2-Q03-2</x:v>
      </x:c>
      <x:c r="B51" s="101" t="str">
        <x:v>D2-Q03</x:v>
      </x:c>
      <x:c r="C51" s="101" t="str">
        <x:v>station_2</x:v>
      </x:c>
      <x:c r="D51" s="101" t="str">
        <x:v>place_day_2_colosseo</x:v>
      </x:c>
      <x:c r="E51" s="101" t="str">
        <x:v>Kolosseum</x:v>
      </x:c>
      <x:c r="F51" s="101" t="str">
        <x:v>OBSERVATION_INPUT</x:v>
      </x:c>
      <x:c r="G51" s="101" t="str">
        <x:v>Wie viele übereinanderliegende Reihen offener Arkaden sind an der hohen Außenwand sichtbar?</x:v>
      </x:c>
      <x:c r="H51" s="101" t="str"/>
      <x:c r="I51" s="101" t="str">
        <x:v>Drei</x:v>
      </x:c>
      <x:c r="J51" s="101" t="str">
        <x:v>Drei</x:v>
      </x:c>
      <x:c r="K51" s="101" t="str">
        <x:v>Drei große Reihen offener Arkaden an der hohen erhaltenen Außenwand.</x:v>
      </x:c>
      <x:c r="L51" s="101" t="str">
        <x:v>A</x:v>
      </x:c>
      <x:c r="M51" s="101" t="str">
        <x:v>Blickt auf: Drei große Reihen offener Arkaden an der hohen erhaltenen Außenwand.</x:v>
      </x:c>
      <x:c r="N51" s="101" t="str">
        <x:v>Konzentriert euch auf die große, dauerhaft sichtbare Form.</x:v>
      </x:c>
      <x:c r="O51" s="101" t="str">
        <x:v>Gleichörtiger Fallback gemäß Ortszuordnung: Moved from the monument centroid to Piazza del Colosseo for the exterior photoquest. No ticket, queue or archaeological-area entry may be required.; Außenkoordinate verwenden; weder Eintritt noch Sicherheitskontrolle dürfen erforderlich sein.</x:v>
      </x:c>
      <x:c r="P51" s="101" t="str">
        <x:v>Kein Grundabschlussverlust</x:v>
      </x:c>
      <x:c r="Q51" s="101" t="str">
        <x:v>REMOTE_REVIEW</x:v>
      </x:c>
      <x:c r="R51" s="101" t="str">
        <x:v>https://it.wikipedia.org/wiki/Colosseo</x:v>
      </x:c>
    </x:row>
    <x:row r="52" ht="82" customHeight="1">
      <x:c r="A52" s="104" t="str">
        <x:v>OBS-D2-Q03-3</x:v>
      </x:c>
      <x:c r="B52" s="104" t="str">
        <x:v>D2-Q03</x:v>
      </x:c>
      <x:c r="C52" s="104" t="str">
        <x:v>station_3</x:v>
      </x:c>
      <x:c r="D52" s="104" t="str">
        <x:v>place_day_2_ludus_magnus</x:v>
      </x:c>
      <x:c r="E52" s="104" t="str">
        <x:v>Ludus Magnus</x:v>
      </x:c>
      <x:c r="F52" s="104" t="str">
        <x:v>OBSERVATION_INPUT</x:v>
      </x:c>
      <x:c r="G52" s="104" t="str">
        <x:v>Welche Grundform hat die sichtbare Trainingsarena?</x:v>
      </x:c>
      <x:c r="H52" s="104" t="str"/>
      <x:c r="I52" s="104" t="str">
        <x:v>Oval</x:v>
      </x:c>
      <x:c r="J52" s="104" t="str">
        <x:v>Oval</x:v>
      </x:c>
      <x:c r="K52" s="104" t="str">
        <x:v>Halb freigelegte ovale Arena unter dem heutigen Straßenniveau.</x:v>
      </x:c>
      <x:c r="L52" s="104" t="str">
        <x:v>A</x:v>
      </x:c>
      <x:c r="M52" s="104" t="str">
        <x:v>Blickt auf: Halb freigelegte ovale Arena unter dem heutigen Straßenniveau.</x:v>
      </x:c>
      <x:c r="N52" s="104" t="str">
        <x:v>Konzentriert euch auf die große, dauerhaft sichtbare Form.</x:v>
      </x:c>
      <x:c r="O52" s="104" t="str">
        <x:v>Gleichörtiger Fallback gemäß Ortszuordnung: V03-Punkt; VISUAL_EVIDENCE_NOT_YET_VERIFIED|EXTERIOR_VANTAGE_POINT_REQUIRED|PAID_INTERIOR_OR_SITE_RISK_USE_EXTERIOR_ONLY|CROWDING_RISK</x:v>
      </x:c>
      <x:c r="P52" s="104" t="str">
        <x:v>Kein Grundabschlussverlust</x:v>
      </x:c>
      <x:c r="Q52" s="104" t="str">
        <x:v>REMOTE_REVIEW</x:v>
      </x:c>
      <x:c r="R52" s="104" t="str">
        <x:v>https://de.wikipedia.org/wiki/Ludus_Magnus</x:v>
      </x:c>
    </x:row>
    <x:row r="53" ht="82" customHeight="1">
      <x:c r="A53" s="101" t="str">
        <x:v>OBS-D2-Q04-1</x:v>
      </x:c>
      <x:c r="B53" s="101" t="str">
        <x:v>D2-Q04</x:v>
      </x:c>
      <x:c r="C53" s="101" t="str">
        <x:v>station_1</x:v>
      </x:c>
      <x:c r="D53" s="101" t="str">
        <x:v>place_day_2_bocca_della_verita</x:v>
      </x:c>
      <x:c r="E53" s="101" t="str">
        <x:v>Mund der Wahrheit</x:v>
      </x:c>
      <x:c r="F53" s="101" t="str">
        <x:v>OBSERVATION_INPUT</x:v>
      </x:c>
      <x:c r="G53" s="101" t="str">
        <x:v>Welcher Gesichtsteil bildet die große zentrale Öffnung?</x:v>
      </x:c>
      <x:c r="H53" s="101" t="str"/>
      <x:c r="I53" s="101" t="str">
        <x:v>Der Mund</x:v>
      </x:c>
      <x:c r="J53" s="101" t="str">
        <x:v>Der Mund</x:v>
      </x:c>
      <x:c r="K53" s="101" t="str">
        <x:v>Großes rundes Steingesicht im äußeren Portikus von Santa Maria in Cosmedin.</x:v>
      </x:c>
      <x:c r="L53" s="101" t="str">
        <x:v>B</x:v>
      </x:c>
      <x:c r="M53" s="101" t="str">
        <x:v>Blickt auf: Großes rundes Steingesicht im äußeren Portikus von Santa Maria in Cosmedin.</x:v>
      </x:c>
      <x:c r="N53" s="101" t="str">
        <x:v>Konzentriert euch auf die große, dauerhaft sichtbare Form.</x:v>
      </x:c>
      <x:c r="O53" s="101" t="str">
        <x:v>Gleichörtiger Fallback gemäß Ortszuordnung: V03-Punkt; Nicht verlangen, die Hand hineinzulegen oder die Warteschlange zu betreten; Sicht vom öffentlichen Bereich prüfen.</x:v>
      </x:c>
      <x:c r="P53" s="101" t="str">
        <x:v>Kein Grundabschlussverlust</x:v>
      </x:c>
      <x:c r="Q53" s="101" t="str">
        <x:v>FIELD_CHECK_REQUIRED</x:v>
      </x:c>
      <x:c r="R53" s="101" t="str">
        <x:v>https://it.wikipedia.org/wiki/Bocca_della_Verit%C3%A0</x:v>
      </x:c>
    </x:row>
    <x:row r="54" ht="82" customHeight="1">
      <x:c r="A54" s="104" t="str">
        <x:v>OBS-D2-Q04-2</x:v>
      </x:c>
      <x:c r="B54" s="104" t="str">
        <x:v>D2-Q04</x:v>
      </x:c>
      <x:c r="C54" s="104" t="str">
        <x:v>station_2</x:v>
      </x:c>
      <x:c r="D54" s="104" t="str">
        <x:v>place_day_2_tempio_di_ercole_vincitore</x:v>
      </x:c>
      <x:c r="E54" s="104" t="str">
        <x:v>Tempel des Hercules Victor</x:v>
      </x:c>
      <x:c r="F54" s="104" t="str">
        <x:v>OBSERVATION_INPUT</x:v>
      </x:c>
      <x:c r="G54" s="104" t="str">
        <x:v>Welche Grundform hat der Tempel?</x:v>
      </x:c>
      <x:c r="H54" s="104" t="str"/>
      <x:c r="I54" s="104" t="str">
        <x:v>Rund</x:v>
      </x:c>
      <x:c r="J54" s="104" t="str">
        <x:v>Rund</x:v>
      </x:c>
      <x:c r="K54" s="104" t="str">
        <x:v>Klar erkennbare runde Cella mit umlaufendem Säulenkranz.</x:v>
      </x:c>
      <x:c r="L54" s="104" t="str">
        <x:v>A</x:v>
      </x:c>
      <x:c r="M54" s="104" t="str">
        <x:v>Blickt auf: Klar erkennbare runde Cella mit umlaufendem Säulenkranz.</x:v>
      </x:c>
      <x:c r="N54" s="104" t="str">
        <x:v>Konzentriert euch auf die große, dauerhaft sichtbare Form.</x:v>
      </x:c>
      <x:c r="O54" s="104" t="str">
        <x:v>Gleichörtiger Fallback gemäß Ortszuordnung: V03-Punkt; VISUAL_EVIDENCE_NOT_YET_VERIFIED|EXTERIOR_VANTAGE_POINT_REQUIRED|PAID_INTERIOR_OR_SITE_RISK_USE_EXTERIOR_ONLY|CROWDING_RISK</x:v>
      </x:c>
      <x:c r="P54" s="104" t="str">
        <x:v>Kein Grundabschlussverlust</x:v>
      </x:c>
      <x:c r="Q54" s="104" t="str">
        <x:v>REMOTE_REVIEW</x:v>
      </x:c>
      <x:c r="R54" s="104" t="str">
        <x:v>https://it.wikipedia.org/wiki/Tempio_di_Ercole_Vincitore</x:v>
      </x:c>
    </x:row>
    <x:row r="55" ht="82" customHeight="1">
      <x:c r="A55" s="101" t="str">
        <x:v>OBS-D2-Q04-3</x:v>
      </x:c>
      <x:c r="B55" s="101" t="str">
        <x:v>D2-Q04</x:v>
      </x:c>
      <x:c r="C55" s="101" t="str">
        <x:v>station_3</x:v>
      </x:c>
      <x:c r="D55" s="101" t="str">
        <x:v>place_day_2_arco_degli_argentari</x:v>
      </x:c>
      <x:c r="E55" s="101" t="str">
        <x:v>Arco degli Argentari</x:v>
      </x:c>
      <x:c r="F55" s="101" t="str">
        <x:v>OBSERVATION_INPUT</x:v>
      </x:c>
      <x:c r="G55" s="101" t="str">
        <x:v>Wie ist der obere Abschluss des Durchgangs geformt?</x:v>
      </x:c>
      <x:c r="H55" s="101" t="str"/>
      <x:c r="I55" s="101" t="str">
        <x:v>Gerade, als Architrav</x:v>
      </x:c>
      <x:c r="J55" s="101" t="str">
        <x:v>Gerade, als Architrav</x:v>
      </x:c>
      <x:c r="K55" s="101" t="str">
        <x:v>Gerader oberer Abschluss über engem Durchgang; reiche Reliefs an den Pfeilern.</x:v>
      </x:c>
      <x:c r="L55" s="101" t="str">
        <x:v>A</x:v>
      </x:c>
      <x:c r="M55" s="101" t="str">
        <x:v>Blickt auf: Gerader oberer Abschluss über engem Durchgang; reiche Reliefs an den Pfeilern.</x:v>
      </x:c>
      <x:c r="N55" s="101" t="str">
        <x:v>Konzentriert euch auf die große, dauerhaft sichtbare Form.</x:v>
      </x:c>
      <x:c r="O55" s="101" t="str">
        <x:v>Gleichörtiger Fallback gemäß Ortszuordnung: V03-Punkt; VISUAL_EVIDENCE_NOT_YET_VERIFIED</x:v>
      </x:c>
      <x:c r="P55" s="101" t="str">
        <x:v>Kein Grundabschlussverlust</x:v>
      </x:c>
      <x:c r="Q55" s="101" t="str">
        <x:v>REMOTE_REVIEW</x:v>
      </x:c>
      <x:c r="R55" s="101" t="str">
        <x:v>https://en.wikipedia.org/wiki/Arcus_Argentariorum</x:v>
      </x:c>
    </x:row>
    <x:row r="56" ht="82" customHeight="1">
      <x:c r="A56" s="104" t="str">
        <x:v>OBS-D2-Q04-4</x:v>
      </x:c>
      <x:c r="B56" s="104" t="str">
        <x:v>D2-Q04</x:v>
      </x:c>
      <x:c r="C56" s="104" t="str">
        <x:v>station_4</x:v>
      </x:c>
      <x:c r="D56" s="104" t="str">
        <x:v>place_day_2_arco_di_giano</x:v>
      </x:c>
      <x:c r="E56" s="104" t="str">
        <x:v>Janusbogen</x:v>
      </x:c>
      <x:c r="F56" s="104" t="str">
        <x:v>OBSERVATION_INPUT</x:v>
      </x:c>
      <x:c r="G56" s="104" t="str">
        <x:v>Nach wie vielen Seiten öffnet sich das Monument mit großen Durchgängen?</x:v>
      </x:c>
      <x:c r="H56" s="104" t="str"/>
      <x:c r="I56" s="104" t="str">
        <x:v>Vier</x:v>
      </x:c>
      <x:c r="J56" s="104" t="str">
        <x:v>Vier</x:v>
      </x:c>
      <x:c r="K56" s="104" t="str">
        <x:v>Vier weithin sichtbare Bogenöffnungen auf vier Seiten.</x:v>
      </x:c>
      <x:c r="L56" s="104" t="str">
        <x:v>A</x:v>
      </x:c>
      <x:c r="M56" s="104" t="str">
        <x:v>Blickt auf: Vier weithin sichtbare Bogenöffnungen auf vier Seiten.</x:v>
      </x:c>
      <x:c r="N56" s="104" t="str">
        <x:v>Konzentriert euch auf die große, dauerhaft sichtbare Form.</x:v>
      </x:c>
      <x:c r="O56" s="104" t="str">
        <x:v>Gleichörtiger Fallback gemäß Ortszuordnung: V03-Punkt; VISUAL_EVIDENCE_NOT_YET_VERIFIED|CROWDING_RISK</x:v>
      </x:c>
      <x:c r="P56" s="104" t="str">
        <x:v>Kein Grundabschlussverlust</x:v>
      </x:c>
      <x:c r="Q56" s="104" t="str">
        <x:v>REMOTE_REVIEW</x:v>
      </x:c>
      <x:c r="R56" s="104" t="str">
        <x:v>https://it.wikipedia.org/wiki/Arco_di_Giano</x:v>
      </x:c>
    </x:row>
    <x:row r="57" ht="82" customHeight="1">
      <x:c r="A57" s="101" t="str">
        <x:v>OBS-D2-Q05-1</x:v>
      </x:c>
      <x:c r="B57" s="101" t="str">
        <x:v>D2-Q05</x:v>
      </x:c>
      <x:c r="C57" s="101" t="str">
        <x:v>station_1</x:v>
      </x:c>
      <x:c r="D57" s="101" t="str">
        <x:v>place_day_2_fontana_dei_tritoni</x:v>
      </x:c>
      <x:c r="E57" s="101" t="str">
        <x:v>Tritonenbrunnen</x:v>
      </x:c>
      <x:c r="F57" s="101" t="str">
        <x:v>OBSERVATION_INPUT</x:v>
      </x:c>
      <x:c r="G57" s="101" t="str">
        <x:v>Wie viele Tritonen tragen die obere Schale?</x:v>
      </x:c>
      <x:c r="H57" s="101" t="str"/>
      <x:c r="I57" s="101" t="str">
        <x:v>Zwei</x:v>
      </x:c>
      <x:c r="J57" s="101" t="str">
        <x:v>Zwei</x:v>
      </x:c>
      <x:c r="K57" s="101" t="str">
        <x:v>Zwei große Tritonen als Träger einer Muschelschale.</x:v>
      </x:c>
      <x:c r="L57" s="101" t="str">
        <x:v>A</x:v>
      </x:c>
      <x:c r="M57" s="101" t="str">
        <x:v>Blickt auf: Zwei große Tritonen als Träger einer Muschelschale.</x:v>
      </x:c>
      <x:c r="N57" s="101" t="str">
        <x:v>Konzentriert euch auf die große, dauerhaft sichtbare Form.</x:v>
      </x:c>
      <x:c r="O57" s="101" t="str">
        <x:v>Gleichörtiger Fallback gemäß Ortszuordnung: V03-Punkt; VISUAL_EVIDENCE_NOT_YET_VERIFIED|CROWDING_RISK</x:v>
      </x:c>
      <x:c r="P57" s="101" t="str">
        <x:v>Kein Grundabschlussverlust</x:v>
      </x:c>
      <x:c r="Q57" s="101" t="str">
        <x:v>REMOTE_REVIEW</x:v>
      </x:c>
      <x:c r="R57" s="101" t="str">
        <x:v>https://it.wikipedia.org/wiki/Fontana_dei_Tritoni</x:v>
      </x:c>
    </x:row>
    <x:row r="58" ht="82" customHeight="1">
      <x:c r="A58" s="104" t="str">
        <x:v>OBS-D2-Q05-2</x:v>
      </x:c>
      <x:c r="B58" s="104" t="str">
        <x:v>D2-Q05</x:v>
      </x:c>
      <x:c r="C58" s="104" t="str">
        <x:v>station_2</x:v>
      </x:c>
      <x:c r="D58" s="104" t="str">
        <x:v>place_day_2_belvedere_romolo_e_remo</x:v>
      </x:c>
      <x:c r="E58" s="104" t="str">
        <x:v>Belvedere Romolo E Remo</x:v>
      </x:c>
      <x:c r="F58" s="104" t="str">
        <x:v>OBSERVATION_INPUT</x:v>
      </x:c>
      <x:c r="G58" s="104" t="str">
        <x:v>Welcher Hügel liegt auf der gegenüberliegenden Seite des Circus Maximus?</x:v>
      </x:c>
      <x:c r="H58" s="104" t="str"/>
      <x:c r="I58" s="104" t="str">
        <x:v>Der Palatin</x:v>
      </x:c>
      <x:c r="J58" s="104" t="str">
        <x:v>Der Palatin</x:v>
      </x:c>
      <x:c r="K58" s="104" t="str">
        <x:v>Freier Panoramablick über die langgestreckte Circus-Senke zum Palatin.</x:v>
      </x:c>
      <x:c r="L58" s="104" t="str">
        <x:v>A</x:v>
      </x:c>
      <x:c r="M58" s="104" t="str">
        <x:v>Blickt auf: Freier Panoramablick über die langgestreckte Circus-Senke zum Palatin.</x:v>
      </x:c>
      <x:c r="N58" s="104" t="str">
        <x:v>Konzentriert euch auf die große, dauerhaft sichtbare Form.</x:v>
      </x:c>
      <x:c r="O58" s="104" t="str">
        <x:v>Gleichörtiger Fallback gemäß Ortszuordnung: V03-Punkt; VISUAL_EVIDENCE_NOT_YET_VERIFIED</x:v>
      </x:c>
      <x:c r="P58" s="104" t="str">
        <x:v>Kein Grundabschlussverlust</x:v>
      </x:c>
      <x:c r="Q58" s="104" t="str">
        <x:v>REMOTE_REVIEW</x:v>
      </x:c>
      <x:c r="R58" s="104" t="str">
        <x:v>https://www.rerumromanarum.com/2024/04/belvedere-romolo-e-remo.html</x:v>
      </x:c>
    </x:row>
    <x:row r="59" ht="82" customHeight="1">
      <x:c r="A59" s="101" t="str">
        <x:v>OBS-D2-Q05-3</x:v>
      </x:c>
      <x:c r="B59" s="101" t="str">
        <x:v>D2-Q05</x:v>
      </x:c>
      <x:c r="C59" s="101" t="str">
        <x:v>station_3</x:v>
      </x:c>
      <x:c r="D59" s="101" t="str">
        <x:v>place_day_2_fontana_del_mascherone_di_santa_sabina</x:v>
      </x:c>
      <x:c r="E59" s="101" t="str">
        <x:v>Maskenbrunnen bei Santa Sabina</x:v>
      </x:c>
      <x:c r="F59" s="101" t="str">
        <x:v>OBSERVATION_INPUT</x:v>
      </x:c>
      <x:c r="G59" s="101" t="str">
        <x:v>Aus welchem Gesichtsteil tritt das Wasser?</x:v>
      </x:c>
      <x:c r="H59" s="101" t="str"/>
      <x:c r="I59" s="101" t="str">
        <x:v>Aus dem Mund</x:v>
      </x:c>
      <x:c r="J59" s="101" t="str">
        <x:v>Aus dem Mund</x:v>
      </x:c>
      <x:c r="K59" s="101" t="str">
        <x:v>Großes steinernes Maskengesicht mit Wasserauslass im Mund.</x:v>
      </x:c>
      <x:c r="L59" s="101" t="str">
        <x:v>A</x:v>
      </x:c>
      <x:c r="M59" s="101" t="str">
        <x:v>Blickt auf: Großes steinernes Maskengesicht mit Wasserauslass im Mund.</x:v>
      </x:c>
      <x:c r="N59" s="101" t="str">
        <x:v>Konzentriert euch auf die große, dauerhaft sichtbare Form.</x:v>
      </x:c>
      <x:c r="O59" s="101" t="str">
        <x:v>Gleichörtiger Fallback gemäß Ortszuordnung: V03-Punkt; VISUAL_EVIDENCE_NOT_YET_VERIFIED|CROWDING_RISK</x:v>
      </x:c>
      <x:c r="P59" s="101" t="str">
        <x:v>Kein Grundabschlussverlust</x:v>
      </x:c>
      <x:c r="Q59" s="101" t="str">
        <x:v>REMOTE_REVIEW</x:v>
      </x:c>
      <x:c r="R59" s="101" t="str">
        <x:v>https://turismoroma.it/it/luoghi/fontana-piazza-pietro-d%E2%80%99illiria</x:v>
      </x:c>
    </x:row>
    <x:row r="60" ht="82" customHeight="1">
      <x:c r="A60" s="104" t="str">
        <x:v>OBS-D2-Q06-1</x:v>
      </x:c>
      <x:c r="B60" s="104" t="str">
        <x:v>D2-Q06</x:v>
      </x:c>
      <x:c r="C60" s="104" t="str">
        <x:v>station_1</x:v>
      </x:c>
      <x:c r="D60" s="104" t="str">
        <x:v>place_day_2_fontana_della_navicella</x:v>
      </x:c>
      <x:c r="E60" s="104" t="str">
        <x:v>Fontana della Navicella</x:v>
      </x:c>
      <x:c r="F60" s="104" t="str">
        <x:v>OBSERVATION_INPUT</x:v>
      </x:c>
      <x:c r="G60" s="104" t="str">
        <x:v>Welche Objektform besitzt die zentrale Skulptur?</x:v>
      </x:c>
      <x:c r="H60" s="104" t="str"/>
      <x:c r="I60" s="104" t="str">
        <x:v>Ein Schiff</x:v>
      </x:c>
      <x:c r="J60" s="104" t="str">
        <x:v>Ein Schiff</x:v>
      </x:c>
      <x:c r="K60" s="104" t="str">
        <x:v>Großes steinernes Schiff als zentrales Brunnenobjekt.</x:v>
      </x:c>
      <x:c r="L60" s="104" t="str">
        <x:v>A</x:v>
      </x:c>
      <x:c r="M60" s="104" t="str">
        <x:v>Blickt auf: Großes steinernes Schiff als zentrales Brunnenobjekt.</x:v>
      </x:c>
      <x:c r="N60" s="104" t="str">
        <x:v>Konzentriert euch auf die große, dauerhaft sichtbare Form.</x:v>
      </x:c>
      <x:c r="O60" s="104" t="str">
        <x:v>Gleichörtiger Fallback gemäß Ortszuordnung: V03-Punkt; VISUAL_EVIDENCE_NOT_YET_VERIFIED</x:v>
      </x:c>
      <x:c r="P60" s="104" t="str">
        <x:v>Kein Grundabschlussverlust</x:v>
      </x:c>
      <x:c r="Q60" s="104" t="str">
        <x:v>REMOTE_REVIEW</x:v>
      </x:c>
      <x:c r="R60" s="104" t="str">
        <x:v>https://it.wikipedia.org/wiki/Fontana_della_Navicella</x:v>
      </x:c>
    </x:row>
    <x:row r="61" ht="82" customHeight="1">
      <x:c r="A61" s="101" t="str">
        <x:v>OBS-D2-Q07-1</x:v>
      </x:c>
      <x:c r="B61" s="101" t="str">
        <x:v>D2-Q07</x:v>
      </x:c>
      <x:c r="C61" s="101" t="str">
        <x:v>station_1</x:v>
      </x:c>
      <x:c r="D61" s="101" t="str">
        <x:v>place_day_2_basilica_di_san_giovanni_in_laterano</x:v>
      </x:c>
      <x:c r="E61" s="101" t="str">
        <x:v>Lateranbasilika</x:v>
      </x:c>
      <x:c r="F61" s="101" t="str">
        <x:v>OBSERVATION_INPUT</x:v>
      </x:c>
      <x:c r="G61" s="101" t="str">
        <x:v>Welche Figur steht im Zentrum der Statuengruppe auf der Hauptfassade?</x:v>
      </x:c>
      <x:c r="H61" s="101" t="str"/>
      <x:c r="I61" s="101" t="str">
        <x:v>Christus</x:v>
      </x:c>
      <x:c r="J61" s="101" t="str">
        <x:v>Christus</x:v>
      </x:c>
      <x:c r="K61" s="101" t="str">
        <x:v>Sehr große Statuengruppe auf der Dachlinie mit Christus in der Mitte.</x:v>
      </x:c>
      <x:c r="L61" s="101" t="str">
        <x:v>A</x:v>
      </x:c>
      <x:c r="M61" s="101" t="str">
        <x:v>Blickt auf: Sehr große Statuengruppe auf der Dachlinie mit Christus in der Mitte.</x:v>
      </x:c>
      <x:c r="N61" s="101" t="str">
        <x:v>Konzentriert euch auf die große, dauerhaft sichtbare Form.</x:v>
      </x:c>
      <x:c r="O61" s="101" t="str">
        <x:v>Gleichörtiger Fallback gemäß Ortszuordnung: V03-Punkt; Nur die Piazza und Außenfassade verwenden; kein Kirchenbesuch.</x:v>
      </x:c>
      <x:c r="P61" s="101" t="str">
        <x:v>Kein Grundabschlussverlust</x:v>
      </x:c>
      <x:c r="Q61" s="101" t="str">
        <x:v>REMOTE_REVIEW</x:v>
      </x:c>
      <x:c r="R61" s="101" t="str">
        <x:v>https://it.wikipedia.org/wiki/Basilica_di_San_Giovanni_in_Laterano</x:v>
      </x:c>
    </x:row>
    <x:row r="62" ht="82" customHeight="1">
      <x:c r="A62" s="104" t="str">
        <x:v>OBS-D2-Q07-2</x:v>
      </x:c>
      <x:c r="B62" s="104" t="str">
        <x:v>D2-Q07</x:v>
      </x:c>
      <x:c r="C62" s="104" t="str">
        <x:v>station_2</x:v>
      </x:c>
      <x:c r="D62" s="104" t="str">
        <x:v>place_day_2_obelisco_lateranense</x:v>
      </x:c>
      <x:c r="E62" s="104" t="str">
        <x:v>Lateranischer Obelisk</x:v>
      </x:c>
      <x:c r="F62" s="104" t="str">
        <x:v>OBSERVATION_INPUT</x:v>
      </x:c>
      <x:c r="G62" s="104" t="str">
        <x:v>Welche Art von Schriftzeichen ist auf dem Obelisken zu sehen?</x:v>
      </x:c>
      <x:c r="H62" s="104" t="str"/>
      <x:c r="I62" s="104" t="str">
        <x:v>Ägyptische Hieroglyphen</x:v>
      </x:c>
      <x:c r="J62" s="104" t="str">
        <x:v>Ägyptische Hieroglyphen</x:v>
      </x:c>
      <x:c r="K62" s="104" t="str">
        <x:v>Sehr hoher Schaft mit deutlich sichtbaren Hieroglyphen.</x:v>
      </x:c>
      <x:c r="L62" s="104" t="str">
        <x:v>A</x:v>
      </x:c>
      <x:c r="M62" s="104" t="str">
        <x:v>Blickt auf: Sehr hoher Schaft mit deutlich sichtbaren Hieroglyphen.</x:v>
      </x:c>
      <x:c r="N62" s="104" t="str">
        <x:v>Konzentriert euch auf die große, dauerhaft sichtbare Form.</x:v>
      </x:c>
      <x:c r="O62" s="104" t="str">
        <x:v>Gleichörtiger Fallback gemäß Ortszuordnung: V03-Punkt; VISUAL_EVIDENCE_NOT_YET_VERIFIED</x:v>
      </x:c>
      <x:c r="P62" s="104" t="str">
        <x:v>Kein Grundabschlussverlust</x:v>
      </x:c>
      <x:c r="Q62" s="104" t="str">
        <x:v>REMOTE_REVIEW</x:v>
      </x:c>
      <x:c r="R62" s="104" t="str">
        <x:v>https://it.wikipedia.org/wiki/Obelisco_Lateranense</x:v>
      </x:c>
    </x:row>
    <x:row r="63" ht="82" customHeight="1">
      <x:c r="A63" s="101" t="str">
        <x:v>OBS-D2-Q07-3</x:v>
      </x:c>
      <x:c r="B63" s="101" t="str">
        <x:v>D2-Q07</x:v>
      </x:c>
      <x:c r="C63" s="101" t="str">
        <x:v>station_3</x:v>
      </x:c>
      <x:c r="D63" s="101" t="str">
        <x:v>place_day_2_porta_san_giovanni</x:v>
      </x:c>
      <x:c r="E63" s="101" t="str">
        <x:v>Porta San Giovanni</x:v>
      </x:c>
      <x:c r="F63" s="101" t="str">
        <x:v>OBSERVATION_INPUT</x:v>
      </x:c>
      <x:c r="G63" s="101" t="str">
        <x:v>Wie viele große Durchgänge besitzt die Porta San Giovanni?</x:v>
      </x:c>
      <x:c r="H63" s="101" t="str"/>
      <x:c r="I63" s="101" t="str">
        <x:v>Drei</x:v>
      </x:c>
      <x:c r="J63" s="101" t="str">
        <x:v>Drei</x:v>
      </x:c>
      <x:c r="K63" s="101" t="str">
        <x:v>Drei große Öffnungen nebeneinander.</x:v>
      </x:c>
      <x:c r="L63" s="101" t="str">
        <x:v>A</x:v>
      </x:c>
      <x:c r="M63" s="101" t="str">
        <x:v>Blickt auf: Drei große Öffnungen nebeneinander.</x:v>
      </x:c>
      <x:c r="N63" s="101" t="str">
        <x:v>Konzentriert euch auf die große, dauerhaft sichtbare Form.</x:v>
      </x:c>
      <x:c r="O63" s="101" t="str">
        <x:v>Gleichörtiger Fallback gemäß Ortszuordnung: V03-Punkt; Blickpunkt auf sicherem Gehweg; keine Straßenquerung für die Antwort verlangen.</x:v>
      </x:c>
      <x:c r="P63" s="101" t="str">
        <x:v>Kein Grundabschlussverlust</x:v>
      </x:c>
      <x:c r="Q63" s="101" t="str">
        <x:v>REMOTE_REVIEW</x:v>
      </x:c>
      <x:c r="R63" s="101" t="str">
        <x:v>https://en.wikipedia.org/wiki/Porta_San_Giovanni_(Rome)</x:v>
      </x:c>
    </x:row>
    <x:row r="64" ht="82" customHeight="1">
      <x:c r="A64" s="104" t="str">
        <x:v>OBS-D2-Q08-1</x:v>
      </x:c>
      <x:c r="B64" s="104" t="str">
        <x:v>D2-Q08</x:v>
      </x:c>
      <x:c r="C64" s="104" t="str">
        <x:v>station_1</x:v>
      </x:c>
      <x:c r="D64" s="104" t="str">
        <x:v>place_day_2_porta_latina</x:v>
      </x:c>
      <x:c r="E64" s="104" t="str">
        <x:v>Porta Latina</x:v>
      </x:c>
      <x:c r="F64" s="104" t="str">
        <x:v>OBSERVATION_INPUT</x:v>
      </x:c>
      <x:c r="G64" s="104" t="str">
        <x:v>Wie viele runde Türme flankieren den Durchgang?</x:v>
      </x:c>
      <x:c r="H64" s="104" t="str"/>
      <x:c r="I64" s="104" t="str">
        <x:v>Zwei</x:v>
      </x:c>
      <x:c r="J64" s="104" t="str">
        <x:v>Zwei</x:v>
      </x:c>
      <x:c r="K64" s="104" t="str">
        <x:v>Ein Torbogen zwischen zwei deutlich runden Türmen.</x:v>
      </x:c>
      <x:c r="L64" s="104" t="str">
        <x:v>A</x:v>
      </x:c>
      <x:c r="M64" s="104" t="str">
        <x:v>Blickt auf: Ein Torbogen zwischen zwei deutlich runden Türmen.</x:v>
      </x:c>
      <x:c r="N64" s="104" t="str">
        <x:v>Konzentriert euch auf die große, dauerhaft sichtbare Form.</x:v>
      </x:c>
      <x:c r="O64" s="104" t="str">
        <x:v>Gleichörtiger Fallback gemäß Ortszuordnung: V03-Punkt; VISUAL_EVIDENCE_NOT_YET_VERIFIED</x:v>
      </x:c>
      <x:c r="P64" s="104" t="str">
        <x:v>Kein Grundabschlussverlust</x:v>
      </x:c>
      <x:c r="Q64" s="104" t="str">
        <x:v>REMOTE_REVIEW</x:v>
      </x:c>
      <x:c r="R64" s="104" t="str">
        <x:v>https://en.wikipedia.org/wiki/Porta_Latina</x:v>
      </x:c>
    </x:row>
    <x:row r="65" ht="82" customHeight="1">
      <x:c r="A65" s="101" t="str">
        <x:v>OBS-D2-Q08-2</x:v>
      </x:c>
      <x:c r="B65" s="101" t="str">
        <x:v>D2-Q08</x:v>
      </x:c>
      <x:c r="C65" s="101" t="str">
        <x:v>station_2</x:v>
      </x:c>
      <x:c r="D65" s="101" t="str">
        <x:v>place_day_2_porta_metronia</x:v>
      </x:c>
      <x:c r="E65" s="101" t="str">
        <x:v>Porta Metronia</x:v>
      </x:c>
      <x:c r="F65" s="101" t="str">
        <x:v>OBSERVATION_INPUT</x:v>
      </x:c>
      <x:c r="G65" s="101" t="str">
        <x:v>Ist der historische Torbogen offen oder zugemauert?</x:v>
      </x:c>
      <x:c r="H65" s="101" t="str"/>
      <x:c r="I65" s="101" t="str">
        <x:v>Zugemauert</x:v>
      </x:c>
      <x:c r="J65" s="101" t="str">
        <x:v>Zugemauert</x:v>
      </x:c>
      <x:c r="K65" s="101" t="str">
        <x:v>Vermauerter antiker Bogen im massiven Ziegelmauerwerk.</x:v>
      </x:c>
      <x:c r="L65" s="101" t="str">
        <x:v>B</x:v>
      </x:c>
      <x:c r="M65" s="101" t="str">
        <x:v>Blickt auf: Vermauerter antiker Bogen im massiven Ziegelmauerwerk.</x:v>
      </x:c>
      <x:c r="N65" s="101" t="str">
        <x:v>Konzentriert euch auf die große, dauerhaft sichtbare Form.</x:v>
      </x:c>
      <x:c r="O65" s="101" t="str">
        <x:v>Gleichörtiger Fallback gemäß Ortszuordnung: V03-Punkt; Frage muss den antiken Bogen eindeutig von modernen Durchbrüchen abgrenzen.</x:v>
      </x:c>
      <x:c r="P65" s="101" t="str">
        <x:v>Kein Grundabschlussverlust</x:v>
      </x:c>
      <x:c r="Q65" s="101" t="str">
        <x:v>FIELD_CHECK_REQUIRED</x:v>
      </x:c>
      <x:c r="R65" s="101" t="str">
        <x:v>https://en.wikipedia.org/wiki/Porta_Metronia</x:v>
      </x:c>
    </x:row>
    <x:row r="66" ht="82" customHeight="1">
      <x:c r="A66" s="104" t="str">
        <x:v>OBS-D2-Q09-1</x:v>
      </x:c>
      <x:c r="B66" s="104" t="str">
        <x:v>D2-Q09</x:v>
      </x:c>
      <x:c r="C66" s="104" t="str">
        <x:v>station_1</x:v>
      </x:c>
      <x:c r="D66" s="104" t="str">
        <x:v>place_day_2_basilica_di_santa_maria_maggiore</x:v>
      </x:c>
      <x:c r="E66" s="104" t="str">
        <x:v>Basilika Groß Sankt Marien</x:v>
      </x:c>
      <x:c r="F66" s="104" t="str">
        <x:v>OBSERVATION_INPUT</x:v>
      </x:c>
      <x:c r="G66" s="104" t="str">
        <x:v>Wie viele große Öffnungen besitzt die zentrale obere Loggia der Hauptfassade?</x:v>
      </x:c>
      <x:c r="H66" s="104" t="str"/>
      <x:c r="I66" s="104" t="str">
        <x:v>Drei</x:v>
      </x:c>
      <x:c r="J66" s="104" t="str">
        <x:v>Drei</x:v>
      </x:c>
      <x:c r="K66" s="104" t="str">
        <x:v>Monumentale Fassade mit zentraler oberer Loggia und Marienbezug; großer öffentlicher Platz davor.</x:v>
      </x:c>
      <x:c r="L66" s="104" t="str">
        <x:v>B</x:v>
      </x:c>
      <x:c r="M66" s="104" t="str">
        <x:v>Blickt auf: Monumentale Fassade mit zentraler oberer Loggia und Marienbezug; großer öffentlicher Platz davor.</x:v>
      </x:c>
      <x:c r="N66" s="104" t="str">
        <x:v>Konzentriert euch auf die große, dauerhaft sichtbare Form.</x:v>
      </x:c>
      <x:c r="O66" s="104" t="str">
        <x:v>Gleichörtiger Fallback gemäß Ortszuordnung: World-boss staging point placed on Piazza di Santa Maria Maggiore, outside the basilica. No interior access may be required.; Primär Boss-Staging auf dem öffentlichen Platz. Die Loggiazahl muss auf aktuellem Frontalbild nochmals bestätigt werden.</x:v>
      </x:c>
      <x:c r="P66" s="104" t="str">
        <x:v>Kein Grundabschlussverlust</x:v>
      </x:c>
      <x:c r="Q66" s="104" t="str">
        <x:v>FIELD_CHECK_REQUIRED</x:v>
      </x:c>
      <x:c r="R66" s="104" t="str">
        <x:v>https://www.turismoroma.it/en/places/piazza-di-santa-maria-maggiore</x:v>
      </x:c>
    </x:row>
    <x:row r="67" ht="82" customHeight="1">
      <x:c r="A67" s="101" t="str">
        <x:v>OBS-D2-Q09-2</x:v>
      </x:c>
      <x:c r="B67" s="101" t="str">
        <x:v>D2-Q09</x:v>
      </x:c>
      <x:c r="C67" s="101" t="str">
        <x:v>station_2</x:v>
      </x:c>
      <x:c r="D67" s="101" t="str">
        <x:v>place_day_2_obelisco_esquilino</x:v>
      </x:c>
      <x:c r="E67" s="101" t="str">
        <x:v>Obelisco Esquilino</x:v>
      </x:c>
      <x:c r="F67" s="101" t="str">
        <x:v>OBSERVATION_INPUT</x:v>
      </x:c>
      <x:c r="G67" s="101" t="str">
        <x:v>Welches Symbol krönt die Spitze des Obelisken?</x:v>
      </x:c>
      <x:c r="H67" s="101" t="str"/>
      <x:c r="I67" s="101" t="str">
        <x:v>Ein Kreuz</x:v>
      </x:c>
      <x:c r="J67" s="101" t="str">
        <x:v>Ein Kreuz</x:v>
      </x:c>
      <x:c r="K67" s="101" t="str">
        <x:v>Schlichter Obelisk ohne Hieroglyphen, oben mit Kreuz.</x:v>
      </x:c>
      <x:c r="L67" s="101" t="str">
        <x:v>A</x:v>
      </x:c>
      <x:c r="M67" s="101" t="str">
        <x:v>Blickt auf: Schlichter Obelisk ohne Hieroglyphen, oben mit Kreuz.</x:v>
      </x:c>
      <x:c r="N67" s="101" t="str">
        <x:v>Konzentriert euch auf die große, dauerhaft sichtbare Form.</x:v>
      </x:c>
      <x:c r="O67" s="101" t="str">
        <x:v>Gleichörtiger Fallback gemäß Ortszuordnung: V03-Punkt; VISUAL_EVIDENCE_NOT_YET_VERIFIED</x:v>
      </x:c>
      <x:c r="P67" s="101" t="str">
        <x:v>Kein Grundabschlussverlust</x:v>
      </x:c>
      <x:c r="Q67" s="101" t="str">
        <x:v>REMOTE_REVIEW</x:v>
      </x:c>
      <x:c r="R67" s="101" t="str">
        <x:v>https://it.wikipedia.org/wiki/Obelisco_Esquilino</x:v>
      </x:c>
    </x:row>
    <x:row r="68" ht="82" customHeight="1">
      <x:c r="A68" s="104" t="str">
        <x:v>OBS-D2-Q09-3</x:v>
      </x:c>
      <x:c r="B68" s="104" t="str">
        <x:v>D2-Q09</x:v>
      </x:c>
      <x:c r="C68" s="104" t="str">
        <x:v>station_3</x:v>
      </x:c>
      <x:c r="D68" s="104" t="str">
        <x:v>place_day_2_thermae_traianae</x:v>
      </x:c>
      <x:c r="E68" s="104" t="str">
        <x:v>Thermae Traianae</x:v>
      </x:c>
      <x:c r="F68" s="104" t="str">
        <x:v>OBSERVATION_INPUT</x:v>
      </x:c>
      <x:c r="G68" s="104" t="str">
        <x:v>Welches Baumaterial dominiert die sichtbaren Thermenruinen?</x:v>
      </x:c>
      <x:c r="H68" s="104" t="str"/>
      <x:c r="I68" s="104" t="str">
        <x:v>Ziegel</x:v>
      </x:c>
      <x:c r="J68" s="104" t="str">
        <x:v>Ziegel</x:v>
      </x:c>
      <x:c r="K68" s="104" t="str">
        <x:v>Sehr hohe antike Ziegelmauerreste im öffentlichen Park.</x:v>
      </x:c>
      <x:c r="L68" s="104" t="str">
        <x:v>A</x:v>
      </x:c>
      <x:c r="M68" s="104" t="str">
        <x:v>Blickt auf: Sehr hohe antike Ziegelmauerreste im öffentlichen Park.</x:v>
      </x:c>
      <x:c r="N68" s="104" t="str">
        <x:v>Konzentriert euch auf die große, dauerhaft sichtbare Form.</x:v>
      </x:c>
      <x:c r="O68" s="104" t="str">
        <x:v>Gleichörtiger Fallback gemäß Ortszuordnung: V03-Punkt; VISUAL_EVIDENCE_NOT_YET_VERIFIED|EXTERIOR_VANTAGE_POINT_REQUIRED|PAID_INTERIOR_OR_SITE_RISK_USE_EXTERIOR_ONLY</x:v>
      </x:c>
      <x:c r="P68" s="104" t="str">
        <x:v>Kein Grundabschlussverlust</x:v>
      </x:c>
      <x:c r="Q68" s="104" t="str">
        <x:v>REMOTE_REVIEW</x:v>
      </x:c>
      <x:c r="R68" s="104" t="str">
        <x:v>https://it.wikipedia.org/wiki/Terme_di_Traiano</x:v>
      </x:c>
    </x:row>
    <x:row r="69" ht="82" customHeight="1">
      <x:c r="A69" s="101" t="str">
        <x:v>OBS-D2-Q10-1</x:v>
      </x:c>
      <x:c r="B69" s="101" t="str">
        <x:v>D2-Q10</x:v>
      </x:c>
      <x:c r="C69" s="101" t="str">
        <x:v>station_1</x:v>
      </x:c>
      <x:c r="D69" s="101" t="str">
        <x:v>place_day_2_porta_maggiore_aqua_claudia</x:v>
      </x:c>
      <x:c r="E69" s="101" t="str">
        <x:v>Porta Maggiore und Aqua Claudia</x:v>
      </x:c>
      <x:c r="F69" s="101" t="str">
        <x:v>OBSERVATION_INPUT</x:v>
      </x:c>
      <x:c r="G69" s="101" t="str">
        <x:v>Wie viele große Durchgänge besitzt der antike Doppelbogen?</x:v>
      </x:c>
      <x:c r="H69" s="101" t="str"/>
      <x:c r="I69" s="101" t="str">
        <x:v>Zwei</x:v>
      </x:c>
      <x:c r="J69" s="101" t="str">
        <x:v>Zwei</x:v>
      </x:c>
      <x:c r="K69" s="101" t="str">
        <x:v>Zwei große Durchgänge, darüber mehrere gemauerte Aquäduktkanäle und monumentale Inschriften.</x:v>
      </x:c>
      <x:c r="L69" s="101" t="str">
        <x:v>A</x:v>
      </x:c>
      <x:c r="M69" s="101" t="str">
        <x:v>Blickt auf: Zwei große Durchgänge, darüber mehrere gemauerte Aquäduktkanäle und monumentale Inschriften.</x:v>
      </x:c>
      <x:c r="N69" s="101" t="str">
        <x:v>Konzentriert euch auf die große, dauerhaft sichtbare Form.</x:v>
      </x:c>
      <x:c r="O69" s="101" t="str">
        <x:v>Gleichörtiger Fallback gemäß Ortszuordnung: V03-Punkt; Sicheren Gehwegpunkt festlegen; keine Überquerung des Verkehrsknotens verlangen.</x:v>
      </x:c>
      <x:c r="P69" s="101" t="str">
        <x:v>Kein Grundabschlussverlust</x:v>
      </x:c>
      <x:c r="Q69" s="101" t="str">
        <x:v>REMOTE_REVIEW</x:v>
      </x:c>
      <x:c r="R69" s="101" t="str">
        <x:v>https://www.sovraintendenzaroma.it/i_luoghi/roma_antica/monumenti/porta_maggiore</x:v>
      </x:c>
    </x:row>
    <x:row r="70" ht="82" customHeight="1">
      <x:c r="A70" s="104" t="str">
        <x:v>OBS-M-D1-01-1</x:v>
      </x:c>
      <x:c r="B70" s="104" t="str">
        <x:v>M-D1-01</x:v>
      </x:c>
      <x:c r="C70" s="104" t="str">
        <x:v>station_1</x:v>
      </x:c>
      <x:c r="D70" s="104" t="str">
        <x:v>place_day_1_piazza_san_pietro</x:v>
      </x:c>
      <x:c r="E70" s="104" t="str">
        <x:v>Petersplatz</x:v>
      </x:c>
      <x:c r="F70" s="104" t="str">
        <x:v>OBSERVATION_INPUT</x:v>
      </x:c>
      <x:c r="G70" s="104" t="str">
        <x:v>Stellt euch auf eine der runden Marmorplatten auf der Querachse des Obelisken und blickt zur Kolonnade. Wie viele Säulenreihen scheinen übrig zu bleiben?</x:v>
      </x:c>
      <x:c r="H70" s="104" t="str"/>
      <x:c r="I70" s="104" t="str">
        <x:v>Eine</x:v>
      </x:c>
      <x:c r="J70" s="104" t="str">
        <x:v>Eine</x:v>
      </x:c>
      <x:c r="K70" s="104" t="str">
        <x:v>Runde Marmor-Brennpunktmarkierung im Pflaster zwischen Obelisk und Kolonnade; danach Blick auf die großen Säulen.</x:v>
      </x:c>
      <x:c r="L70" s="104" t="str">
        <x:v>B</x:v>
      </x:c>
      <x:c r="M70" s="104" t="str">
        <x:v>Blickt auf: Runde Marmor-Brennpunktmarkierung im Pflaster zwischen Obelisk und Kolonnade; danach Blick auf die großen Säulen.</x:v>
      </x:c>
      <x:c r="N70" s="104" t="str">
        <x:v>Konzentriert euch auf die große, dauerhaft sichtbare Form.</x:v>
      </x:c>
      <x:c r="O70" s="104" t="str">
        <x:v>Gleichörtiger Fallback gemäß Ortszuordnung: V03-Punkt; Die Bodenmarkierung muss vor Veröffentlichung auf einem aktuellen Bild eindeutig lokalisiert werden.</x:v>
      </x:c>
      <x:c r="P70" s="104" t="str">
        <x:v>Kein Grundabschlussverlust</x:v>
      </x:c>
      <x:c r="Q70" s="104" t="str">
        <x:v>FIELD_CHECK_REQUIRED</x:v>
      </x:c>
      <x:c r="R70" s="104" t="str">
        <x:v>https://www.turismoroma.it/it/luoghi/piazza-san-pietro</x:v>
      </x:c>
    </x:row>
    <x:row r="71" ht="82" customHeight="1">
      <x:c r="A71" s="101" t="str">
        <x:v>OBS-M-D1-02-1</x:v>
      </x:c>
      <x:c r="B71" s="101" t="str">
        <x:v>M-D1-02</x:v>
      </x:c>
      <x:c r="C71" s="101" t="str">
        <x:v>station_1</x:v>
      </x:c>
      <x:c r="D71" s="101" t="str">
        <x:v>place_day_1_ponte_sant_angelo</x:v>
      </x:c>
      <x:c r="E71" s="101" t="str">
        <x:v>Engelsbrücke</x:v>
      </x:c>
      <x:c r="F71" s="101" t="str">
        <x:v>OBSERVATION_INPUT</x:v>
      </x:c>
      <x:c r="G71" s="101" t="str">
        <x:v>Wie viele Engel auf der Brücke tragen Symbole der Passion Christi? Zählt Petrus und Paulus an den Brückenköpfen nicht mit.</x:v>
      </x:c>
      <x:c r="H71" s="101" t="str"/>
      <x:c r="I71" s="101" t="str">
        <x:v>10</x:v>
      </x:c>
      <x:c r="J71" s="101" t="str">
        <x:v>10</x:v>
      </x:c>
      <x:c r="K71" s="101" t="str">
        <x:v>Zehn große Engelsfiguren auf beiden Balustraden; Petrus und Paulus stehen getrennt an den Brückenköpfen.</x:v>
      </x:c>
      <x:c r="L71" s="101" t="str">
        <x:v>A</x:v>
      </x:c>
      <x:c r="M71" s="101" t="str">
        <x:v>Blickt auf: Zehn große Engelsfiguren auf beiden Balustraden; Petrus und Paulus stehen getrennt an den Brückenköpfen.</x:v>
      </x:c>
      <x:c r="N71" s="101" t="str">
        <x:v>Konzentriert euch auf die große, dauerhaft sichtbare Form.</x:v>
      </x:c>
      <x:c r="O71" s="101" t="str">
        <x:v>Gleichörtiger Fallback gemäß Ortszuordnung: V03-Punkt; VISUAL_EVIDENCE_NOT_YET_VERIFIED|CROWDING_RISK</x:v>
      </x:c>
      <x:c r="P71" s="101" t="str">
        <x:v>Kein Grundabschlussverlust</x:v>
      </x:c>
      <x:c r="Q71" s="101" t="str">
        <x:v>REMOTE_REVIEW</x:v>
      </x:c>
      <x:c r="R71" s="101" t="str">
        <x:v>https://www.turismoroma.it/en/places/terrace-castel-santangelo</x:v>
      </x:c>
    </x:row>
    <x:row r="72" ht="82" customHeight="1">
      <x:c r="A72" s="104" t="str">
        <x:v>OBS-M-D1-03-1</x:v>
      </x:c>
      <x:c r="B72" s="104" t="str">
        <x:v>M-D1-03</x:v>
      </x:c>
      <x:c r="C72" s="104" t="str">
        <x:v>station_1</x:v>
      </x:c>
      <x:c r="D72" s="104" t="str">
        <x:v>place_day_1_piazza_navona</x:v>
      </x:c>
      <x:c r="E72" s="104" t="str">
        <x:v>Piazza Navona</x:v>
      </x:c>
      <x:c r="F72" s="104" t="str">
        <x:v>OBSERVATION_INPUT</x:v>
      </x:c>
      <x:c r="G72" s="104" t="str">
        <x:v>Wie viele große Brunnen liegen entlang der Längsachse der Piazza Navona?</x:v>
      </x:c>
      <x:c r="H72" s="104" t="str"/>
      <x:c r="I72" s="104" t="str">
        <x:v>Drei</x:v>
      </x:c>
      <x:c r="J72" s="104" t="str">
        <x:v>Drei</x:v>
      </x:c>
      <x:c r="K72" s="104" t="str">
        <x:v>Drei weit auseinanderliegende Großbrunnen entlang der Platzachse.</x:v>
      </x:c>
      <x:c r="L72" s="104" t="str">
        <x:v>A</x:v>
      </x:c>
      <x:c r="M72" s="104" t="str">
        <x:v>Blickt auf: Drei weit auseinanderliegende Großbrunnen entlang der Platzachse.</x:v>
      </x:c>
      <x:c r="N72" s="104" t="str">
        <x:v>Konzentriert euch auf die große, dauerhaft sichtbare Form.</x:v>
      </x:c>
      <x:c r="O72" s="104" t="str">
        <x:v>Gleichörtiger Fallback gemäß Ortszuordnung: V03-Punkt; Für die Medienquest sind alle drei Brunnen als separate Fotostationen zu markieren.</x:v>
      </x:c>
      <x:c r="P72" s="104" t="str">
        <x:v>Kein Grundabschlussverlust</x:v>
      </x:c>
      <x:c r="Q72" s="104" t="str">
        <x:v>REMOTE_REVIEW</x:v>
      </x:c>
      <x:c r="R72" s="104" t="str">
        <x:v>https://it.wikipedia.org/wiki/Piazza_Navona</x:v>
      </x:c>
    </x:row>
    <x:row r="73" ht="82" customHeight="1">
      <x:c r="A73" s="101" t="str">
        <x:v>OBS-M-D1-03-2</x:v>
      </x:c>
      <x:c r="B73" s="101" t="str">
        <x:v>M-D1-03</x:v>
      </x:c>
      <x:c r="C73" s="101" t="str">
        <x:v>station_2</x:v>
      </x:c>
      <x:c r="D73" s="101" t="str">
        <x:v>place_day_1_fontana_del_nettuno</x:v>
      </x:c>
      <x:c r="E73" s="101" t="str">
        <x:v>Neptunsbrunnen</x:v>
      </x:c>
      <x:c r="F73" s="101" t="str">
        <x:v>OBSERVATION_INPUT</x:v>
      </x:c>
      <x:c r="G73" s="101" t="str">
        <x:v>Mit welchem Meerestier ringt Neptun in der zentralen Skulptur?</x:v>
      </x:c>
      <x:c r="H73" s="101" t="str"/>
      <x:c r="I73" s="101" t="str">
        <x:v>Mit einem Oktopus</x:v>
      </x:c>
      <x:c r="J73" s="101" t="str">
        <x:v>Mit einem Oktopus</x:v>
      </x:c>
      <x:c r="K73" s="101" t="str">
        <x:v>Große zentrale Neptunfigur im Ringkampf mit einem vielarmigen Meerestier.</x:v>
      </x:c>
      <x:c r="L73" s="101" t="str">
        <x:v>A</x:v>
      </x:c>
      <x:c r="M73" s="101" t="str">
        <x:v>Blickt auf: Große zentrale Neptunfigur im Ringkampf mit einem vielarmigen Meerestier.</x:v>
      </x:c>
      <x:c r="N73" s="101" t="str">
        <x:v>Konzentriert euch auf die große, dauerhaft sichtbare Form.</x:v>
      </x:c>
      <x:c r="O73" s="101" t="str">
        <x:v>Gleichörtiger Fallback gemäß Ortszuordnung: V03-Punkt; VISUAL_EVIDENCE_NOT_YET_VERIFIED|CROWDING_RISK</x:v>
      </x:c>
      <x:c r="P73" s="101" t="str">
        <x:v>Kein Grundabschlussverlust</x:v>
      </x:c>
      <x:c r="Q73" s="101" t="str">
        <x:v>REMOTE_REVIEW</x:v>
      </x:c>
      <x:c r="R73" s="101" t="str">
        <x:v>https://it.wikipedia.org/wiki/Fontana_del_Nettuno_(Roma)</x:v>
      </x:c>
    </x:row>
    <x:row r="74" ht="82" customHeight="1">
      <x:c r="A74" s="104" t="str">
        <x:v>OBS-M-D1-03-3</x:v>
      </x:c>
      <x:c r="B74" s="104" t="str">
        <x:v>M-D1-03</x:v>
      </x:c>
      <x:c r="C74" s="104" t="str">
        <x:v>station_3</x:v>
      </x:c>
      <x:c r="D74" s="104" t="str">
        <x:v>place_day_1_fontana_del_moro</x:v>
      </x:c>
      <x:c r="E74" s="104" t="str">
        <x:v>Mohrenbrunnen</x:v>
      </x:c>
      <x:c r="F74" s="104" t="str">
        <x:v>OBSERVATION_INPUT</x:v>
      </x:c>
      <x:c r="G74" s="104" t="str">
        <x:v>Welches Tier hält die zentrale Figur des Mohrenbrunnens fest?</x:v>
      </x:c>
      <x:c r="H74" s="104" t="str"/>
      <x:c r="I74" s="104" t="str">
        <x:v>Einen Delfin</x:v>
      </x:c>
      <x:c r="J74" s="104" t="str">
        <x:v>Einen Delfin</x:v>
      </x:c>
      <x:c r="K74" s="104" t="str">
        <x:v>Zentrale männliche Figur mit Delfin; vier Tritonen im unteren Becken.</x:v>
      </x:c>
      <x:c r="L74" s="104" t="str">
        <x:v>A</x:v>
      </x:c>
      <x:c r="M74" s="104" t="str">
        <x:v>Blickt auf: Zentrale männliche Figur mit Delfin; vier Tritonen im unteren Becken.</x:v>
      </x:c>
      <x:c r="N74" s="104" t="str">
        <x:v>Konzentriert euch auf die große, dauerhaft sichtbare Form.</x:v>
      </x:c>
      <x:c r="O74" s="104" t="str">
        <x:v>Gleichörtiger Fallback gemäß Ortszuordnung: V03-Punkt; VISUAL_EVIDENCE_NOT_YET_VERIFIED|CROWDING_RISK</x:v>
      </x:c>
      <x:c r="P74" s="104" t="str">
        <x:v>Kein Grundabschlussverlust</x:v>
      </x:c>
      <x:c r="Q74" s="104" t="str">
        <x:v>REMOTE_REVIEW</x:v>
      </x:c>
      <x:c r="R74" s="104" t="str">
        <x:v>https://it.wikipedia.org/wiki/Fontana_del_Moro</x:v>
      </x:c>
    </x:row>
    <x:row r="75" ht="82" customHeight="1">
      <x:c r="A75" s="101" t="str">
        <x:v>OBS-M-LT-01-1</x:v>
      </x:c>
      <x:c r="B75" s="101" t="str">
        <x:v>M-LT-01</x:v>
      </x:c>
      <x:c r="C75" s="101" t="str">
        <x:v>station_1</x:v>
      </x:c>
      <x:c r="D75" s="101" t="str">
        <x:v>place_day_1_teatro_di_marcello</x:v>
      </x:c>
      <x:c r="E75" s="101" t="str">
        <x:v>Marcellustheater</x:v>
      </x:c>
      <x:c r="F75" s="101" t="str">
        <x:v>OBSERVATION_INPUT</x:v>
      </x:c>
      <x:c r="G75" s="101" t="str">
        <x:v>Wie viele übereinanderliegende antike Arkadengeschosse sind von außen klar sichtbar?</x:v>
      </x:c>
      <x:c r="H75" s="101" t="str"/>
      <x:c r="I75" s="101" t="str">
        <x:v>Zwei</x:v>
      </x:c>
      <x:c r="J75" s="101" t="str">
        <x:v>Zwei</x:v>
      </x:c>
      <x:c r="K75" s="101" t="str">
        <x:v>Zwei übereinanderliegende antike Arkadenebenen unter einem späteren Wohnpalast.</x:v>
      </x:c>
      <x:c r="L75" s="101" t="str">
        <x:v>A</x:v>
      </x:c>
      <x:c r="M75" s="101" t="str">
        <x:v>Blickt auf: Zwei übereinanderliegende antike Arkadenebenen unter einem späteren Wohnpalast.</x:v>
      </x:c>
      <x:c r="N75" s="101" t="str">
        <x:v>Konzentriert euch auf die große, dauerhaft sichtbare Form.</x:v>
      </x:c>
      <x:c r="O75" s="101" t="str">
        <x:v>Gleichörtiger Fallback gemäß Ortszuordnung: V03-Punkt; Offizieller Fußweg erlaubt Außenbesichtigung; Medienquest-Pickup ohne Zugang zu Innenräumen.</x:v>
      </x:c>
      <x:c r="P75" s="101" t="str">
        <x:v>Kein Grundabschlussverlust</x:v>
      </x:c>
      <x:c r="Q75" s="101" t="str">
        <x:v>REMOTE_REVIEW</x:v>
      </x:c>
      <x:c r="R75" s="101" t="str">
        <x:v>https://www.turismoroma.it/it/luoghi/teatro-di-marcello</x:v>
      </x:c>
    </x:row>
    <x:row r="76" ht="82" customHeight="1">
      <x:c r="A76" s="104" t="str">
        <x:v>OBS-M-D2-01-1</x:v>
      </x:c>
      <x:c r="B76" s="104" t="str">
        <x:v>M-D2-01</x:v>
      </x:c>
      <x:c r="C76" s="104" t="str">
        <x:v>station_1</x:v>
      </x:c>
      <x:c r="D76" s="104" t="str">
        <x:v>place_day_2_circo_massimo</x:v>
      </x:c>
      <x:c r="E76" s="104" t="str">
        <x:v>Circus Maximus</x:v>
      </x:c>
      <x:c r="F76" s="104" t="str">
        <x:v>OBSERVATION_INPUT</x:v>
      </x:c>
      <x:c r="G76" s="104" t="str">
        <x:v>Zwischen welchen zwei Hügeln liegt der Circus Maximus?</x:v>
      </x:c>
      <x:c r="H76" s="104" t="str"/>
      <x:c r="I76" s="104" t="str">
        <x:v>Palatin und Aventin</x:v>
      </x:c>
      <x:c r="J76" s="104" t="str">
        <x:v>Palatin und Aventin</x:v>
      </x:c>
      <x:c r="K76" s="104" t="str">
        <x:v>Sehr große langgestreckte Senke der Rennbahn zwischen zwei Hügeln.</x:v>
      </x:c>
      <x:c r="L76" s="104" t="str">
        <x:v>A</x:v>
      </x:c>
      <x:c r="M76" s="104" t="str">
        <x:v>Blickt auf: Sehr große langgestreckte Senke der Rennbahn zwischen zwei Hügeln.</x:v>
      </x:c>
      <x:c r="N76" s="104" t="str">
        <x:v>Konzentriert euch auf die große, dauerhaft sichtbare Form.</x:v>
      </x:c>
      <x:c r="O76" s="104" t="str">
        <x:v>Gleichörtiger Fallback gemäß Ortszuordnung: Official Turismo Roma coordinate; page states that the site is always open. The photoquest must remain in the freely accessible open area.; Fotoquest Streitwagenrennen: exakt fünf Bilder; Pickup und Upload am selben Außenpunkt im 15-m-Radius.</x:v>
      </x:c>
      <x:c r="P76" s="104" t="str">
        <x:v>Kein Grundabschlussverlust</x:v>
      </x:c>
      <x:c r="Q76" s="104" t="str">
        <x:v>REMOTE_REVIEW</x:v>
      </x:c>
      <x:c r="R76" s="104" t="str">
        <x:v>https://www.turismoroma.it/en/places/circus-maximus</x:v>
      </x:c>
    </x:row>
    <x:row r="77" ht="82" customHeight="1">
      <x:c r="A77" s="101" t="str">
        <x:v>OBS-M-D2-02-1</x:v>
      </x:c>
      <x:c r="B77" s="101" t="str">
        <x:v>M-D2-02</x:v>
      </x:c>
      <x:c r="C77" s="101" t="str">
        <x:v>station_1</x:v>
      </x:c>
      <x:c r="D77" s="101" t="str">
        <x:v>place_day_2_colosseo</x:v>
      </x:c>
      <x:c r="E77" s="101" t="str">
        <x:v>Kolosseum</x:v>
      </x:c>
      <x:c r="F77" s="101" t="str">
        <x:v>OBSERVATION_INPUT</x:v>
      </x:c>
      <x:c r="G77" s="101" t="str">
        <x:v>Wie viele übereinanderliegende Reihen offener Arkaden sind an der hohen Außenwand sichtbar?</x:v>
      </x:c>
      <x:c r="H77" s="101" t="str"/>
      <x:c r="I77" s="101" t="str">
        <x:v>Drei</x:v>
      </x:c>
      <x:c r="J77" s="101" t="str">
        <x:v>Drei</x:v>
      </x:c>
      <x:c r="K77" s="101" t="str">
        <x:v>Drei große Reihen offener Arkaden an der hohen erhaltenen Außenwand.</x:v>
      </x:c>
      <x:c r="L77" s="101" t="str">
        <x:v>A</x:v>
      </x:c>
      <x:c r="M77" s="101" t="str">
        <x:v>Blickt auf: Drei große Reihen offener Arkaden an der hohen erhaltenen Außenwand.</x:v>
      </x:c>
      <x:c r="N77" s="101" t="str">
        <x:v>Konzentriert euch auf die große, dauerhaft sichtbare Form.</x:v>
      </x:c>
      <x:c r="O77" s="101" t="str">
        <x:v>Gleichörtiger Fallback gemäß Ortszuordnung: Moved from the monument centroid to Piazza del Colosseo for the exterior photoquest. No ticket, queue or archaeological-area entry may be required.; Außenkoordinate verwenden; weder Eintritt noch Sicherheitskontrolle dürfen erforderlich sein.</x:v>
      </x:c>
      <x:c r="P77" s="101" t="str">
        <x:v>Kein Grundabschlussverlust</x:v>
      </x:c>
      <x:c r="Q77" s="101" t="str">
        <x:v>REMOTE_REVIEW</x:v>
      </x:c>
      <x:c r="R77" s="101" t="str">
        <x:v>https://it.wikipedia.org/wiki/Colosseo</x:v>
      </x:c>
    </x:row>
    <x:row r="78" ht="82" customHeight="1">
      <x:c r="A78" s="104" t="str">
        <x:v>OBS-M-D2-03-1</x:v>
      </x:c>
      <x:c r="B78" s="104" t="str">
        <x:v>M-D2-03</x:v>
      </x:c>
      <x:c r="C78" s="104" t="str">
        <x:v>station_1</x:v>
      </x:c>
      <x:c r="D78" s="104" t="str">
        <x:v>place_day_2_mercati_di_traiano</x:v>
      </x:c>
      <x:c r="E78" s="104" t="str">
        <x:v>Trajansmärkte</x:v>
      </x:c>
      <x:c r="F78" s="104" t="str">
        <x:v>OBSERVATION_INPUT</x:v>
      </x:c>
      <x:c r="G78" s="104" t="str">
        <x:v>Welche Form beschreibt die große Außenfassade am besten?</x:v>
      </x:c>
      <x:c r="H78" s="104" t="str"/>
      <x:c r="I78" s="104" t="str">
        <x:v>Halbkreisförmig</x:v>
      </x:c>
      <x:c r="J78" s="104" t="str">
        <x:v>Halbkreisförmig</x:v>
      </x:c>
      <x:c r="K78" s="104" t="str">
        <x:v>Mehrgeschossiger Ziegel-Halbkreis mit vielen Bogenöffnungen, vom öffentlichen Bereich Via IV Novembre sichtbar.</x:v>
      </x:c>
      <x:c r="L78" s="104" t="str">
        <x:v>A</x:v>
      </x:c>
      <x:c r="M78" s="104" t="str">
        <x:v>Blickt auf: Mehrgeschossiger Ziegel-Halbkreis mit vielen Bogenöffnungen, vom öffentlichen Bereich Via IV Novembre sichtbar.</x:v>
      </x:c>
      <x:c r="N78" s="104" t="str">
        <x:v>Konzentriert euch auf die große, dauerhaft sichtbare Form.</x:v>
      </x:c>
      <x:c r="O78" s="104" t="str">
        <x:v>Gleichörtiger Fallback gemäß Ortszuordnung: Videoquest point uses the official Via Quattro Novembre 94 address outside the paid museum. Verify an unobstructed public pavement position before release.; Videoquest ausschließlich am öffentlichen Außenpunkt; Museumseintritt ist nicht Bestandteil.</x:v>
      </x:c>
      <x:c r="P78" s="104" t="str">
        <x:v>Kein Grundabschlussverlust</x:v>
      </x:c>
      <x:c r="Q78" s="104" t="str">
        <x:v>REMOTE_REVIEW</x:v>
      </x:c>
      <x:c r="R78" s="104" t="str">
        <x:v>https://www.mercatiditraiano.it/en/museo/sede/mercati_di_traiano_storia</x:v>
      </x:c>
    </x:row>
    <x:row r="79" ht="82" customHeight="1">
      <x:c r="A79" s="101" t="str">
        <x:v>OBS-H-D1-01-1</x:v>
      </x:c>
      <x:c r="B79" s="101" t="str">
        <x:v>H-D1-01</x:v>
      </x:c>
      <x:c r="C79" s="101" t="str">
        <x:v>station_1</x:v>
      </x:c>
      <x:c r="D79" s="101" t="str">
        <x:v>place_day_1_fontana_delle_tartarughe</x:v>
      </x:c>
      <x:c r="E79" s="101" t="str">
        <x:v>Fontana delle Tartarughe</x:v>
      </x:c>
      <x:c r="F79" s="101" t="str">
        <x:v>OBSERVATION_INPUT</x:v>
      </x:c>
      <x:c r="G79" s="101" t="str">
        <x:v>Wie viele Schildkröten klettern zum oberen Becken?</x:v>
      </x:c>
      <x:c r="H79" s="101" t="str"/>
      <x:c r="I79" s="101" t="str">
        <x:v>Vier</x:v>
      </x:c>
      <x:c r="J79" s="101" t="str">
        <x:v>Vier</x:v>
      </x:c>
      <x:c r="K79" s="101" t="str">
        <x:v>Vier deutlich sichtbare Schildkröten am Rand des oberen Beckens.</x:v>
      </x:c>
      <x:c r="L79" s="101" t="str">
        <x:v>A</x:v>
      </x:c>
      <x:c r="M79" s="101" t="str">
        <x:v>Blickt auf: Vier deutlich sichtbare Schildkröten am Rand des oberen Beckens.</x:v>
      </x:c>
      <x:c r="N79" s="101" t="str">
        <x:v>Konzentriert euch auf die große, dauerhaft sichtbare Form.</x:v>
      </x:c>
      <x:c r="O79" s="101" t="str">
        <x:v>Gleichörtiger Fallback gemäß Ortszuordnung: Corrected an erroneous OSM-derived point to the official Turismo Roma coordinate in Piazza Mattei.; VISUAL_EVIDENCE_NOT_YET_VERIFIED</x:v>
      </x:c>
      <x:c r="P79" s="101" t="str">
        <x:v>Kein Grundabschlussverlust</x:v>
      </x:c>
      <x:c r="Q79" s="101" t="str">
        <x:v>REMOTE_REVIEW</x:v>
      </x:c>
      <x:c r="R79" s="101" t="str">
        <x:v>https://www.turismoroma.it/it/luoghi/fontana-delle-tartarughe</x:v>
      </x:c>
    </x:row>
    <x:row r="80" ht="82" customHeight="1">
      <x:c r="A80" s="104" t="str">
        <x:v>OBS-H-D1-02-1</x:v>
      </x:c>
      <x:c r="B80" s="104" t="str">
        <x:v>H-D1-02</x:v>
      </x:c>
      <x:c r="C80" s="104" t="str">
        <x:v>station_1</x:v>
      </x:c>
      <x:c r="D80" s="104" t="str">
        <x:v>place_day_1_acquedotto_vergine</x:v>
      </x:c>
      <x:c r="E80" s="104" t="str">
        <x:v>Acquedotto Vergine</x:v>
      </x:c>
      <x:c r="F80" s="104" t="str">
        <x:v>OBSERVATION_INPUT</x:v>
      </x:c>
      <x:c r="G80" s="104" t="str">
        <x:v>Wie viele kleinere antike Arkaden sind in der Via del Nazareno nebeneinander erhalten?</x:v>
      </x:c>
      <x:c r="H80" s="104" t="str"/>
      <x:c r="I80" s="104" t="str">
        <x:v>Drei</x:v>
      </x:c>
      <x:c r="J80" s="104" t="str">
        <x:v>Drei</x:v>
      </x:c>
      <x:c r="K80" s="104" t="str">
        <x:v>Drei teilweise im heutigen Bodenniveau versunkene Travertinarkaden hinter einer Absperrung.</x:v>
      </x:c>
      <x:c r="L80" s="104" t="str">
        <x:v>B</x:v>
      </x:c>
      <x:c r="M80" s="104" t="str">
        <x:v>Blickt auf: Drei teilweise im heutigen Bodenniveau versunkene Travertinarkaden hinter einer Absperrung.</x:v>
      </x:c>
      <x:c r="N80" s="104" t="str">
        <x:v>Konzentriert euch auf die große, dauerhaft sichtbare Form.</x:v>
      </x:c>
      <x:c r="O80" s="104" t="str">
        <x:v>Gleichörtiger Fallback gemäß Ortszuordnung: V03-Punkt; Die Arkaden sind teilweise eingetieft und durch Gitter verdeckt; nur nach aktuellem Sichttest als Pflichtfrage einsetzen.</x:v>
      </x:c>
      <x:c r="P80" s="104" t="str">
        <x:v>Kein Grundabschlussverlust</x:v>
      </x:c>
      <x:c r="Q80" s="104" t="str">
        <x:v>FIELD_CHECK_REQUIRED</x:v>
      </x:c>
      <x:c r="R80" s="104" t="str">
        <x:v>https://www.sovraintendenzaroma.it/i_luoghi/roma_antica/monumenti/acquedotto_vergine</x:v>
      </x:c>
    </x:row>
    <x:row r="81" ht="82" customHeight="1">
      <x:c r="A81" s="101" t="str">
        <x:v>OBS-H-D1-03-1</x:v>
      </x:c>
      <x:c r="B81" s="101" t="str">
        <x:v>H-D1-03</x:v>
      </x:c>
      <x:c r="C81" s="101" t="str">
        <x:v>station_1</x:v>
      </x:c>
      <x:c r="D81" s="101" t="str">
        <x:v>place_day_1_fontana_dei_satirelli</x:v>
      </x:c>
      <x:c r="E81" s="101" t="str">
        <x:v>Fontana dei Satirelli</x:v>
      </x:c>
      <x:c r="F81" s="101" t="str">
        <x:v>OBSERVATION_INPUT</x:v>
      </x:c>
      <x:c r="G81" s="101" t="str">
        <x:v>Welche mythologischen Wesen bilden die zentrale Figurengruppe?</x:v>
      </x:c>
      <x:c r="H81" s="101" t="str"/>
      <x:c r="I81" s="101" t="str">
        <x:v>Satyrn</x:v>
      </x:c>
      <x:c r="J81" s="101" t="str">
        <x:v>Satyrn</x:v>
      </x:c>
      <x:c r="K81" s="101" t="str">
        <x:v>Figürliche Gruppe kleiner Satyrwesen auf einer Felsinszenierung.</x:v>
      </x:c>
      <x:c r="L81" s="101" t="str">
        <x:v>B</x:v>
      </x:c>
      <x:c r="M81" s="101" t="str">
        <x:v>Blickt auf: Figürliche Gruppe kleiner Satyrwesen auf einer Felsinszenierung.</x:v>
      </x:c>
      <x:c r="N81" s="101" t="str">
        <x:v>Konzentriert euch auf die große, dauerhaft sichtbare Form.</x:v>
      </x:c>
      <x:c r="O81" s="101" t="str">
        <x:v>Gleichörtiger Fallback gemäß Ortszuordnung: V03-Punkt; Nur nutzen, wenn Villa Sciarra zu den Spielzeiten sicher geöffnet ist; sonst als Hidden/Reserve.</x:v>
      </x:c>
      <x:c r="P81" s="101" t="str">
        <x:v>Kein Grundabschlussverlust</x:v>
      </x:c>
      <x:c r="Q81" s="101" t="str">
        <x:v>FIELD_CHECK_REQUIRED</x:v>
      </x:c>
      <x:c r="R81" s="101" t="str">
        <x:v>https://www.comune.roma.it/web/it/attivita-progetto.page?contentId=PRG1072554</x:v>
      </x:c>
    </x:row>
    <x:row r="82" ht="82" customHeight="1">
      <x:c r="A82" s="104" t="str">
        <x:v>OBS-H-D2-01-1</x:v>
      </x:c>
      <x:c r="B82" s="104" t="str">
        <x:v>H-D2-01</x:v>
      </x:c>
      <x:c r="C82" s="104" t="str">
        <x:v>station_1</x:v>
      </x:c>
      <x:c r="D82" s="104" t="str">
        <x:v>place_day_2_piazza_vittorio_emanuele_secondo</x:v>
      </x:c>
      <x:c r="E82" s="104" t="str">
        <x:v>Piazza Vittorio Emanuele Secondo</x:v>
      </x:c>
      <x:c r="F82" s="104" t="str">
        <x:v>OBSERVATION_INPUT</x:v>
      </x:c>
      <x:c r="G82" s="104" t="str">
        <x:v>Wie viele steinerne Wächterfiguren flankieren die Porta Magica?</x:v>
      </x:c>
      <x:c r="H82" s="104" t="str"/>
      <x:c r="I82" s="104" t="str">
        <x:v>Zwei</x:v>
      </x:c>
      <x:c r="J82" s="104" t="str">
        <x:v>Zwei</x:v>
      </x:c>
      <x:c r="K82" s="104" t="str">
        <x:v>Porta Magica mit alchemistischen Inschriften und zwei massiven Wächterfiguren.</x:v>
      </x:c>
      <x:c r="L82" s="104" t="str">
        <x:v>B</x:v>
      </x:c>
      <x:c r="M82" s="104" t="str">
        <x:v>Blickt auf: Porta Magica mit alchemistischen Inschriften und zwei massiven Wächterfiguren.</x:v>
      </x:c>
      <x:c r="N82" s="104" t="str">
        <x:v>Konzentriert euch auf die große, dauerhaft sichtbare Form.</x:v>
      </x:c>
      <x:c r="O82" s="104" t="str">
        <x:v>Gleichörtiger Fallback gemäß Ortszuordnung: V03-Punkt; Nur innerhalb der sicheren Tagesöffnung des Gartens einplanen; bei Sperre gleichörtige Platzaufgabe bereitstellen.</x:v>
      </x:c>
      <x:c r="P82" s="104" t="str">
        <x:v>Kein Grundabschlussverlust</x:v>
      </x:c>
      <x:c r="Q82" s="104" t="str">
        <x:v>FIELD_CHECK_REQUIRED</x:v>
      </x:c>
      <x:c r="R82" s="104" t="str">
        <x:v>https://it.wikipedia.org/wiki/Piazza_Vittorio_Emanuele_II_(Roma)</x:v>
      </x:c>
    </x:row>
    <x:row r="83" ht="82" customHeight="1">
      <x:c r="A83" s="101" t="str">
        <x:v>OBS-H-D2-02-1</x:v>
      </x:c>
      <x:c r="B83" s="101" t="str">
        <x:v>H-D2-02</x:v>
      </x:c>
      <x:c r="C83" s="101" t="str">
        <x:v>station_1</x:v>
      </x:c>
      <x:c r="D83" s="101" t="str">
        <x:v>place_day_2_piazza_dante</x:v>
      </x:c>
      <x:c r="E83" s="101" t="str">
        <x:v>Piazza Dante</x:v>
      </x:c>
      <x:c r="F83" s="101" t="str">
        <x:v>OBSERVATION_INPUT</x:v>
      </x:c>
      <x:c r="G83" s="101" t="str">
        <x:v>Welches Navigationssymbol bildet das Pflaster im Garten?</x:v>
      </x:c>
      <x:c r="H83" s="101" t="str"/>
      <x:c r="I83" s="101" t="str">
        <x:v>Eine Windrose</x:v>
      </x:c>
      <x:c r="J83" s="101" t="str">
        <x:v>Eine Windrose</x:v>
      </x:c>
      <x:c r="K83" s="101" t="str">
        <x:v>Große Rose der Winde aus Ziegel und Travertin im Gartenpflaster.</x:v>
      </x:c>
      <x:c r="L83" s="101" t="str">
        <x:v>B</x:v>
      </x:c>
      <x:c r="M83" s="101" t="str">
        <x:v>Blickt auf: Große Rose der Winde aus Ziegel und Travertin im Gartenpflaster.</x:v>
      </x:c>
      <x:c r="N83" s="101" t="str">
        <x:v>Konzentriert euch auf die große, dauerhaft sichtbare Form.</x:v>
      </x:c>
      <x:c r="O83" s="101" t="str">
        <x:v>Gleichörtiger Fallback gemäß Ortszuordnung: V03-Punkt; Der Garten ist offiziell von Morgendämmerung bis Abenddämmerung geöffnet; für Tag 2 zeitlich voraussichtlich passend, aber Fallback vorsehen.</x:v>
      </x:c>
      <x:c r="P83" s="101" t="str">
        <x:v>Kein Grundabschlussverlust</x:v>
      </x:c>
      <x:c r="Q83" s="101" t="str">
        <x:v>FIELD_CHECK_REQUIRED</x:v>
      </x:c>
      <x:c r="R83" s="101" t="str">
        <x:v>https://www.turismoroma.it/it/luoghi/giardino-di-piazza-dante</x:v>
      </x:c>
    </x:row>
    <x:row r="84" ht="82" customHeight="1">
      <x:c r="A84" s="104" t="str">
        <x:v>OBS-B-D1-01-1</x:v>
      </x:c>
      <x:c r="B84" s="104" t="str">
        <x:v>B-D1-01</x:v>
      </x:c>
      <x:c r="C84" s="104" t="str">
        <x:v>station_1</x:v>
      </x:c>
      <x:c r="D84" s="104" t="str">
        <x:v>place_day_1_terrazza_del_gianicolo</x:v>
      </x:c>
      <x:c r="E84" s="104" t="str">
        <x:v>Terrazza del Gianicolo</x:v>
      </x:c>
      <x:c r="F84" s="104" t="str">
        <x:v>OBSERVATION_INPUT</x:v>
      </x:c>
      <x:c r="G84" s="104" t="str">
        <x:v>Gehört der Gianicolo zu den klassischen sieben Hügeln des antiken Rom?</x:v>
      </x:c>
      <x:c r="H84" s="104" t="str"/>
      <x:c r="I84" s="104" t="str">
        <x:v>Nein</x:v>
      </x:c>
      <x:c r="J84" s="104" t="str">
        <x:v>Nein</x:v>
      </x:c>
      <x:c r="K84" s="104" t="str">
        <x:v>Weite, offene Aussichtsterrasse beim Garibaldi-Denkmal; geeignet als sichere Bossbühne, nicht als kleines Suchobjekt.</x:v>
      </x:c>
      <x:c r="L84" s="104" t="str">
        <x:v>A</x:v>
      </x:c>
      <x:c r="M84" s="104" t="str">
        <x:v>Blickt auf: Weite, offene Aussichtsterrasse beim Garibaldi-Denkmal; geeignet als sichere Bossbühne, nicht als kleines Suchobjekt.</x:v>
      </x:c>
      <x:c r="N84" s="104" t="str">
        <x:v>Konzentriert euch auf die große, dauerhaft sichtbare Form.</x:v>
      </x:c>
      <x:c r="O84" s="104" t="str">
        <x:v>Gleichörtiger Fallback gemäß Ortszuordnung: V03-Punkt; Primär Weltboss-Ort. Kampftrigger großzügig setzen und vom Straßenverkehr abwenden.</x:v>
      </x:c>
      <x:c r="P84" s="104" t="str">
        <x:v>Kein Grundabschlussverlust</x:v>
      </x:c>
      <x:c r="Q84" s="104" t="str">
        <x:v>REMOTE_REVIEW</x:v>
      </x:c>
      <x:c r="R84" s="104" t="str">
        <x:v>https://www.openstreetmap.org/node/1001130475</x:v>
      </x:c>
    </x:row>
    <x:row r="85" ht="82" customHeight="1">
      <x:c r="A85" s="101" t="str">
        <x:v>OBS-B-D2-01-1</x:v>
      </x:c>
      <x:c r="B85" s="101" t="str">
        <x:v>B-D2-01</x:v>
      </x:c>
      <x:c r="C85" s="101" t="str">
        <x:v>station_1</x:v>
      </x:c>
      <x:c r="D85" s="101" t="str">
        <x:v>place_day_2_basilica_di_santa_maria_maggiore</x:v>
      </x:c>
      <x:c r="E85" s="101" t="str">
        <x:v>Basilika Groß Sankt Marien</x:v>
      </x:c>
      <x:c r="F85" s="101" t="str">
        <x:v>OBSERVATION_INPUT</x:v>
      </x:c>
      <x:c r="G85" s="101" t="str">
        <x:v>Wie viele große Öffnungen besitzt die zentrale obere Loggia der Hauptfassade?</x:v>
      </x:c>
      <x:c r="H85" s="101" t="str"/>
      <x:c r="I85" s="101" t="str">
        <x:v>Drei</x:v>
      </x:c>
      <x:c r="J85" s="101" t="str">
        <x:v>Drei</x:v>
      </x:c>
      <x:c r="K85" s="101" t="str">
        <x:v>Monumentale Fassade mit zentraler oberer Loggia und Marienbezug; großer öffentlicher Platz davor.</x:v>
      </x:c>
      <x:c r="L85" s="101" t="str">
        <x:v>B</x:v>
      </x:c>
      <x:c r="M85" s="101" t="str">
        <x:v>Blickt auf: Monumentale Fassade mit zentraler oberer Loggia und Marienbezug; großer öffentlicher Platz davor.</x:v>
      </x:c>
      <x:c r="N85" s="101" t="str">
        <x:v>Konzentriert euch auf die große, dauerhaft sichtbare Form.</x:v>
      </x:c>
      <x:c r="O85" s="101" t="str">
        <x:v>Gleichörtiger Fallback gemäß Ortszuordnung: World-boss staging point placed on Piazza di Santa Maria Maggiore, outside the basilica. No interior access may be required.; Primär Boss-Staging auf dem öffentlichen Platz. Die Loggiazahl muss auf aktuellem Frontalbild nochmals bestätigt werden.</x:v>
      </x:c>
      <x:c r="P85" s="101" t="str">
        <x:v>Kein Grundabschlussverlust</x:v>
      </x:c>
      <x:c r="Q85" s="101" t="str">
        <x:v>FIELD_CHECK_REQUIRED</x:v>
      </x:c>
      <x:c r="R85" s="101" t="str">
        <x:v>https://www.turismoroma.it/en/places/piazza-di-santa-maria-maggiore</x:v>
      </x:c>
    </x:row>
    <x:row r="86" ht="82" customHeight="1">
      <x:c r="A86" s="104" t="str">
        <x:v>PZ-D1-Q01</x:v>
      </x:c>
      <x:c r="B86" s="104" t="str">
        <x:v>D1-Q01</x:v>
      </x:c>
      <x:c r="C86" s="104" t="str">
        <x:v>synthesis</x:v>
      </x:c>
      <x:c r="D86" s="104" t="str">
        <x:v>place_day_1_castel_sant_angelo</x:v>
      </x:c>
      <x:c r="E86" s="104" t="str">
        <x:v>Engelsburg</x:v>
      </x:c>
      <x:c r="F86" s="104" t="str">
        <x:v>TEXT_CODE</x:v>
      </x:c>
      <x:c r="G86" s="104" t="str">
        <x:v>Der Gang schützt nur jene, die Treue nicht mit Lautstärke verwechseln. Gebt das lateinische Losungswort für Treue ein.</x:v>
      </x:c>
      <x:c r="H86" s="104" t="str"/>
      <x:c r="I86" s="104" t="str">
        <x:v>FIDES</x:v>
      </x:c>
      <x:c r="J86" s="104" t="str">
        <x:v>FIDES|TREUE</x:v>
      </x:c>
      <x:c r="K86" s="104" t="str">
        <x:v>Geschlossener Mauerzug des Passetto; die Lösung wird aus Konrads Dialog und dem sichtbaren Wegzusammenhang hergeleitet.</x:v>
      </x:c>
      <x:c r="L86" s="104" t="str">
        <x:v>A/B</x:v>
      </x:c>
      <x:c r="M86" s="104" t="str">
        <x:v>Das Wort beginnt mit F.</x:v>
      </x:c>
      <x:c r="N86" s="104" t="str">
        <x:v>Fünf Buchstaben: F _ D _ S.</x:v>
      </x:c>
      <x:c r="O86" s="104" t="str">
        <x:v>Auswahl: FIDES | GLORIA | PECUNIA</x:v>
      </x:c>
      <x:c r="P86" s="104" t="str">
        <x:v>Bonus -10 %</x:v>
      </x:c>
      <x:c r="Q86" s="104" t="str">
        <x:v>EDITORIAL_REVIEW</x:v>
      </x:c>
      <x:c r="R86" s="104" t="str">
        <x:v>https://www.turismoroma.it/en/places/santangelo-castle</x:v>
      </x:c>
    </x:row>
    <x:row r="87" ht="82" customHeight="1">
      <x:c r="A87" s="101" t="str">
        <x:v>PZ-D1-Q02</x:v>
      </x:c>
      <x:c r="B87" s="101" t="str">
        <x:v>D1-Q02</x:v>
      </x:c>
      <x:c r="C87" s="101" t="str">
        <x:v>synthesis</x:v>
      </x:c>
      <x:c r="D87" s="101" t="str">
        <x:v>place_day_1_porta_santo_spirito</x:v>
      </x:c>
      <x:c r="E87" s="101" t="str">
        <x:v>Porta Santo Spirito</x:v>
      </x:c>
      <x:c r="F87" s="101" t="str">
        <x:v>MATCH_AND_MC</x:v>
      </x:c>
      <x:c r="G87" s="101" t="str">
        <x:v>Ordnet jedem Tor sein robustes Merkmal zu und wählt anschließend den besten Sammelpunkt für eine kleine Nachhut.</x:v>
      </x:c>
      <x:c r="H87" s="101" t="str">
        <x:v>San Pellegrino = Stierwappen | Cavalleggeri = einzelner Restbogen | Santo Spirito = Säulen und leere Nischen</x:v>
      </x:c>
      <x:c r="I87" s="101" t="str">
        <x:v>SANTO_SPIRITO</x:v>
      </x:c>
      <x:c r="J87" s="101" t="str">
        <x:v>PORTA SANTO SPIRITO</x:v>
      </x:c>
      <x:c r="K87" s="101" t="str">
        <x:v>Großformen und Wappen aus der Ortszuordnung.</x:v>
      </x:c>
      <x:c r="L87" s="101" t="str">
        <x:v>A/B</x:v>
      </x:c>
      <x:c r="M87" s="101" t="str">
        <x:v>Vergleicht Breite und freie Sammelfläche.</x:v>
      </x:c>
      <x:c r="N87" s="101" t="str">
        <x:v>Das letzte Tor der Route besitzt den deutlichsten Mittelbogen.</x:v>
      </x:c>
      <x:c r="O87" s="101" t="str">
        <x:v>Nur San Pellegrino und Santo Spirito vergleichen.</x:v>
      </x:c>
      <x:c r="P87" s="101" t="str">
        <x:v>Kein Rüstungsbonus</x:v>
      </x:c>
      <x:c r="Q87" s="101" t="str">
        <x:v>EDITORIAL_REVIEW</x:v>
      </x:c>
      <x:c r="R87" s="101" t="str">
        <x:v>https://www.turismoroma.it/it/luoghi/porta-santo-spirito</x:v>
      </x:c>
    </x:row>
    <x:row r="88" ht="82" customHeight="1">
      <x:c r="A88" s="104" t="str">
        <x:v>PZ-D1-Q03</x:v>
      </x:c>
      <x:c r="B88" s="104" t="str">
        <x:v>D1-Q03</x:v>
      </x:c>
      <x:c r="C88" s="104" t="str">
        <x:v>synthesis</x:v>
      </x:c>
      <x:c r="D88" s="104" t="str">
        <x:v>place_day_1_porta_del_popolo</x:v>
      </x:c>
      <x:c r="E88" s="104" t="str">
        <x:v>Porta del Popolo</x:v>
      </x:c>
      <x:c r="F88" s="104" t="str">
        <x:v>MULTIPLE_CHOICE</x:v>
      </x:c>
      <x:c r="G88" s="104" t="str">
        <x:v>Welche Form beschreibt die südlich aus der Piazza laufenden Straßen am besten?</x:v>
      </x:c>
      <x:c r="H88" s="104" t="str">
        <x:v>A: Dreizack | B: Ring | C: Schachbrett | D: Spirale</x:v>
      </x:c>
      <x:c r="I88" s="104" t="str">
        <x:v>A</x:v>
      </x:c>
      <x:c r="J88" s="104" t="str">
        <x:v>DREIZACK|TRIDENT</x:v>
      </x:c>
      <x:c r="K88" s="104" t="str">
        <x:v>Drei radial ausgehende Straßen zwischen den Zwillingskirchen.</x:v>
      </x:c>
      <x:c r="L88" s="104" t="str">
        <x:v>A</x:v>
      </x:c>
      <x:c r="M88" s="104" t="str">
        <x:v>Blickt vom Obelisken nach Süden.</x:v>
      </x:c>
      <x:c r="N88" s="104" t="str">
        <x:v>Drei Spitzen gehören zu einem antiken Werkzeug und zu Neptun.</x:v>
      </x:c>
      <x:c r="O88" s="104" t="str">
        <x:v>Silhouetten-Grafik mit drei Formen anzeigen.</x:v>
      </x:c>
      <x:c r="P88" s="104" t="str">
        <x:v>Navigationsbonus entfällt</x:v>
      </x:c>
      <x:c r="Q88" s="104" t="str">
        <x:v>EDITORIAL_REVIEW</x:v>
      </x:c>
      <x:c r="R88" s="104" t="str">
        <x:v>https://en.wikipedia.org/wiki/Porta_del_Popolo</x:v>
      </x:c>
    </x:row>
    <x:row r="89" ht="82" customHeight="1">
      <x:c r="A89" s="101" t="str">
        <x:v>PZ-D1-Q04</x:v>
      </x:c>
      <x:c r="B89" s="101" t="str">
        <x:v>D1-Q04</x:v>
      </x:c>
      <x:c r="C89" s="101" t="str">
        <x:v>synthesis</x:v>
      </x:c>
      <x:c r="D89" s="101" t="str">
        <x:v>place_day_1_balconata_del_pincio</x:v>
      </x:c>
      <x:c r="E89" s="101" t="str">
        <x:v>Balconata del Pincio</x:v>
      </x:c>
      <x:c r="F89" s="101" t="str">
        <x:v>MULTIPLE_CHOICE</x:v>
      </x:c>
      <x:c r="G89" s="101" t="str">
        <x:v>Welches sichtbare Tier verbindet die Brunnenfigur mit der Gründungserzählung Roms?</x:v>
      </x:c>
      <x:c r="H89" s="101" t="str">
        <x:v>A: Adler | B: Wölfin | C: Pferd | D: Delfin</x:v>
      </x:c>
      <x:c r="I89" s="101" t="str">
        <x:v>B</x:v>
      </x:c>
      <x:c r="J89" s="101" t="str">
        <x:v>WÖLFIN|WOELFIN</x:v>
      </x:c>
      <x:c r="K89" s="101" t="str">
        <x:v>Wölfin mit Romulus und Remus im unteren Brunnenbereich.</x:v>
      </x:c>
      <x:c r="L89" s="101" t="str">
        <x:v>A</x:v>
      </x:c>
      <x:c r="M89" s="101" t="str">
        <x:v>Sucht unterhalb der sitzenden Göttin.</x:v>
      </x:c>
      <x:c r="N89" s="101" t="str">
        <x:v>Das Tier säugt zwei Kinder.</x:v>
      </x:c>
      <x:c r="O89" s="101" t="str">
        <x:v>Bildkarten Adler/Wölfin/Pferd/Delfin anzeigen.</x:v>
      </x:c>
      <x:c r="P89" s="101" t="str">
        <x:v>Gegner behält eine Zusatzfähigkeit</x:v>
      </x:c>
      <x:c r="Q89" s="101" t="str">
        <x:v>EDITORIAL_REVIEW</x:v>
      </x:c>
      <x:c r="R89" s="101" t="str">
        <x:v>https://www.openstreetmap.org/node/649529694</x:v>
      </x:c>
    </x:row>
    <x:row r="90" ht="82" customHeight="1">
      <x:c r="A90" s="104" t="str">
        <x:v>PZ-D1-Q05</x:v>
      </x:c>
      <x:c r="B90" s="104" t="str">
        <x:v>D1-Q05</x:v>
      </x:c>
      <x:c r="C90" s="104" t="str">
        <x:v>synthesis</x:v>
      </x:c>
      <x:c r="D90" s="104" t="str">
        <x:v>place_day_1_piazza_di_spagna</x:v>
      </x:c>
      <x:c r="E90" s="104" t="str">
        <x:v>Spanischer Platz</x:v>
      </x:c>
      <x:c r="F90" s="104" t="str">
        <x:v>MULTIPLE_CHOICE</x:v>
      </x:c>
      <x:c r="G90" s="104" t="str">
        <x:v>Welche Großform besitzt der Brunnen am Fuß der Treppe?</x:v>
      </x:c>
      <x:c r="H90" s="104" t="str">
        <x:v>A: Muschel | B: Boot | C: Krone | D: Amphore</x:v>
      </x:c>
      <x:c r="I90" s="104" t="str">
        <x:v>B</x:v>
      </x:c>
      <x:c r="J90" s="104" t="str">
        <x:v>BOOT|BARKE|SCHIFF</x:v>
      </x:c>
      <x:c r="K90" s="104" t="str">
        <x:v>Bootsförmiger Brunnen am Fuß der Spanischen Treppe.</x:v>
      </x:c>
      <x:c r="L90" s="104" t="str">
        <x:v>A</x:v>
      </x:c>
      <x:c r="M90" s="104" t="str">
        <x:v>Achtet auf Bug und Heck.</x:v>
      </x:c>
      <x:c r="N90" s="104" t="str">
        <x:v>Er sieht aus, als läge er sehr tief im Wasser.</x:v>
      </x:c>
      <x:c r="O90" s="104" t="str">
        <x:v>Richtung der Treppe bestätigen und zwei Optionen anzeigen.</x:v>
      </x:c>
      <x:c r="P90" s="104" t="str">
        <x:v>Wissensbonus entfällt</x:v>
      </x:c>
      <x:c r="Q90" s="104" t="str">
        <x:v>EDITORIAL_REVIEW</x:v>
      </x:c>
      <x:c r="R90" s="104" t="str">
        <x:v>https://it.wikipedia.org/wiki/Piazza_di_Spagna</x:v>
      </x:c>
    </x:row>
    <x:row r="91" ht="82" customHeight="1">
      <x:c r="A91" s="101" t="str">
        <x:v>PZ-D1-Q06</x:v>
      </x:c>
      <x:c r="B91" s="101" t="str">
        <x:v>D1-Q06</x:v>
      </x:c>
      <x:c r="C91" s="101" t="str">
        <x:v>synthesis</x:v>
      </x:c>
      <x:c r="D91" s="101" t="str">
        <x:v>place_day_1_fontana_del_moro</x:v>
      </x:c>
      <x:c r="E91" s="101" t="str">
        <x:v>Mohrenbrunnen</x:v>
      </x:c>
      <x:c r="F91" s="101" t="str">
        <x:v>MATCH_AND_MC</x:v>
      </x:c>
      <x:c r="G91" s="101" t="str">
        <x:v>Ordnet die Figuren der richtigen Position zu: Neptun mit Oktopus, Vierströmebrunnen, Mohr mit Delfin.</x:v>
      </x:c>
      <x:c r="H91" s="101" t="str">
        <x:v>A: Nord–Mitte–Süd | B: Süd–Nord–Mitte | C: Mitte–Süd–Nord</x:v>
      </x:c>
      <x:c r="I91" s="101" t="str">
        <x:v>A</x:v>
      </x:c>
      <x:c r="J91" s="101" t="str">
        <x:v>NEPTUN|VIERSTRÖME|MOHR</x:v>
      </x:c>
      <x:c r="K91" s="101" t="str">
        <x:v>Drei Großbrunnen entlang der Piazza-Navona-Achse.</x:v>
      </x:c>
      <x:c r="L91" s="101" t="str">
        <x:v>A</x:v>
      </x:c>
      <x:c r="M91" s="101" t="str">
        <x:v>Neptun liegt am nördlichen Ende.</x:v>
      </x:c>
      <x:c r="N91" s="101" t="str">
        <x:v>Der Vierströmebrunnen bildet die Mitte.</x:v>
      </x:c>
      <x:c r="O91" s="101" t="str">
        <x:v>Nur die drei Positionen Nord/Mitte/Süd auswählen lassen.</x:v>
      </x:c>
      <x:c r="P91" s="101" t="str">
        <x:v>Materialbonus entfällt</x:v>
      </x:c>
      <x:c r="Q91" s="101" t="str">
        <x:v>EDITORIAL_REVIEW</x:v>
      </x:c>
      <x:c r="R91" s="101" t="str">
        <x:v>https://it.wikipedia.org/wiki/Fontana_del_Moro</x:v>
      </x:c>
    </x:row>
    <x:row r="92" ht="82" customHeight="1">
      <x:c r="A92" s="104" t="str">
        <x:v>PZ-D1-Q07</x:v>
      </x:c>
      <x:c r="B92" s="104" t="str">
        <x:v>D1-Q07</x:v>
      </x:c>
      <x:c r="C92" s="104" t="str">
        <x:v>synthesis</x:v>
      </x:c>
      <x:c r="D92" s="104" t="str">
        <x:v>place_day_1_obelisco_macuteo</x:v>
      </x:c>
      <x:c r="E92" s="104" t="str">
        <x:v>Obelisco Macuteo</x:v>
      </x:c>
      <x:c r="F92" s="104" t="str">
        <x:v>TEXT_CODE</x:v>
      </x:c>
      <x:c r="G92" s="104" t="str">
        <x:v>Welcher Name steht in der obersten Zeile der großen Inschrift?</x:v>
      </x:c>
      <x:c r="H92" s="104" t="str"/>
      <x:c r="I92" s="104" t="str">
        <x:v>AGRIPPA</x:v>
      </x:c>
      <x:c r="J92" s="104" t="str">
        <x:v>M AGRIPPA|MARCUS AGRIPPA</x:v>
      </x:c>
      <x:c r="K92" s="104" t="str">
        <x:v>Große Inschrift über dem Portikus, vom Platz sichtbar.</x:v>
      </x:c>
      <x:c r="L92" s="104" t="str">
        <x:v>A</x:v>
      </x:c>
      <x:c r="M92" s="104" t="str">
        <x:v>Sucht die Buchstabenfolge direkt über den Säulen.</x:v>
      </x:c>
      <x:c r="N92" s="104" t="str">
        <x:v>A G R I P P A</x:v>
      </x:c>
      <x:c r="O92" s="104" t="str">
        <x:v>Auswahl AGRIPPA | AUGUSTUS | HADRIANUS</x:v>
      </x:c>
      <x:c r="P92" s="104" t="str">
        <x:v>Mumie behält Schutzschicht</x:v>
      </x:c>
      <x:c r="Q92" s="104" t="str">
        <x:v>EDITORIAL_REVIEW</x:v>
      </x:c>
      <x:c r="R92" s="104" t="str">
        <x:v>https://it.wikipedia.org/wiki/Obelisco_del_Pantheon</x:v>
      </x:c>
    </x:row>
    <x:row r="93" ht="82" customHeight="1">
      <x:c r="A93" s="101" t="str">
        <x:v>PZ-D1-Q08</x:v>
      </x:c>
      <x:c r="B93" s="101" t="str">
        <x:v>D1-Q08</x:v>
      </x:c>
      <x:c r="C93" s="101" t="str">
        <x:v>synthesis</x:v>
      </x:c>
      <x:c r="D93" s="101" t="str">
        <x:v>place_day_1_colonna_di_marco_aurelio</x:v>
      </x:c>
      <x:c r="E93" s="101" t="str">
        <x:v>Mark-Aurel-Säule</x:v>
      </x:c>
      <x:c r="F93" s="101" t="str">
        <x:v>MATCH_AND_MC</x:v>
      </x:c>
      <x:c r="G93" s="101" t="str">
        <x:v>Welche Zuordnung ist korrekt?</x:v>
      </x:c>
      <x:c r="H93" s="101" t="str">
        <x:v>A: Obelisk–Hieroglyphen; Säule–Spiralrelief | B: Obelisk–Spiralrelief; Säule–Hieroglyphen | C: beide ohne Bildzeichen</x:v>
      </x:c>
      <x:c r="I93" s="101" t="str">
        <x:v>A</x:v>
      </x:c>
      <x:c r="J93" s="101" t="str">
        <x:v>OBELISK HIEROGLYPHEN|SÄULE SPIRALRELIEF</x:v>
      </x:c>
      <x:c r="K93" s="101" t="str">
        <x:v>Sichtbare Schrift- und Reliefmuster.</x:v>
      </x:c>
      <x:c r="L93" s="101" t="str">
        <x:v>A</x:v>
      </x:c>
      <x:c r="M93" s="101" t="str">
        <x:v>Das ägyptische Monument trägt ägyptische Zeichen.</x:v>
      </x:c>
      <x:c r="N93" s="101" t="str">
        <x:v>Das römische Relief wickelt sich wie ein Band um die Säule.</x:v>
      </x:c>
      <x:c r="O93" s="101" t="str">
        <x:v>Zwei Bildsymbole per Drag-and-drop zuordnen.</x:v>
      </x:c>
      <x:c r="P93" s="101" t="str">
        <x:v>Wissensbonus entfällt</x:v>
      </x:c>
      <x:c r="Q93" s="101" t="str">
        <x:v>EDITORIAL_REVIEW</x:v>
      </x:c>
      <x:c r="R93" s="101" t="str">
        <x:v>https://it.wikipedia.org/wiki/Colonna_di_Marco_Aurelio</x:v>
      </x:c>
    </x:row>
    <x:row r="94" ht="82" customHeight="1">
      <x:c r="A94" s="104" t="str">
        <x:v>PZ-D1-Q09</x:v>
      </x:c>
      <x:c r="B94" s="104" t="str">
        <x:v>D1-Q09</x:v>
      </x:c>
      <x:c r="C94" s="104" t="str">
        <x:v>synthesis</x:v>
      </x:c>
      <x:c r="D94" s="104" t="str">
        <x:v>place_day_1_fontana_del_tritone</x:v>
      </x:c>
      <x:c r="E94" s="104" t="str">
        <x:v>Tritonenbrunnen</x:v>
      </x:c>
      <x:c r="F94" s="104" t="str">
        <x:v>MULTIPLE_CHOICE</x:v>
      </x:c>
      <x:c r="G94" s="104" t="str">
        <x:v>Welche gemeinsame Funktion verbindet Arkaden und beide Brunnen?</x:v>
      </x:c>
      <x:c r="H94" s="104" t="str">
        <x:v>A: Wasser führen und inszenieren | B: Stadtmauer bilden | C: Märkte überdachen | D: Pferde trainieren</x:v>
      </x:c>
      <x:c r="I94" s="104" t="str">
        <x:v>A</x:v>
      </x:c>
      <x:c r="J94" s="104" t="str">
        <x:v>WASSER|WASSERVERSORGUNG</x:v>
      </x:c>
      <x:c r="K94" s="104" t="str">
        <x:v>Sichtbare Brunnen und Aquäduktarkaden.</x:v>
      </x:c>
      <x:c r="L94" s="104" t="str">
        <x:v>A/B</x:v>
      </x:c>
      <x:c r="M94" s="104" t="str">
        <x:v>Folgt gedanklich dem Wasser.</x:v>
      </x:c>
      <x:c r="N94" s="104" t="str">
        <x:v>Das mittlere Objekt transportiert; die äußeren zeigen.</x:v>
      </x:c>
      <x:c r="O94" s="104" t="str">
        <x:v>Arkadenfrage durch Materialvergleich Travertin/Wasser ersetzen.</x:v>
      </x:c>
      <x:c r="P94" s="104" t="str">
        <x:v>Gegner behält Schmutzstoß</x:v>
      </x:c>
      <x:c r="Q94" s="104" t="str">
        <x:v>EDITORIAL_REVIEW</x:v>
      </x:c>
      <x:c r="R94" s="104" t="str">
        <x:v>https://it.wikipedia.org/wiki/Fontana_del_Tritone</x:v>
      </x:c>
    </x:row>
    <x:row r="95" ht="82" customHeight="1">
      <x:c r="A95" s="101" t="str">
        <x:v>PZ-D1-Q10</x:v>
      </x:c>
      <x:c r="B95" s="101" t="str">
        <x:v>D1-Q10</x:v>
      </x:c>
      <x:c r="C95" s="101" t="str">
        <x:v>synthesis</x:v>
      </x:c>
      <x:c r="D95" s="101" t="str">
        <x:v>place_day_1_palazzo_del_quirinale</x:v>
      </x:c>
      <x:c r="E95" s="101" t="str">
        <x:v>Quirinalspalast</x:v>
      </x:c>
      <x:c r="F95" s="101" t="str">
        <x:v>MULTIPLE_CHOICE</x:v>
      </x:c>
      <x:c r="G95" s="101" t="str">
        <x:v>Welche heutige Institution nutzt den Quirinalspalast?</x:v>
      </x:c>
      <x:c r="H95" s="101" t="str">
        <x:v>A: Präsident der Italienischen Republik | B: Senat der Antike | C: Vatikanische Post | D: Stadtmuseum</x:v>
      </x:c>
      <x:c r="I95" s="101" t="str">
        <x:v>A</x:v>
      </x:c>
      <x:c r="J95" s="101" t="str">
        <x:v>PRÄSIDENT|PRAESIDENT</x:v>
      </x:c>
      <x:c r="K95" s="101" t="str">
        <x:v>Monumentale Palastfassade; Wissensantwort aus verifiziertem Fact-Set.</x:v>
      </x:c>
      <x:c r="L95" s="101" t="str">
        <x:v>A/B</x:v>
      </x:c>
      <x:c r="M95" s="101" t="str">
        <x:v>Es geht um die heutige Republik.</x:v>
      </x:c>
      <x:c r="N95" s="101" t="str">
        <x:v>Das Staatsoberhaupt arbeitet dort.</x:v>
      </x:c>
      <x:c r="O95" s="101" t="str">
        <x:v>Die Frage wird als reine Wissensauswahl angezeigt; keine Annäherung an Wachen.</x:v>
      </x:c>
      <x:c r="P95" s="101" t="str">
        <x:v>Belohnungswahl ohne Zusatzbonus</x:v>
      </x:c>
      <x:c r="Q95" s="101" t="str">
        <x:v>EDITORIAL_REVIEW</x:v>
      </x:c>
      <x:c r="R95" s="101" t="str">
        <x:v>https://palazzo.quirinale.it/palazzo_en.html</x:v>
      </x:c>
    </x:row>
    <x:row r="96" ht="82" customHeight="1">
      <x:c r="A96" s="104" t="str">
        <x:v>PZ-D1-Q11</x:v>
      </x:c>
      <x:c r="B96" s="104" t="str">
        <x:v>D1-Q11</x:v>
      </x:c>
      <x:c r="C96" s="104" t="str">
        <x:v>synthesis</x:v>
      </x:c>
      <x:c r="D96" s="104" t="str">
        <x:v>place_day_1_colonna_dell_immacolata</x:v>
      </x:c>
      <x:c r="E96" s="104" t="str">
        <x:v>Colonna dell'Immacolata</x:v>
      </x:c>
      <x:c r="F96" s="104" t="str">
        <x:v>TEXT_AND_MC</x:v>
      </x:c>
      <x:c r="G96" s="104" t="str">
        <x:v>Gebt den Namen der Figur auf der Spitze ein und wählt, wo die vier weiteren Großfiguren sitzen.</x:v>
      </x:c>
      <x:c r="H96" s="104" t="str">
        <x:v>A: am Sockel | B: auf Dächern | C: im Brunnen</x:v>
      </x:c>
      <x:c r="I96" s="104" t="str">
        <x:v>MARIA|A</x:v>
      </x:c>
      <x:c r="J96" s="104" t="str">
        <x:v>MARIA;SOCKEL|MARIA A</x:v>
      </x:c>
      <x:c r="K96" s="104" t="str">
        <x:v>Große Marienstatue auf der Spitze; vier sitzende Sockelfiguren.</x:v>
      </x:c>
      <x:c r="L96" s="104" t="str">
        <x:v>A</x:v>
      </x:c>
      <x:c r="M96" s="104" t="str">
        <x:v>Blickt zuerst ganz nach oben.</x:v>
      </x:c>
      <x:c r="N96" s="104" t="str">
        <x:v>Die weiteren Figuren sitzen nahe dem Boden.</x:v>
      </x:c>
      <x:c r="O96" s="104" t="str">
        <x:v>Nur Zahl der Sockelfiguren: vier.</x:v>
      </x:c>
      <x:c r="P96" s="104" t="str">
        <x:v>Wissensbonus entfällt</x:v>
      </x:c>
      <x:c r="Q96" s="104" t="str">
        <x:v>EDITORIAL_REVIEW</x:v>
      </x:c>
      <x:c r="R96" s="104" t="str">
        <x:v>https://it.wikipedia.org/wiki/Colonna_dell'Immacolata_(Roma)</x:v>
      </x:c>
    </x:row>
    <x:row r="97" ht="82" customHeight="1">
      <x:c r="A97" s="101" t="str">
        <x:v>PZ-D1-Q12</x:v>
      </x:c>
      <x:c r="B97" s="101" t="str">
        <x:v>D1-Q12</x:v>
      </x:c>
      <x:c r="C97" s="101" t="str">
        <x:v>synthesis</x:v>
      </x:c>
      <x:c r="D97" s="101" t="str">
        <x:v>place_day_1_largo_di_torre_argentina</x:v>
      </x:c>
      <x:c r="E97" s="101" t="str">
        <x:v>Largo di Torre Argentina</x:v>
      </x:c>
      <x:c r="F97" s="101" t="str">
        <x:v>SORT_MATCH</x:v>
      </x:c>
      <x:c r="G97" s="101" t="str">
        <x:v>Ordnet die vier Orte ihren Stimmen zu: Verbindung, institutionelle Macht, Widerspruch, republikanische Erinnerung.</x:v>
      </x:c>
      <x:c r="H97" s="101" t="str">
        <x:v>Ponte Sisto | Palazzo Farnese | Campo de' Fiori | Largo di Torre Argentina</x:v>
      </x:c>
      <x:c r="I97" s="101" t="str">
        <x:v>PONTE=VERBINDUNG|FARNESE=MACHT|CAMPO=WIDERSPRUCH|LARGO=ERINNERUNG</x:v>
      </x:c>
      <x:c r="J97" s="101" t="str"/>
      <x:c r="K97" s="101" t="str">
        <x:v>Kreisöffnung, Lilienwappen, geschlossenes Buch, vier Tempelkomplexe.</x:v>
      </x:c>
      <x:c r="L97" s="101" t="str">
        <x:v>A/B</x:v>
      </x:c>
      <x:c r="M97" s="101" t="str">
        <x:v>Beginnt mit der Brücke: Sie verbindet.</x:v>
      </x:c>
      <x:c r="N97" s="101" t="str">
        <x:v>Das geschlossene Buch gehört zur Stimme des Widerspruchs.</x:v>
      </x:c>
      <x:c r="O97" s="101" t="str">
        <x:v>Mindestens drei verfügbare Stationen zuordnen.</x:v>
      </x:c>
      <x:c r="P97" s="101" t="str">
        <x:v>Entscheidungsbonus -10 %</x:v>
      </x:c>
      <x:c r="Q97" s="101" t="str">
        <x:v>EDITORIAL_REVIEW</x:v>
      </x:c>
      <x:c r="R97" s="101" t="str">
        <x:v>https://it.wikipedia.org/wiki/Largo_di_Torre_Argentina</x:v>
      </x:c>
    </x:row>
    <x:row r="98" ht="82" customHeight="1">
      <x:c r="A98" s="104" t="str">
        <x:v>PZ-D1-Q13</x:v>
      </x:c>
      <x:c r="B98" s="104" t="str">
        <x:v>D1-Q13</x:v>
      </x:c>
      <x:c r="C98" s="104" t="str">
        <x:v>synthesis</x:v>
      </x:c>
      <x:c r="D98" s="104" t="str">
        <x:v>place_day_1_teatro_di_marcello</x:v>
      </x:c>
      <x:c r="E98" s="104" t="str">
        <x:v>Marcellustheater</x:v>
      </x:c>
      <x:c r="F98" s="104" t="str">
        <x:v>SORT_CHRONOLOGY</x:v>
      </x:c>
      <x:c r="G98" s="104" t="str">
        <x:v>Ordnet die drei städtischen Bühnen von der ältesten zur jüngsten Schicht.</x:v>
      </x:c>
      <x:c r="H98" s="104" t="str">
        <x:v>Marcellustheater | Fontana delle Tartarughe | Sant'Andrea della Valle</x:v>
      </x:c>
      <x:c r="I98" s="104" t="str">
        <x:v>MARCELLUSTHEATER&gt;TARTARUGHE&gt;SANT_ANDREA</x:v>
      </x:c>
      <x:c r="J98" s="104" t="str">
        <x:v>TEATRO&gt;TARTARUGHE&gt;SANTANDREA</x:v>
      </x:c>
      <x:c r="K98" s="104" t="str">
        <x:v>Antike Arkaden, Renaissancebrunnen, barocke Fassade.</x:v>
      </x:c>
      <x:c r="L98" s="104" t="str">
        <x:v>A/B</x:v>
      </x:c>
      <x:c r="M98" s="104" t="str">
        <x:v>Die antiken Arkaden kommen zuerst.</x:v>
      </x:c>
      <x:c r="N98" s="104" t="str">
        <x:v>Der Brunnen liegt zeitlich vor der barocken Fassade.</x:v>
      </x:c>
      <x:c r="O98" s="104" t="str">
        <x:v>Nur Marcellustheater als älteste Schicht bestätigen.</x:v>
      </x:c>
      <x:c r="P98" s="104" t="str">
        <x:v>Chronik-Dramaturgiebonus entfällt</x:v>
      </x:c>
      <x:c r="Q98" s="104" t="str">
        <x:v>EDITORIAL_REVIEW</x:v>
      </x:c>
      <x:c r="R98" s="104" t="str">
        <x:v>https://www.turismoroma.it/it/luoghi/teatro-di-marcello</x:v>
      </x:c>
    </x:row>
    <x:row r="99" ht="82" customHeight="1">
      <x:c r="A99" s="101" t="str">
        <x:v>PZ-D1-Q14</x:v>
      </x:c>
      <x:c r="B99" s="101" t="str">
        <x:v>D1-Q14</x:v>
      </x:c>
      <x:c r="C99" s="101" t="str">
        <x:v>synthesis</x:v>
      </x:c>
      <x:c r="D99" s="101" t="str">
        <x:v>place_day_1_isola_tiberina</x:v>
      </x:c>
      <x:c r="E99" s="101" t="str">
        <x:v>Isola Tiberina</x:v>
      </x:c>
      <x:c r="F99" s="101" t="str">
        <x:v>TEXT_CODE</x:v>
      </x:c>
      <x:c r="G99" s="101" t="str">
        <x:v>Welches lateinische Wort für Schiff öffnet die Heilkammer?</x:v>
      </x:c>
      <x:c r="H99" s="101" t="str"/>
      <x:c r="I99" s="101" t="str">
        <x:v>NAVIS</x:v>
      </x:c>
      <x:c r="J99" s="101" t="str">
        <x:v>SCHIFF|NAVIS</x:v>
      </x:c>
      <x:c r="K99" s="101" t="str">
        <x:v>Travertinverkleidung in Form eines Schiffsbugs; Blickpunkt muss bestätigt sein.</x:v>
      </x:c>
      <x:c r="L99" s="101" t="str">
        <x:v>B</x:v>
      </x:c>
      <x:c r="M99" s="101" t="str">
        <x:v>Das sichtbare Motiv ist ein Fahrzeug auf Wasser.</x:v>
      </x:c>
      <x:c r="N99" s="101" t="str">
        <x:v>Fünf Buchstaben: N A V I S.</x:v>
      </x:c>
      <x:c r="O99" s="101" t="str">
        <x:v>Auswahl NAVIS | TERRA | PORTA</x:v>
      </x:c>
      <x:c r="P99" s="101" t="str">
        <x:v>Heilbonus halbiert</x:v>
      </x:c>
      <x:c r="Q99" s="101" t="str">
        <x:v>EDITORIAL_REVIEW</x:v>
      </x:c>
      <x:c r="R99" s="101" t="str">
        <x:v>https://www.openstreetmap.org/node/4798313727</x:v>
      </x:c>
    </x:row>
    <x:row r="100" ht="82" customHeight="1">
      <x:c r="A100" s="104" t="str">
        <x:v>PZ-D1-Q15</x:v>
      </x:c>
      <x:c r="B100" s="104" t="str">
        <x:v>D1-Q15</x:v>
      </x:c>
      <x:c r="C100" s="104" t="str">
        <x:v>synthesis</x:v>
      </x:c>
      <x:c r="D100" s="104" t="str">
        <x:v>place_day_1_basilica_di_santa_maria_in_trastevere</x:v>
      </x:c>
      <x:c r="E100" s="104" t="str">
        <x:v>Santa Maria in Trastevere</x:v>
      </x:c>
      <x:c r="F100" s="104" t="str">
        <x:v>SOURCE_CLASSIFICATION</x:v>
      </x:c>
      <x:c r="G100" s="104" t="str">
        <x:v>Ordnet die Aussagen den Kategorien SICHTBAR, VERIFIZIERTER FAKT oder FIKTIONALE RAHMUNG zu.</x:v>
      </x:c>
      <x:c r="H100" s="104" t="str">
        <x:v>Kirchenname | Fassadenmosaik | Cecilia spricht durch die App</x:v>
      </x:c>
      <x:c r="I100" s="104" t="str">
        <x:v>KIRCHENNAME=SICHTBAR|MOSAIk=SICHTBAR|APP_STIMME=FIKTION</x:v>
      </x:c>
      <x:c r="J100" s="104" t="str"/>
      <x:c r="K100" s="104" t="str">
        <x:v>Außenhinweise beider Kirchen; kein Innenraum.</x:v>
      </x:c>
      <x:c r="L100" s="104" t="str">
        <x:v>A/B</x:v>
      </x:c>
      <x:c r="M100" s="104" t="str">
        <x:v>Was ihr selbst seht, ist SICHTBAR.</x:v>
      </x:c>
      <x:c r="N100" s="104" t="str">
        <x:v>Die sprechende Figur gehört eindeutig zur Spielrahmung.</x:v>
      </x:c>
      <x:c r="O100" s="104" t="str">
        <x:v>Nur zwei Aussagen klassifizieren.</x:v>
      </x:c>
      <x:c r="P100" s="104" t="str">
        <x:v>Quellenbonus entfällt</x:v>
      </x:c>
      <x:c r="Q100" s="104" t="str">
        <x:v>EDITORIAL_REVIEW</x:v>
      </x:c>
      <x:c r="R100" s="104" t="str">
        <x:v>https://it.wikipedia.org/wiki/Basilica_di_Santa_Maria_in_Trastevere</x:v>
      </x:c>
    </x:row>
    <x:row r="101" ht="82" customHeight="1">
      <x:c r="A101" s="101" t="str">
        <x:v>PZ-D1-Q16</x:v>
      </x:c>
      <x:c r="B101" s="101" t="str">
        <x:v>D1-Q16</x:v>
      </x:c>
      <x:c r="C101" s="101" t="str">
        <x:v>synthesis</x:v>
      </x:c>
      <x:c r="D101" s="101" t="str">
        <x:v>place_day_1_monumento_ad_anita_garibaldi</x:v>
      </x:c>
      <x:c r="E101" s="101" t="str">
        <x:v>Monumento ad Anita Garibaldi</x:v>
      </x:c>
      <x:c r="F101" s="101" t="str">
        <x:v>SORT_ROUTE</x:v>
      </x:c>
      <x:c r="G101" s="101" t="str">
        <x:v>Ordnet die fünf Stationen in der tatsächlich begangenen Route.</x:v>
      </x:c>
      <x:c r="H101" s="101" t="str">
        <x:v>Mauern | Ossarium | Acqua Paola | Garibaldi | Anita</x:v>
      </x:c>
      <x:c r="I101" s="101" t="str">
        <x:v>MAUERN&gt;OSSARIUM&gt;ACQUA_PAOLA&gt;GARIBALDI&gt;ANITA</x:v>
      </x:c>
      <x:c r="J101" s="101" t="str"/>
      <x:c r="K101" s="101" t="str">
        <x:v>Serverseitig bestätigte Stationsfolge.</x:v>
      </x:c>
      <x:c r="L101" s="101" t="str">
        <x:v>A</x:v>
      </x:c>
      <x:c r="M101" s="101" t="str">
        <x:v>Beginnt unten an den Mauern.</x:v>
      </x:c>
      <x:c r="N101" s="101" t="str">
        <x:v>Die Wasserfassade liegt vor den beiden Reiterdenkmälern.</x:v>
      </x:c>
      <x:c r="O101" s="101" t="str">
        <x:v>Auf vier Stationen kürzen; Acqua Paola bleibt enthalten.</x:v>
      </x:c>
      <x:c r="P101" s="101" t="str">
        <x:v>Ein gemeinsamer Startbuff entfällt</x:v>
      </x:c>
      <x:c r="Q101" s="101" t="str">
        <x:v>EDITORIAL_REVIEW</x:v>
      </x:c>
      <x:c r="R101" s="101" t="str">
        <x:v>https://it.wikipedia.org/wiki/Monumento_ad_Anita_Garibaldi</x:v>
      </x:c>
    </x:row>
    <x:row r="102" ht="82" customHeight="1">
      <x:c r="A102" s="104" t="str">
        <x:v>PZ-D2-Q01</x:v>
      </x:c>
      <x:c r="B102" s="104" t="str">
        <x:v>D2-Q01</x:v>
      </x:c>
      <x:c r="C102" s="104" t="str">
        <x:v>synthesis</x:v>
      </x:c>
      <x:c r="D102" s="104" t="str">
        <x:v>place_day_2_giulio_cesare</x:v>
      </x:c>
      <x:c r="E102" s="104" t="str">
        <x:v>Giulio Cesare</x:v>
      </x:c>
      <x:c r="F102" s="104" t="str">
        <x:v>MATCH_AND_MC</x:v>
      </x:c>
      <x:c r="G102" s="104" t="str">
        <x:v>Welche Zuordnung ist am überzeugendsten?</x:v>
      </x:c>
      <x:c r="H102" s="104" t="str">
        <x:v>A: Sternmuster–Orientierung; Caesar–Macht/Erinnerung | B: Sternmuster–Handel; Caesar–Wasser | C: beide–Zufall</x:v>
      </x:c>
      <x:c r="I102" s="104" t="str">
        <x:v>A</x:v>
      </x:c>
      <x:c r="J102" s="104" t="str">
        <x:v>STERN ORIENTIERUNG|CAESAR MACHT</x:v>
      </x:c>
      <x:c r="K102" s="104" t="str">
        <x:v>Robustes Bodenmuster und monumentale Figur.</x:v>
      </x:c>
      <x:c r="L102" s="104" t="str">
        <x:v>A/B</x:v>
      </x:c>
      <x:c r="M102" s="104" t="str">
        <x:v>Der Stern ordnet den Platz.</x:v>
      </x:c>
      <x:c r="N102" s="104" t="str">
        <x:v>Eine Feldherrnfigur trägt politische Erinnerung.</x:v>
      </x:c>
      <x:c r="O102" s="104" t="str">
        <x:v>Nur das Stern-im-Oval-Muster verwenden.</x:v>
      </x:c>
      <x:c r="P102" s="104" t="str">
        <x:v>Dialogbonus entfällt</x:v>
      </x:c>
      <x:c r="Q102" s="104" t="str">
        <x:v>EDITORIAL_REVIEW</x:v>
      </x:c>
      <x:c r="R102" s="104" t="str">
        <x:v>https://www.openstreetmap.org/node/7239169954</x:v>
      </x:c>
    </x:row>
    <x:row r="103" ht="82" customHeight="1">
      <x:c r="A103" s="101" t="str">
        <x:v>PZ-D2-Q02</x:v>
      </x:c>
      <x:c r="B103" s="101" t="str">
        <x:v>D2-Q02</x:v>
      </x:c>
      <x:c r="C103" s="101" t="str">
        <x:v>synthesis</x:v>
      </x:c>
      <x:c r="D103" s="101" t="str">
        <x:v>place_day_2_altare_della_patria</x:v>
      </x:c>
      <x:c r="E103" s="101" t="str">
        <x:v>Nationaldenkmal für Viktor Emanuel II.</x:v>
      </x:c>
      <x:c r="F103" s="101" t="str">
        <x:v>MULTIPLE_CHOICE</x:v>
      </x:c>
      <x:c r="G103" s="101" t="str">
        <x:v>Wie viele monumentale Quadrigen krönen das Denkmal?</x:v>
      </x:c>
      <x:c r="H103" s="101" t="str">
        <x:v>A: eine | B: zwei | C: drei | D: vier</x:v>
      </x:c>
      <x:c r="I103" s="101" t="str">
        <x:v>B</x:v>
      </x:c>
      <x:c r="J103" s="101" t="str">
        <x:v>2|ZWEI</x:v>
      </x:c>
      <x:c r="K103" s="101" t="str">
        <x:v>Zwei weithin sichtbare Dachquadrigen.</x:v>
      </x:c>
      <x:c r="L103" s="101" t="str">
        <x:v>A</x:v>
      </x:c>
      <x:c r="M103" s="101" t="str">
        <x:v>Blickt an beide oberen Enden.</x:v>
      </x:c>
      <x:c r="N103" s="101" t="str">
        <x:v>Die Komposition ist paarig.</x:v>
      </x:c>
      <x:c r="O103" s="101" t="str">
        <x:v>Zentrale Reiterfigur statt Dachdetails bestätigen.</x:v>
      </x:c>
      <x:c r="P103" s="101" t="str">
        <x:v>Schnellbonus entfällt</x:v>
      </x:c>
      <x:c r="Q103" s="101" t="str">
        <x:v>EDITORIAL_REVIEW</x:v>
      </x:c>
      <x:c r="R103" s="101" t="str">
        <x:v>https://vive.cultura.gov.it/</x:v>
      </x:c>
    </x:row>
    <x:row r="104" ht="82" customHeight="1">
      <x:c r="A104" s="104" t="str">
        <x:v>PZ-D2-Q03</x:v>
      </x:c>
      <x:c r="B104" s="104" t="str">
        <x:v>D2-Q03</x:v>
      </x:c>
      <x:c r="C104" s="104" t="str">
        <x:v>synthesis</x:v>
      </x:c>
      <x:c r="D104" s="104" t="str">
        <x:v>place_day_2_ludus_magnus</x:v>
      </x:c>
      <x:c r="E104" s="104" t="str">
        <x:v>Ludus Magnus</x:v>
      </x:c>
      <x:c r="F104" s="104" t="str">
        <x:v>MATCH_TACTICS</x:v>
      </x:c>
      <x:c r="G104" s="104" t="str">
        <x:v>Ordnet die Funktionen: Triumph, Spektakel, Training.</x:v>
      </x:c>
      <x:c r="H104" s="104" t="str">
        <x:v>Konstantinsbogen | Kolosseum | Ludus Magnus</x:v>
      </x:c>
      <x:c r="I104" s="104" t="str">
        <x:v>BOGEN=TRIUMPH|KOLOSSEUM=SPEKTAKEL|LUDUS=TRAINING</x:v>
      </x:c>
      <x:c r="J104" s="104" t="str"/>
      <x:c r="K104" s="104" t="str">
        <x:v>Großformen der drei Außenpunkte.</x:v>
      </x:c>
      <x:c r="L104" s="104" t="str">
        <x:v>A</x:v>
      </x:c>
      <x:c r="M104" s="104" t="str">
        <x:v>Ein Bogen feiert den Durchzug.</x:v>
      </x:c>
      <x:c r="N104" s="104" t="str">
        <x:v>Die kleine ovale Arena gehört zum Training.</x:v>
      </x:c>
      <x:c r="O104" s="104" t="str">
        <x:v>Nur Konstantinsbogen und Ludus Magnus verwenden.</x:v>
      </x:c>
      <x:c r="P104" s="104" t="str">
        <x:v>Kein Initiativbonus</x:v>
      </x:c>
      <x:c r="Q104" s="104" t="str">
        <x:v>EDITORIAL_REVIEW</x:v>
      </x:c>
      <x:c r="R104" s="104" t="str">
        <x:v>https://de.wikipedia.org/wiki/Ludus_Magnus</x:v>
      </x:c>
    </x:row>
    <x:row r="105" ht="82" customHeight="1">
      <x:c r="A105" s="101" t="str">
        <x:v>PZ-D2-Q04</x:v>
      </x:c>
      <x:c r="B105" s="101" t="str">
        <x:v>D2-Q04</x:v>
      </x:c>
      <x:c r="C105" s="101" t="str">
        <x:v>synthesis</x:v>
      </x:c>
      <x:c r="D105" s="101" t="str">
        <x:v>place_day_2_arco_di_giano</x:v>
      </x:c>
      <x:c r="E105" s="101" t="str">
        <x:v>Janusbogen</x:v>
      </x:c>
      <x:c r="F105" s="101" t="str">
        <x:v>TEXT_CLASSIFICATION</x:v>
      </x:c>
      <x:c r="G105" s="101" t="str">
        <x:v>Welches lateinische Wort für Wahrheit schließt die Prüfung?</x:v>
      </x:c>
      <x:c r="H105" s="101" t="str"/>
      <x:c r="I105" s="101" t="str">
        <x:v>VERITAS</x:v>
      </x:c>
      <x:c r="J105" s="101" t="str">
        <x:v>WAHRHEIT|VERITAS</x:v>
      </x:c>
      <x:c r="K105" s="101" t="str">
        <x:v>Vier sichtbare Großformen; Schlusswort wird aus dem Dialog hergeleitet.</x:v>
      </x:c>
      <x:c r="L105" s="101" t="str">
        <x:v>A/B</x:v>
      </x:c>
      <x:c r="M105" s="101" t="str">
        <x:v>Das gesuchte Wort beginnt mit V.</x:v>
      </x:c>
      <x:c r="N105" s="101" t="str">
        <x:v>V E R I T A S.</x:v>
      </x:c>
      <x:c r="O105" s="101" t="str">
        <x:v>Auswahl VERITAS | FORTUNA | AQUA</x:v>
      </x:c>
      <x:c r="P105" s="101" t="str">
        <x:v>Wissensbonus entfällt</x:v>
      </x:c>
      <x:c r="Q105" s="101" t="str">
        <x:v>EDITORIAL_REVIEW</x:v>
      </x:c>
      <x:c r="R105" s="101" t="str">
        <x:v>https://it.wikipedia.org/wiki/Arco_di_Giano</x:v>
      </x:c>
    </x:row>
    <x:row r="106" ht="82" customHeight="1">
      <x:c r="A106" s="104" t="str">
        <x:v>PZ-D2-Q05</x:v>
      </x:c>
      <x:c r="B106" s="104" t="str">
        <x:v>D2-Q05</x:v>
      </x:c>
      <x:c r="C106" s="104" t="str">
        <x:v>synthesis</x:v>
      </x:c>
      <x:c r="D106" s="104" t="str">
        <x:v>place_day_2_fontana_del_mascherone_di_santa_sabina</x:v>
      </x:c>
      <x:c r="E106" s="104" t="str">
        <x:v>Maskenbrunnen bei Santa Sabina</x:v>
      </x:c>
      <x:c r="F106" s="104" t="str">
        <x:v>MATCH_AND_MC</x:v>
      </x:c>
      <x:c r="G106" s="104" t="str">
        <x:v>Welche Folge passt zur Route?</x:v>
      </x:c>
      <x:c r="H106" s="104" t="str">
        <x:v>A: zwei Tritonen – Palatin gegenüber – Wasser aus dem Mund | B: vier Tritonen – Kapitol – Wasser aus den Augen | C: ein Triton – Gianicolo – kein Wasser</x:v>
      </x:c>
      <x:c r="I106" s="104" t="str">
        <x:v>A</x:v>
      </x:c>
      <x:c r="J106" s="104" t="str">
        <x:v>2|PALATIN|MUND</x:v>
      </x:c>
      <x:c r="K106" s="104" t="str">
        <x:v>Großfiguren, Panorama und Maskengesicht.</x:v>
      </x:c>
      <x:c r="L106" s="104" t="str">
        <x:v>A</x:v>
      </x:c>
      <x:c r="M106" s="104" t="str">
        <x:v>Beginnt mit der Anzahl der Träger.</x:v>
      </x:c>
      <x:c r="N106" s="104" t="str">
        <x:v>Die Maske spricht mit Wasser aus dem Mund.</x:v>
      </x:c>
      <x:c r="O106" s="104" t="str">
        <x:v>Bei gesperrtem Brunnenbereich nur Panorama und Maskenform verwenden.</x:v>
      </x:c>
      <x:c r="P106" s="104" t="str">
        <x:v>Kein Medienquest-Bonus</x:v>
      </x:c>
      <x:c r="Q106" s="104" t="str">
        <x:v>EDITORIAL_REVIEW</x:v>
      </x:c>
      <x:c r="R106" s="104" t="str">
        <x:v>https://turismoroma.it/it/luoghi/fontana-piazza-pietro-d%E2%80%99illiria</x:v>
      </x:c>
    </x:row>
    <x:row r="107" ht="82" customHeight="1">
      <x:c r="A107" s="101" t="str">
        <x:v>PZ-D2-Q06</x:v>
      </x:c>
      <x:c r="B107" s="101" t="str">
        <x:v>D2-Q06</x:v>
      </x:c>
      <x:c r="C107" s="101" t="str">
        <x:v>synthesis</x:v>
      </x:c>
      <x:c r="D107" s="101" t="str">
        <x:v>place_day_2_fontana_della_navicella</x:v>
      </x:c>
      <x:c r="E107" s="101" t="str">
        <x:v>Fontana della Navicella</x:v>
      </x:c>
      <x:c r="F107" s="101" t="str">
        <x:v>MULTIPLE_CHOICE</x:v>
      </x:c>
      <x:c r="G107" s="101" t="str">
        <x:v>Welche Objektform besitzt die zentrale Skulptur?</x:v>
      </x:c>
      <x:c r="H107" s="101" t="str">
        <x:v>A: Schiff | B: Löwe | C: Tempel | D: Amphore</x:v>
      </x:c>
      <x:c r="I107" s="101" t="str">
        <x:v>A</x:v>
      </x:c>
      <x:c r="J107" s="101" t="str">
        <x:v>SCHIFF|BOOT|NAVICELLA</x:v>
      </x:c>
      <x:c r="K107" s="101" t="str">
        <x:v>Großes steinernes Schiff als Brunnenobjekt.</x:v>
      </x:c>
      <x:c r="L107" s="101" t="str">
        <x:v>A</x:v>
      </x:c>
      <x:c r="M107" s="101" t="str">
        <x:v>Sucht Bug, Bordwand und Heck.</x:v>
      </x:c>
      <x:c r="N107" s="101" t="str">
        <x:v>Navicella bedeutet kleines Schiff.</x:v>
      </x:c>
      <x:c r="O107" s="101" t="str">
        <x:v>Nur Ausrichtung Bug/Heck auswählen.</x:v>
      </x:c>
      <x:c r="P107" s="101" t="str">
        <x:v>Navigationsbonus entfällt</x:v>
      </x:c>
      <x:c r="Q107" s="101" t="str">
        <x:v>EDITORIAL_REVIEW</x:v>
      </x:c>
      <x:c r="R107" s="101" t="str">
        <x:v>https://it.wikipedia.org/wiki/Fontana_della_Navicella</x:v>
      </x:c>
    </x:row>
    <x:row r="108" ht="82" customHeight="1">
      <x:c r="A108" s="104" t="str">
        <x:v>PZ-D2-Q07</x:v>
      </x:c>
      <x:c r="B108" s="104" t="str">
        <x:v>D2-Q07</x:v>
      </x:c>
      <x:c r="C108" s="104" t="str">
        <x:v>synthesis</x:v>
      </x:c>
      <x:c r="D108" s="104" t="str">
        <x:v>place_day_2_porta_san_giovanni</x:v>
      </x:c>
      <x:c r="E108" s="104" t="str">
        <x:v>Porta San Giovanni</x:v>
      </x:c>
      <x:c r="F108" s="104" t="str">
        <x:v>FUNCTION_MATCH</x:v>
      </x:c>
      <x:c r="G108" s="104" t="str">
        <x:v>Ordnet die Funktionen: geistliche Mitte, imperiale Erinnerung, städtischer Zugang.</x:v>
      </x:c>
      <x:c r="H108" s="104" t="str">
        <x:v>Lateranbasilika | Lateranobelisk | Porta San Giovanni</x:v>
      </x:c>
      <x:c r="I108" s="104" t="str">
        <x:v>BASILIKA=GEISTLICH|OBELISK=IMPERIAL|PORTA=ZUGANG</x:v>
      </x:c>
      <x:c r="J108" s="104" t="str"/>
      <x:c r="K108" s="104" t="str">
        <x:v>Fassadenstatuen, Hieroglyphen, drei Tordurchgänge.</x:v>
      </x:c>
      <x:c r="L108" s="104" t="str">
        <x:v>A</x:v>
      </x:c>
      <x:c r="M108" s="104" t="str">
        <x:v>Eine Kirche markiert die geistliche Funktion.</x:v>
      </x:c>
      <x:c r="N108" s="104" t="str">
        <x:v>Ein Tor organisiert den Zugang.</x:v>
      </x:c>
      <x:c r="O108" s="104" t="str">
        <x:v>Basilika und Obelisk genügen bei Verkehrssperre.</x:v>
      </x:c>
      <x:c r="P108" s="104" t="str">
        <x:v>Schutzwahl ohne Bonus</x:v>
      </x:c>
      <x:c r="Q108" s="104" t="str">
        <x:v>EDITORIAL_REVIEW</x:v>
      </x:c>
      <x:c r="R108" s="104" t="str">
        <x:v>https://en.wikipedia.org/wiki/Porta_San_Giovanni_(Rome)</x:v>
      </x:c>
    </x:row>
    <x:row r="109" ht="82" customHeight="1">
      <x:c r="A109" s="101" t="str">
        <x:v>PZ-D2-Q08</x:v>
      </x:c>
      <x:c r="B109" s="101" t="str">
        <x:v>D2-Q08</x:v>
      </x:c>
      <x:c r="C109" s="101" t="str">
        <x:v>synthesis</x:v>
      </x:c>
      <x:c r="D109" s="101" t="str">
        <x:v>place_day_2_porta_metronia</x:v>
      </x:c>
      <x:c r="E109" s="101" t="str">
        <x:v>Porta Metronia</x:v>
      </x:c>
      <x:c r="F109" s="101" t="str">
        <x:v>MATCH_STATE</x:v>
      </x:c>
      <x:c r="G109" s="101" t="str">
        <x:v>Ordnet die sichtbaren Zustände: flankierter offener Durchgang und zugemauerter antiker Bogen.</x:v>
      </x:c>
      <x:c r="H109" s="101" t="str">
        <x:v>Porta Latina | Porta Metronia</x:v>
      </x:c>
      <x:c r="I109" s="101" t="str">
        <x:v>LATINA=FLANKIERT_OFFEN|METRONIA=ZUGEMAUERT</x:v>
      </x:c>
      <x:c r="J109" s="101" t="str"/>
      <x:c r="K109" s="101" t="str">
        <x:v>Zwei runde Türme und eindeutig markierter historischer Bogen.</x:v>
      </x:c>
      <x:c r="L109" s="101" t="str">
        <x:v>A/B</x:v>
      </x:c>
      <x:c r="M109" s="101" t="str">
        <x:v>Latina besitzt zwei runde Türme.</x:v>
      </x:c>
      <x:c r="N109" s="101" t="str">
        <x:v>Achtet bei Metronia nur auf den antiken Bogen, nicht auf moderne Durchbrüche.</x:v>
      </x:c>
      <x:c r="O109" s="101" t="str">
        <x:v>Porta Latina als Kurzquest; Metronia deaktivieren.</x:v>
      </x:c>
      <x:c r="P109" s="101" t="str">
        <x:v>Skorpion behält Verteidigung</x:v>
      </x:c>
      <x:c r="Q109" s="101" t="str">
        <x:v>EDITORIAL_REVIEW</x:v>
      </x:c>
      <x:c r="R109" s="101" t="str">
        <x:v>https://en.wikipedia.org/wiki/Porta_Metronia</x:v>
      </x:c>
    </x:row>
    <x:row r="110" ht="82" customHeight="1">
      <x:c r="A110" s="104" t="str">
        <x:v>PZ-D2-Q09</x:v>
      </x:c>
      <x:c r="B110" s="104" t="str">
        <x:v>D2-Q09</x:v>
      </x:c>
      <x:c r="C110" s="104" t="str">
        <x:v>synthesis</x:v>
      </x:c>
      <x:c r="D110" s="104" t="str">
        <x:v>place_day_2_thermae_traianae</x:v>
      </x:c>
      <x:c r="E110" s="104" t="str">
        <x:v>Thermae Traianae</x:v>
      </x:c>
      <x:c r="F110" s="104" t="str">
        <x:v>TEXT_CODE</x:v>
      </x:c>
      <x:c r="G110" s="104" t="str">
        <x:v>Wie lautet das lateinische Wort für Ziegel, das die älteste sichtbare Materialspur markiert?</x:v>
      </x:c>
      <x:c r="H110" s="104" t="str"/>
      <x:c r="I110" s="104" t="str">
        <x:v>LATERES</x:v>
      </x:c>
      <x:c r="J110" s="104" t="str">
        <x:v>ZIEGEL|LATERES</x:v>
      </x:c>
      <x:c r="K110" s="104" t="str">
        <x:v>Hohe antike Ziegelmauerreste im öffentlichen Park.</x:v>
      </x:c>
      <x:c r="L110" s="104" t="str">
        <x:v>A/B</x:v>
      </x:c>
      <x:c r="M110" s="104" t="str">
        <x:v>Die Lösung bezeichnet das dominante Baumaterial.</x:v>
      </x:c>
      <x:c r="N110" s="104" t="str">
        <x:v>Sie beginnt mit L und endet mit ES.</x:v>
      </x:c>
      <x:c r="O110" s="104" t="str">
        <x:v>Auswahl LATERES | MARMOR | AQUA</x:v>
      </x:c>
      <x:c r="P110" s="104" t="str">
        <x:v>Bosswiderstand entfällt</x:v>
      </x:c>
      <x:c r="Q110" s="104" t="str">
        <x:v>EDITORIAL_REVIEW</x:v>
      </x:c>
      <x:c r="R110" s="104" t="str">
        <x:v>https://it.wikipedia.org/wiki/Terme_di_Traiano</x:v>
      </x:c>
    </x:row>
    <x:row r="111" ht="82" customHeight="1">
      <x:c r="A111" s="101" t="str">
        <x:v>PZ-D2-Q10</x:v>
      </x:c>
      <x:c r="B111" s="101" t="str">
        <x:v>D2-Q10</x:v>
      </x:c>
      <x:c r="C111" s="101" t="str">
        <x:v>synthesis</x:v>
      </x:c>
      <x:c r="D111" s="101" t="str">
        <x:v>place_day_2_porta_maggiore_aqua_claudia</x:v>
      </x:c>
      <x:c r="E111" s="101" t="str">
        <x:v>Porta Maggiore und Aqua Claudia</x:v>
      </x:c>
      <x:c r="F111" s="101" t="str">
        <x:v>INFRASTRUCTURE_MATCH</x:v>
      </x:c>
      <x:c r="G111" s="101" t="str">
        <x:v>Welche Doppelfunktion zeigt das Bauwerk?</x:v>
      </x:c>
      <x:c r="H111" s="101" t="str">
        <x:v>Tor/Durchgang | Träger von Wasserleitungen | Markthalle | Theater</x:v>
      </x:c>
      <x:c r="I111" s="101" t="str">
        <x:v>TOR_UND_AQUAEDUKT</x:v>
      </x:c>
      <x:c r="J111" s="101" t="str">
        <x:v>TOR UND WASSERLEITUNG|DURCHGANG UND AQUÄDUKT</x:v>
      </x:c>
      <x:c r="K111" s="101" t="str">
        <x:v>Zwei große Durchgänge; gemauerte Kanäle und Inschriften darüber.</x:v>
      </x:c>
      <x:c r="L111" s="101" t="str">
        <x:v>A</x:v>
      </x:c>
      <x:c r="M111" s="101" t="str">
        <x:v>Blickt durch die Bögen und anschließend darüber.</x:v>
      </x:c>
      <x:c r="N111" s="101" t="str">
        <x:v>Unten passiert Verkehr, oben floss Wasser.</x:v>
      </x:c>
      <x:c r="O111" s="101" t="str">
        <x:v>Zwei bebilderte Funktionskarten auswählen.</x:v>
      </x:c>
      <x:c r="P111" s="101" t="str">
        <x:v>Hydra behält zusätzlichen Kopf</x:v>
      </x:c>
      <x:c r="Q111" s="101" t="str">
        <x:v>EDITORIAL_REVIEW</x:v>
      </x:c>
      <x:c r="R111" s="101" t="str">
        <x:v>https://www.sovraintendenzaroma.it/i_luoghi/roma_antica/monumenti/porta_maggiore</x:v>
      </x:c>
    </x:row>
    <x:row r="112" ht="82" customHeight="1">
      <x:c r="A112" s="104" t="str">
        <x:v>PZ-H-D1-01</x:v>
      </x:c>
      <x:c r="B112" s="104" t="str">
        <x:v>H-D1-01</x:v>
      </x:c>
      <x:c r="C112" s="104" t="str">
        <x:v>synthesis</x:v>
      </x:c>
      <x:c r="D112" s="104" t="str">
        <x:v>place_day_1_fontana_delle_tartarughe</x:v>
      </x:c>
      <x:c r="E112" s="104" t="str">
        <x:v>Fontana delle Tartarughe</x:v>
      </x:c>
      <x:c r="F112" s="104" t="str">
        <x:v>NUMBER</x:v>
      </x:c>
      <x:c r="G112" s="104" t="str">
        <x:v>Wie viele Schildkröten klettern zum oberen Becken?</x:v>
      </x:c>
      <x:c r="H112" s="104" t="str"/>
      <x:c r="I112" s="104" t="str">
        <x:v>4</x:v>
      </x:c>
      <x:c r="J112" s="104" t="str">
        <x:v>VIER</x:v>
      </x:c>
      <x:c r="K112" s="104" t="str">
        <x:v>Vier sichtbare Schildkröten.</x:v>
      </x:c>
      <x:c r="L112" s="104" t="str">
        <x:v>A</x:v>
      </x:c>
      <x:c r="M112" s="104" t="str">
        <x:v>Blickt rings um das obere Becken.</x:v>
      </x:c>
      <x:c r="N112" s="104" t="str">
        <x:v>Je eine an vier Seiten.</x:v>
      </x:c>
      <x:c r="O112" s="104" t="str">
        <x:v>Vier Positionen antippen.</x:v>
      </x:c>
      <x:c r="P112" s="104" t="str">
        <x:v>Kein Erstschlagbonus</x:v>
      </x:c>
      <x:c r="Q112" s="104" t="str">
        <x:v>EDITORIAL_REVIEW</x:v>
      </x:c>
      <x:c r="R112" s="104" t="str">
        <x:v>https://www.turismoroma.it/it/luoghi/fontana-delle-tartarughe</x:v>
      </x:c>
    </x:row>
    <x:row r="113" ht="82" customHeight="1">
      <x:c r="A113" s="101" t="str">
        <x:v>PZ-H-D1-02</x:v>
      </x:c>
      <x:c r="B113" s="101" t="str">
        <x:v>H-D1-02</x:v>
      </x:c>
      <x:c r="C113" s="101" t="str">
        <x:v>synthesis</x:v>
      </x:c>
      <x:c r="D113" s="101" t="str">
        <x:v>place_day_1_acquedotto_vergine</x:v>
      </x:c>
      <x:c r="E113" s="101" t="str">
        <x:v>Acquedotto Vergine</x:v>
      </x:c>
      <x:c r="F113" s="101" t="str">
        <x:v>NUMBER</x:v>
      </x:c>
      <x:c r="G113" s="101" t="str">
        <x:v>Wie viele kleinere antike Arkaden sind nebeneinander erhalten?</x:v>
      </x:c>
      <x:c r="H113" s="101" t="str"/>
      <x:c r="I113" s="101" t="str">
        <x:v>3</x:v>
      </x:c>
      <x:c r="J113" s="101" t="str">
        <x:v>DREI</x:v>
      </x:c>
      <x:c r="K113" s="101" t="str">
        <x:v>Drei teils eingetiefte Travertinarkaden.</x:v>
      </x:c>
      <x:c r="L113" s="101" t="str">
        <x:v>B</x:v>
      </x:c>
      <x:c r="M113" s="101" t="str">
        <x:v>Blickt hinter die Absperrung.</x:v>
      </x:c>
      <x:c r="N113" s="101" t="str">
        <x:v>Zählt nur die antiken Öffnungen.</x:v>
      </x:c>
      <x:c r="O113" s="101" t="str">
        <x:v>Materialfrage statt Zählung.</x:v>
      </x:c>
      <x:c r="P113" s="101" t="str">
        <x:v>Ratte behält Ausweichen</x:v>
      </x:c>
      <x:c r="Q113" s="101" t="str">
        <x:v>EDITORIAL_REVIEW</x:v>
      </x:c>
      <x:c r="R113" s="101" t="str">
        <x:v>https://www.sovraintendenzaroma.it/i_luoghi/roma_antica/monumenti/acquedotto_vergine</x:v>
      </x:c>
    </x:row>
    <x:row r="114" ht="82" customHeight="1">
      <x:c r="A114" s="104" t="str">
        <x:v>PZ-H-D1-03</x:v>
      </x:c>
      <x:c r="B114" s="104" t="str">
        <x:v>H-D1-03</x:v>
      </x:c>
      <x:c r="C114" s="104" t="str">
        <x:v>synthesis</x:v>
      </x:c>
      <x:c r="D114" s="104" t="str">
        <x:v>place_day_1_fontana_dei_satirelli</x:v>
      </x:c>
      <x:c r="E114" s="104" t="str">
        <x:v>Fontana dei Satirelli</x:v>
      </x:c>
      <x:c r="F114" s="104" t="str">
        <x:v>MATCH</x:v>
      </x:c>
      <x:c r="G114" s="104" t="str">
        <x:v>Ordnet Flöte und Traubenranke den beiden markierten Satyrpositionen zu.</x:v>
      </x:c>
      <x:c r="H114" s="104" t="str">
        <x:v>LINKS|RECHTS</x:v>
      </x:c>
      <x:c r="I114" s="104" t="str">
        <x:v>FIELD_REFERENCE_REQUIRED</x:v>
      </x:c>
      <x:c r="J114" s="104" t="str"/>
      <x:c r="K114" s="104" t="str">
        <x:v>Figürliche Satyrgruppe; genaue Seitenzuordnung vor Ort bestätigen.</x:v>
      </x:c>
      <x:c r="L114" s="104" t="str">
        <x:v>B</x:v>
      </x:c>
      <x:c r="M114" s="104" t="str">
        <x:v>Vergleicht Hände und Attribute.</x:v>
      </x:c>
      <x:c r="N114" s="104" t="str">
        <x:v>Fallback nutzt nur die Gattung: Satyrn.</x:v>
      </x:c>
      <x:c r="O114" s="104" t="str">
        <x:v>Welche mythologischen Wesen seht ihr? Satyrn.</x:v>
      </x:c>
      <x:c r="P114" s="104" t="str">
        <x:v>Kampf startet ohne Verwirrungsdebuff</x:v>
      </x:c>
      <x:c r="Q114" s="104" t="str">
        <x:v>FIELD_CHECK_REQUIRED</x:v>
      </x:c>
      <x:c r="R114" s="104" t="str">
        <x:v>https://www.comune.roma.it/web/it/attivita-progetto.page?contentId=PRG1072554</x:v>
      </x:c>
    </x:row>
    <x:row r="115" ht="82" customHeight="1">
      <x:c r="A115" s="101" t="str">
        <x:v>PZ-H-D2-01</x:v>
      </x:c>
      <x:c r="B115" s="101" t="str">
        <x:v>H-D2-01</x:v>
      </x:c>
      <x:c r="C115" s="101" t="str">
        <x:v>synthesis</x:v>
      </x:c>
      <x:c r="D115" s="101" t="str">
        <x:v>place_day_2_piazza_vittorio_emanuele_secondo</x:v>
      </x:c>
      <x:c r="E115" s="101" t="str">
        <x:v>Piazza Vittorio Emanuele Secondo</x:v>
      </x:c>
      <x:c r="F115" s="101" t="str">
        <x:v>SEQUENCE</x:v>
      </x:c>
      <x:c r="G115" s="101" t="str">
        <x:v>Setzt die drei alchemistischen Schritte in die vorgegebene Reihenfolge: Stein – Metall – Licht.</x:v>
      </x:c>
      <x:c r="H115" s="101" t="str">
        <x:v>STEIN|METALL|LICHT</x:v>
      </x:c>
      <x:c r="I115" s="101" t="str">
        <x:v>STEIN&gt;METALL&gt;LICHT</x:v>
      </x:c>
      <x:c r="J115" s="101" t="str"/>
      <x:c r="K115" s="101" t="str">
        <x:v>Zwei Wächter und Porta Magica als sichtbarer Anker; Sequenz kommt aus Dialog-Fact-Set.</x:v>
      </x:c>
      <x:c r="L115" s="101" t="str">
        <x:v>B</x:v>
      </x:c>
      <x:c r="M115" s="101" t="str">
        <x:v>Beginnt mit dem festen Material.</x:v>
      </x:c>
      <x:c r="N115" s="101" t="str">
        <x:v>Licht steht am Ende.</x:v>
      </x:c>
      <x:c r="O115" s="101" t="str">
        <x:v>Nur Anzahl der Wächter: zwei.</x:v>
      </x:c>
      <x:c r="P115" s="101" t="str">
        <x:v>Bonusloot entfällt</x:v>
      </x:c>
      <x:c r="Q115" s="101" t="str">
        <x:v>EDITORIAL_REVIEW</x:v>
      </x:c>
      <x:c r="R115" s="101" t="str">
        <x:v>https://it.wikipedia.org/wiki/Piazza_Vittorio_Emanuele_II_(Roma)</x:v>
      </x:c>
    </x:row>
    <x:row r="116" ht="82" customHeight="1">
      <x:c r="A116" s="104" t="str">
        <x:v>PZ-H-D2-02</x:v>
      </x:c>
      <x:c r="B116" s="104" t="str">
        <x:v>H-D2-02</x:v>
      </x:c>
      <x:c r="C116" s="104" t="str">
        <x:v>synthesis</x:v>
      </x:c>
      <x:c r="D116" s="104" t="str">
        <x:v>place_day_2_piazza_dante</x:v>
      </x:c>
      <x:c r="E116" s="104" t="str">
        <x:v>Piazza Dante</x:v>
      </x:c>
      <x:c r="F116" s="104" t="str">
        <x:v>DIRECTION_TEXT</x:v>
      </x:c>
      <x:c r="G116" s="104" t="str">
        <x:v>Bestimmt Norden auf der Windrose und gebt das italienische Wort für Ausgang ein.</x:v>
      </x:c>
      <x:c r="H116" s="104" t="str"/>
      <x:c r="I116" s="104" t="str">
        <x:v>USCITA</x:v>
      </x:c>
      <x:c r="J116" s="104" t="str">
        <x:v>AUSGANG|USCITA</x:v>
      </x:c>
      <x:c r="K116" s="104" t="str">
        <x:v>Große Windrose im Gartenpflaster.</x:v>
      </x:c>
      <x:c r="L116" s="104" t="str">
        <x:v>B</x:v>
      </x:c>
      <x:c r="M116" s="104" t="str">
        <x:v>Orientiert euch am N.</x:v>
      </x:c>
      <x:c r="N116" s="104" t="str">
        <x:v>U S C I T A.</x:v>
      </x:c>
      <x:c r="O116" s="104" t="str">
        <x:v>Nur Norden auf einer Vier-Richtungs-Auswahl markieren.</x:v>
      </x:c>
      <x:c r="P116" s="104" t="str">
        <x:v>Optionaler Gegner wird aggressiver</x:v>
      </x:c>
      <x:c r="Q116" s="104" t="str">
        <x:v>EDITORIAL_REVIEW</x:v>
      </x:c>
      <x:c r="R116" s="104" t="str">
        <x:v>https://www.turismoroma.it/it/luoghi/giardino-di-piazza-dante</x:v>
      </x:c>
    </x:row>
  </x:sheetData>
  <x:mergeCells>
    <x:mergeCell ref="A1:R1"/>
    <x:mergeCell ref="A2:R2"/>
  </x:mergeCells>
  <x:conditionalFormatting sqref="Q5:Q116">
    <x:cfRule type="containsText" dxfId="30" priority="1" operator="containsText" text="FIELD"/>
  </x:conditionalFormatting>
  <x:pageMargins left="0.7" right="0.7" top="0.75" bottom="0.75" header="0.3" footer="0.3"/>
  <x:tableParts count="1">
    <x:tablePart xmlns:r="http://schemas.openxmlformats.org/officeDocument/2006/relationships" r:id="R42bb2d9222104ad9"/>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25" hidden="0" customWidth="1"/>
    <x:col min="2" max="2" width="30" hidden="0" customWidth="1"/>
    <x:col min="3" max="3" width="18" hidden="0" customWidth="1"/>
    <x:col min="4" max="4" width="30" hidden="0" customWidth="1"/>
    <x:col min="5" max="5" width="11" hidden="0" customWidth="1"/>
    <x:col min="6" max="6" width="24" hidden="0" customWidth="1"/>
    <x:col min="7" max="7" width="55" hidden="0" customWidth="1"/>
    <x:col min="8" max="8" width="60" hidden="0" customWidth="1"/>
    <x:col min="9" max="9" width="55" hidden="0" customWidth="1"/>
    <x:col min="10" max="10" width="55" hidden="0" customWidth="1"/>
    <x:col min="11" max="11" width="45" hidden="0" customWidth="1"/>
    <x:col min="12" max="12" width="38" hidden="0" customWidth="1"/>
    <x:col min="13" max="13" width="55" hidden="0" customWidth="1"/>
    <x:col min="14" max="14" width="35" hidden="0" customWidth="1"/>
    <x:col min="15" max="15" width="30" hidden="0" customWidth="1"/>
    <x:col min="16" max="16" width="42" hidden="0" customWidth="1"/>
    <x:col min="17" max="17" width="38" hidden="0" customWidth="1"/>
    <x:col min="18" max="18" width="42" hidden="0" customWidth="1"/>
    <x:col min="19" max="19" width="24" hidden="0" customWidth="1"/>
    <x:col min="20" max="20" width="72" hidden="0" customWidth="1"/>
    <x:col min="21" max="21" width="42" hidden="0" customWidth="1"/>
    <x:col min="22" max="22" width="24" hidden="0" customWidth="1"/>
  </x:cols>
  <x:sheetData>
    <x:row r="1" ht="28" customHeight="1">
      <x:c r="A1" s="91" t="str">
        <x:v>Via Romae – Kampfprofile v0.9</x:v>
      </x:c>
      <x:c r="B1" s="91"/>
      <x:c r="C1" s="91"/>
      <x:c r="D1" s="91"/>
      <x:c r="E1" s="91"/>
      <x:c r="F1" s="91"/>
      <x:c r="G1" s="91"/>
      <x:c r="H1" s="91"/>
      <x:c r="I1" s="91"/>
      <x:c r="J1" s="91"/>
      <x:c r="K1" s="91"/>
      <x:c r="L1" s="91"/>
      <x:c r="M1" s="91"/>
      <x:c r="N1" s="91"/>
      <x:c r="O1" s="91"/>
      <x:c r="P1" s="91"/>
      <x:c r="Q1" s="91"/>
      <x:c r="R1" s="91"/>
      <x:c r="S1" s="91"/>
      <x:c r="T1" s="91"/>
      <x:c r="U1" s="91"/>
      <x:c r="V1" s="91"/>
    </x:row>
    <x:row r="2" ht="38" customHeight="1">
      <x:c r="A2" s="95" t="str">
        <x:v>Questgegner, World Bosse und zwölf Unique WORLD_ENEMIES. Qualitative Profile und kanonische Zahlenwerte sind vollständig referenziert; offene Punkte bleiben ausschliesslich Runtime-/Freigabefragen.</x:v>
      </x:c>
      <x:c r="B2" s="95"/>
      <x:c r="C2" s="95"/>
      <x:c r="D2" s="95"/>
      <x:c r="E2" s="95"/>
      <x:c r="F2" s="95"/>
      <x:c r="G2" s="95"/>
      <x:c r="H2" s="95"/>
      <x:c r="I2" s="95"/>
      <x:c r="J2" s="95"/>
      <x:c r="K2" s="95"/>
      <x:c r="L2" s="95"/>
      <x:c r="M2" s="95"/>
      <x:c r="N2" s="95"/>
      <x:c r="O2" s="95"/>
      <x:c r="P2" s="95"/>
      <x:c r="Q2" s="95"/>
      <x:c r="R2" s="95"/>
      <x:c r="S2" s="95"/>
      <x:c r="T2" s="95"/>
      <x:c r="U2" s="95"/>
      <x:c r="V2" s="95"/>
    </x:row>
    <x:row r="3">
      <x:c r="A3" s="52"/>
      <x:c r="B3" s="52"/>
      <x:c r="C3" s="52"/>
      <x:c r="D3" s="52"/>
      <x:c r="E3" s="52"/>
      <x:c r="F3" s="52"/>
      <x:c r="G3" s="52"/>
      <x:c r="H3" s="52"/>
      <x:c r="I3" s="52"/>
      <x:c r="J3" s="52"/>
      <x:c r="K3" s="52"/>
      <x:c r="L3" s="52"/>
      <x:c r="M3" s="52"/>
      <x:c r="N3" s="52"/>
      <x:c r="O3" s="52"/>
      <x:c r="P3" s="52"/>
      <x:c r="Q3" s="52"/>
      <x:c r="R3" s="52"/>
      <x:c r="S3" s="52"/>
      <x:c r="T3" s="52"/>
      <x:c r="U3" s="52"/>
      <x:c r="V3" s="52"/>
    </x:row>
    <x:row r="4" ht="42" customHeight="1">
      <x:c r="A4" s="98" t="str">
        <x:v>Combat-Profile-ID</x:v>
      </x:c>
      <x:c r="B4" s="98" t="str">
        <x:v>Quest-/Encounter-IDs</x:v>
      </x:c>
      <x:c r="C4" s="98" t="str">
        <x:v>Systemtyp</x:v>
      </x:c>
      <x:c r="D4" s="98" t="str">
        <x:v>Gegner</x:v>
      </x:c>
      <x:c r="E4" s="98" t="str">
        <x:v>Rarität</x:v>
      </x:c>
      <x:c r="F4" s="98" t="str">
        <x:v>Kampfrolle</x:v>
      </x:c>
      <x:c r="G4" s="98" t="str">
        <x:v>Narrativer Auftritt</x:v>
      </x:c>
      <x:c r="H4" s="98" t="str">
        <x:v>Kampfmuster</x:v>
      </x:c>
      <x:c r="I4" s="98" t="str">
        <x:v>Fähigkeit 1</x:v>
      </x:c>
      <x:c r="J4" s="98" t="str">
        <x:v>Fähigkeit 2</x:v>
      </x:c>
      <x:c r="K4" s="98" t="str">
        <x:v>Phasenregel</x:v>
      </x:c>
      <x:c r="L4" s="98" t="str">
        <x:v>Zielwahl</x:v>
      </x:c>
      <x:c r="M4" s="98" t="str">
        <x:v>Counterplay / Anfälligkeit</x:v>
      </x:c>
      <x:c r="N4" s="98" t="str">
        <x:v>Status-Effekte</x:v>
      </x:c>
      <x:c r="O4" s="98" t="str">
        <x:v>Siegbedingung</x:v>
      </x:c>
      <x:c r="P4" s="98" t="str">
        <x:v>Niederlage / Retry</x:v>
      </x:c>
      <x:c r="Q4" s="98" t="str">
        <x:v>Reward-Klasse</x:v>
      </x:c>
      <x:c r="R4" s="98" t="str">
        <x:v>Respawn / Verfügbarkeit</x:v>
      </x:c>
      <x:c r="S4" s="98" t="str">
        <x:v>Bildreferenz</x:v>
      </x:c>
      <x:c r="T4" s="98" t="str">
        <x:v>Bildgenerierungsbeschreibung</x:v>
      </x:c>
      <x:c r="U4" s="98" t="str">
        <x:v>Noch zu balancieren</x:v>
      </x:c>
      <x:c r="V4" s="98" t="str">
        <x:v>Status</x:v>
      </x:c>
    </x:row>
    <x:row r="5" ht="104" customHeight="1">
      <x:c r="A5" s="101" t="str">
        <x:v>CP-QE-PASSETTO</x:v>
      </x:c>
      <x:c r="B5" s="101" t="str">
        <x:v>D1-Q01</x:v>
      </x:c>
      <x:c r="C5" s="101" t="str">
        <x:v>QUEST_ENEMY</x:v>
      </x:c>
      <x:c r="D5" s="101" t="str">
        <x:v>Schatten des Passetto</x:v>
      </x:c>
      <x:c r="E5" s="101" t="str">
        <x:v>SR</x:v>
      </x:c>
      <x:c r="F5" s="101" t="str">
        <x:v>CONTROL</x:v>
      </x:c>
      <x:c r="G5" s="101" t="str">
        <x:v>Ein flacher Mauerschatten löst sich aus den Schießscharten und zieht Fluchtwege wie schwarze Bänder zu.</x:v>
      </x:c>
      <x:c r="H5" s="101" t="str">
        <x:v>Markiert zuerst einen Ausgang, sperrt ihn in der Folgerunde und bestraft unkoordinierte Zielwechsel.</x:v>
      </x:c>
      <x:c r="I5" s="101" t="str">
        <x:v>Mauergriff: blockiert eine Unterstützungsaktion für eine Runde.</x:v>
      </x:c>
      <x:c r="J5" s="101" t="str">
        <x:v>Falscher Ausgang: legt zwei scheinbare Ziele an; Beobachtungshinweis deckt das echte auf.</x:v>
      </x:c>
      <x:c r="K5" s="101" t="str">
        <x:v>Optionaler Kampf nur bei Teamentscheidung SCHATTEN_STELLEN; keine zweite Phase.</x:v>
      </x:c>
      <x:c r="L5" s="101" t="str">
        <x:v>Bevorzugt den Spieler mit der letzten Questinteraktion.</x:v>
      </x:c>
      <x:c r="M5" s="101" t="str">
        <x:v>Siegel der Schildwacht oder Schweizergardisten-Schutzruf entfernt die erste Sperre.</x:v>
      </x:c>
      <x:c r="N5" s="101" t="str">
        <x:v>MARKED_EXIT|ACTION_LOCK</x:v>
      </x:c>
      <x:c r="O5" s="101" t="str">
        <x:v>SIDE_B_DEFEATED / objective-specific</x:v>
      </x:c>
      <x:c r="P5" s="101" t="str">
        <x:v>TEAM_WIPED / retry rule</x:v>
      </x:c>
      <x:c r="Q5" s="101" t="str">
        <x:v>Späteres Reward-/Loot-Balancing</x:v>
      </x:c>
      <x:c r="R5" s="101" t="str">
        <x:v>QUEST_INSTANCE_NO_RESPAWN</x:v>
      </x:c>
      <x:c r="S5" s="101"/>
      <x:c r="T5" s="101" t="str">
        <x:v>Mobile-RPG-Gegnerkonzept, vollständige Figur, gut lesbare Kampfsilhouette, Rom-Fantasy, Dünne humanoide Schattenfigur aus verwittertem Mauerputz, verlängerte Arme, Hellebardensilhouette ohne Waffe, kalte blaue Augen, Passetto-Mauer als abstrakter Hintergrund. Dramatisches aber nicht fotorealistisches Licht, neutraler transparenzgeeigneter Hintergrund, keine Schrift, kein Logo, keine Gore.</x:v>
      </x:c>
      <x:c r="U5" s="101" t="str">
        <x:v>HP|DEF|Damage|Initiative|Statuschance|Rewards</x:v>
      </x:c>
      <x:c r="V5" s="101" t="str">
        <x:v>EDITORIAL_REVIEW</x:v>
      </x:c>
    </x:row>
    <x:row r="6" ht="104" customHeight="1">
      <x:c r="A6" s="104" t="str">
        <x:v>CP-QE-CAVALLEGGERO</x:v>
      </x:c>
      <x:c r="B6" s="104" t="str">
        <x:v>D1-Q02</x:v>
      </x:c>
      <x:c r="C6" s="104" t="str">
        <x:v>QUEST_ENEMY</x:v>
      </x:c>
      <x:c r="D6" s="104" t="str">
        <x:v>Cavalleggero Pontificio</x:v>
      </x:c>
      <x:c r="E6" s="104" t="str">
        <x:v>R</x:v>
      </x:c>
      <x:c r="F6" s="104" t="str">
        <x:v>DEFENDER</x:v>
      </x:c>
      <x:c r="G6" s="104" t="str">
        <x:v>Ein päpstlicher Reitergeist senkt die Lanze und erklärt die gewählte Torordnung zur Beleidigung.</x:v>
      </x:c>
      <x:c r="H6" s="104" t="str">
        <x:v>Beginnt defensiv; telegraphiert eine Lanzenlinie und kontert Angriffe auf falsche Ziele.</x:v>
      </x:c>
      <x:c r="I6" s="104" t="str">
        <x:v>Lanzenritt: starker Einzelangriff nach einer sichtbaren Vorbereitungsrunde.</x:v>
      </x:c>
      <x:c r="J6" s="104" t="str">
        <x:v>Wappenschild: erhält Schutz, bis das korrekte Tor-Merkmal aktiviert wird.</x:v>
      </x:c>
      <x:c r="K6" s="104" t="str">
        <x:v>Bei halber Vitalität steigt er ab und verliert Reichweite, gewinnt aber Konter.</x:v>
      </x:c>
      <x:c r="L6" s="104" t="str">
        <x:v>Zielt zuerst auf den höchsten Angriffswert.</x:v>
      </x:c>
      <x:c r="M6" s="104" t="str">
        <x:v>Condottiere-Analyse oder richtige Torreihenfolge bricht Wappenschild.</x:v>
      </x:c>
      <x:c r="N6" s="104" t="str">
        <x:v>GUARDED|TELEGRAPHED_CHARGE</x:v>
      </x:c>
      <x:c r="O6" s="104" t="str">
        <x:v>SIDE_B_DEFEATED / objective-specific</x:v>
      </x:c>
      <x:c r="P6" s="104" t="str">
        <x:v>TEAM_WIPED / retry rule</x:v>
      </x:c>
      <x:c r="Q6" s="104" t="str">
        <x:v>Späteres Reward-/Loot-Balancing</x:v>
      </x:c>
      <x:c r="R6" s="104" t="str">
        <x:v>QUEST_INSTANCE_NO_RESPAWN</x:v>
      </x:c>
      <x:c r="S6" s="104"/>
      <x:c r="T6" s="104" t="str">
        <x:v>Mobile-RPG-Gegnerkonzept, vollständige Figur, gut lesbare Kampfsilhouette, Rom-Fantasy, Geisterhafter Renaissance-Kavallerist, dunkle päpstliche Reiterrüstung, rot-goldener Mantel, halbtransparentes Pferd aus Staub, lange Lanze, Wappenschild. Dramatisches aber nicht fotorealistisches Licht, neutraler transparenzgeeigneter Hintergrund, keine Schrift, kein Logo, keine Gore.</x:v>
      </x:c>
      <x:c r="U6" s="104" t="str">
        <x:v>HP|DEF|Damage|Initiative|Statuschance|Rewards</x:v>
      </x:c>
      <x:c r="V6" s="104" t="str">
        <x:v>EDITORIAL_REVIEW</x:v>
      </x:c>
    </x:row>
    <x:row r="7" ht="104" customHeight="1">
      <x:c r="A7" s="101" t="str">
        <x:v>CP-QE-ANTINOO</x:v>
      </x:c>
      <x:c r="B7" s="101" t="str">
        <x:v>D1-Q04</x:v>
      </x:c>
      <x:c r="C7" s="101" t="str">
        <x:v>QUEST_ENEMY</x:v>
      </x:c>
      <x:c r="D7" s="101" t="str">
        <x:v>Ombra di Antinoo</x:v>
      </x:c>
      <x:c r="E7" s="101" t="str">
        <x:v>SR</x:v>
      </x:c>
      <x:c r="F7" s="101" t="str">
        <x:v>ILLUSIONIST</x:v>
      </x:c>
      <x:c r="G7" s="101" t="str">
        <x:v>Ein schöner, gesichtsloser Schatten erscheint zwischen Hieroglyphen und Stadtpanorama.</x:v>
      </x:c>
      <x:c r="H7" s="101" t="str">
        <x:v>Erzeugt Spiegelbilder; jede richtige Ortszuordnung entfernt eines vor Kampfbeginn.</x:v>
      </x:c>
      <x:c r="I7" s="101" t="str">
        <x:v>Spiegel des Favoriten: kopiert die zuletzt eingesetzte Spielerfähigkeit abgeschwächt.</x:v>
      </x:c>
      <x:c r="J7" s="101" t="str">
        <x:v>Vergessene Wölfin: teamweiter Furchteffekt, falls Tessera Lupae nicht eingesetzt wurde.</x:v>
      </x:c>
      <x:c r="K7" s="101" t="str">
        <x:v>Eine Phase; bei niedriger Vitalität werden Zielbilder schneller, aber fragiler.</x:v>
      </x:c>
      <x:c r="L7" s="101" t="str">
        <x:v>Zielt auf den Spieler mit den meisten Buffs.</x:v>
      </x:c>
      <x:c r="M7" s="101" t="str">
        <x:v>Tessera Lupae entfernt Furcht; Beobachtungsmarker entlarven Original.</x:v>
      </x:c>
      <x:c r="N7" s="101" t="str">
        <x:v>ILLUSION|FEAR</x:v>
      </x:c>
      <x:c r="O7" s="101" t="str">
        <x:v>SIDE_B_DEFEATED / objective-specific</x:v>
      </x:c>
      <x:c r="P7" s="101" t="str">
        <x:v>TEAM_WIPED / retry rule</x:v>
      </x:c>
      <x:c r="Q7" s="101" t="str">
        <x:v>Späteres Reward-/Loot-Balancing</x:v>
      </x:c>
      <x:c r="R7" s="101" t="str">
        <x:v>QUEST_INSTANCE_NO_RESPAWN</x:v>
      </x:c>
      <x:c r="S7" s="101"/>
      <x:c r="T7" s="101" t="str">
        <x:v>Mobile-RPG-Gegnerkonzept, vollständige Figur, gut lesbare Kampfsilhouette, Rom-Fantasy, Eleganter geisterhafter Jüngling als dunkle Marmor-Silhouette, Gesicht bewusst nicht realistisch, goldene Hieroglyphenrisse, violetter Nebel, mehrere brüchige Spiegelbilder. Dramatisches aber nicht fotorealistisches Licht, neutraler transparenzgeeigneter Hintergrund, keine Schrift, kein Logo, keine Gore.</x:v>
      </x:c>
      <x:c r="U7" s="101" t="str">
        <x:v>HP|DEF|Damage|Initiative|Statuschance|Rewards</x:v>
      </x:c>
      <x:c r="V7" s="101" t="str">
        <x:v>EDITORIAL_REVIEW</x:v>
      </x:c>
    </x:row>
    <x:row r="8" ht="104" customHeight="1">
      <x:c r="A8" s="104" t="str">
        <x:v>CP-QE-MUMMIA</x:v>
      </x:c>
      <x:c r="B8" s="104" t="str">
        <x:v>D1-Q07</x:v>
      </x:c>
      <x:c r="C8" s="104" t="str">
        <x:v>QUEST_ENEMY</x:v>
      </x:c>
      <x:c r="D8" s="104" t="str">
        <x:v>Mummia dell’Iseo</x:v>
      </x:c>
      <x:c r="E8" s="104" t="str">
        <x:v>R</x:v>
      </x:c>
      <x:c r="F8" s="104" t="str">
        <x:v>DEBUFFER</x:v>
      </x:c>
      <x:c r="G8" s="104" t="str">
        <x:v>Eine kleine in Leinen gewickelte Kultfigur erwacht aus dem Obeliskschatten und sammelt verlorene Buchstaben.</x:v>
      </x:c>
      <x:c r="H8" s="104" t="str">
        <x:v>Verflucht falsche Texteingaben und baut eine Schutzschicht aus Hieroglyphen auf.</x:v>
      </x:c>
      <x:c r="I8" s="104" t="str">
        <x:v>Buchstabenraub: sperrt eine zufällige Fähigkeit bis ein Teammitglied das korrekte Wort bestätigt.</x:v>
      </x:c>
      <x:c r="J8" s="104" t="str">
        <x:v>Leinenpanzer: reduziert den ersten direkten Treffer jeder Runde.</x:v>
      </x:c>
      <x:c r="K8" s="104" t="str">
        <x:v>Keine Phase; optionaler Kampf nach korrekter Transkription deutlich kürzer.</x:v>
      </x:c>
      <x:c r="L8" s="104" t="str">
        <x:v>Bevorzugt Spieler mit ungenutzten Unterstützungsfähigkeiten.</x:v>
      </x:c>
      <x:c r="M8" s="104" t="str">
        <x:v>Wachstafel AGRIPPA entfernt Leinenpanzer; Feuer-/Lichtthema unterbricht Buchstabenraub.</x:v>
      </x:c>
      <x:c r="N8" s="104" t="str">
        <x:v>SILENCED_SKILL|WRAPPED_ARMOR</x:v>
      </x:c>
      <x:c r="O8" s="104" t="str">
        <x:v>SIDE_B_DEFEATED / objective-specific</x:v>
      </x:c>
      <x:c r="P8" s="104" t="str">
        <x:v>TEAM_WIPED / retry rule</x:v>
      </x:c>
      <x:c r="Q8" s="104" t="str">
        <x:v>Späteres Reward-/Loot-Balancing</x:v>
      </x:c>
      <x:c r="R8" s="104" t="str">
        <x:v>QUEST_INSTANCE_NO_RESPAWN</x:v>
      </x:c>
      <x:c r="S8" s="104"/>
      <x:c r="T8" s="104" t="str">
        <x:v>Mobile-RPG-Gegnerkonzept, vollständige Figur, gut lesbare Kampfsilhouette, Rom-Fantasy, Kleine römisch-ägyptische Mumiengestalt, altes Leinen, bronzene Amulette, schwebende Buchstaben, türkis leuchtende Augen, keine Gruselgore. Dramatisches aber nicht fotorealistisches Licht, neutraler transparenzgeeigneter Hintergrund, keine Schrift, kein Logo, keine Gore.</x:v>
      </x:c>
      <x:c r="U8" s="104" t="str">
        <x:v>HP|DEF|Damage|Initiative|Statuschance|Rewards</x:v>
      </x:c>
      <x:c r="V8" s="104" t="str">
        <x:v>EDITORIAL_REVIEW</x:v>
      </x:c>
    </x:row>
    <x:row r="9" ht="104" customHeight="1">
      <x:c r="A9" s="101" t="str">
        <x:v>CP-QE-RATTO</x:v>
      </x:c>
      <x:c r="B9" s="101" t="str">
        <x:v>D1-Q09|H-D1-02</x:v>
      </x:c>
      <x:c r="C9" s="101" t="str">
        <x:v>QUEST_ENEMY</x:v>
      </x:c>
      <x:c r="D9" s="101" t="str">
        <x:v>Ratto dell’Acqua Virgo</x:v>
      </x:c>
      <x:c r="E9" s="101" t="str">
        <x:v>R</x:v>
      </x:c>
      <x:c r="F9" s="101" t="str">
        <x:v>SKIRMISHER</x:v>
      </x:c>
      <x:c r="G9" s="101" t="str">
        <x:v>Eine übergroße Kanalratte schüttelt Travertinstaub aus dem Fell und verteidigt gestohlene Münzen.</x:v>
      </x:c>
      <x:c r="H9" s="101" t="str">
        <x:v>Wechselt zwischen schnellem Biss und Rückzug; baut Schmutzstapel auf, wenn das Team denselben Angriff wiederholt.</x:v>
      </x:c>
      <x:c r="I9" s="101" t="str">
        <x:v>Schmutzspritzer: teamweiter kleiner Debuff auf Heilung.</x:v>
      </x:c>
      <x:c r="J9" s="101" t="str">
        <x:v>Münzflucht: erhält Ausweichen und versucht in der Folgerunde einen Denareneffekt auszulösen.</x:v>
      </x:c>
      <x:c r="K9" s="101" t="str">
        <x:v>Keine Phase; Hidden-Variante startet mit Ausweichen, reguläre Questvariante mit Schmutz.</x:v>
      </x:c>
      <x:c r="L9" s="101" t="str">
        <x:v>Zielt auf den Charakter mit niedrigster aktueller Vitalität.</x:v>
      </x:c>
      <x:c r="M9" s="101" t="str">
        <x:v>Ampulla Virgo reinigt Schmutz; abwechslungsreiche Aktionen verhindern Ausweichen.</x:v>
      </x:c>
      <x:c r="N9" s="101" t="str">
        <x:v>DIRTY|HEALING_REDUCED|EVASIVE</x:v>
      </x:c>
      <x:c r="O9" s="101" t="str">
        <x:v>SIDE_B_DEFEATED / objective-specific</x:v>
      </x:c>
      <x:c r="P9" s="101" t="str">
        <x:v>TEAM_WIPED / retry rule</x:v>
      </x:c>
      <x:c r="Q9" s="101" t="str">
        <x:v>Späteres Reward-/Loot-Balancing</x:v>
      </x:c>
      <x:c r="R9" s="101" t="str">
        <x:v>QUEST_INSTANCE_NO_RESPAWN</x:v>
      </x:c>
      <x:c r="S9" s="101"/>
      <x:c r="T9" s="101" t="str">
        <x:v>Mobile-RPG-Gegnerkonzept, vollständige Figur, gut lesbare Kampfsilhouette, Rom-Fantasy, Große nasse Kanalratte, zerfetzte römische Schärpe, gestohlene Münzen im Fell, Travertinstaub, freches Gesicht, blaugrüne Wasserreflexe. Dramatisches aber nicht fotorealistisches Licht, neutraler transparenzgeeigneter Hintergrund, keine Schrift, kein Logo, keine Gore.</x:v>
      </x:c>
      <x:c r="U9" s="101" t="str">
        <x:v>HP|DEF|Damage|Initiative|Statuschance|Rewards</x:v>
      </x:c>
      <x:c r="V9" s="101" t="str">
        <x:v>EDITORIAL_REVIEW</x:v>
      </x:c>
    </x:row>
    <x:row r="10" ht="104" customHeight="1">
      <x:c r="A10" s="104" t="str">
        <x:v>CP-QE-CORAZZIERE</x:v>
      </x:c>
      <x:c r="B10" s="104" t="str">
        <x:v>D1-Q10</x:v>
      </x:c>
      <x:c r="C10" s="104" t="str">
        <x:v>QUEST_ENEMY</x:v>
      </x:c>
      <x:c r="D10" s="104" t="str">
        <x:v>Corazziere del Colle</x:v>
      </x:c>
      <x:c r="E10" s="104" t="str">
        <x:v>SR</x:v>
      </x:c>
      <x:c r="F10" s="104" t="str">
        <x:v>DUELIST</x:v>
      </x:c>
      <x:c r="G10" s="104" t="str">
        <x:v>Ein steinerner Palastwächter tritt nur bei einer provokanten Loyalitätswahl aus der Fassadenlinie.</x:v>
      </x:c>
      <x:c r="H10" s="104" t="str">
        <x:v>Fordert den stärksten Einzelkämpfer, wechselt aber das Ziel bei Schutzaktionen.</x:v>
      </x:c>
      <x:c r="I10" s="104" t="str">
        <x:v>Staatsparade: verstärkt Verteidigung, solange kein Teammitglied eine Unterstützungsaktion nutzt.</x:v>
      </x:c>
      <x:c r="J10" s="104" t="str">
        <x:v>Ehrenkonter: kontert die erste schwere Attacke jeder zweiten Runde.</x:v>
      </x:c>
      <x:c r="K10" s="104" t="str">
        <x:v>Optionaler Kampf; keine Phasen, aber Haltung wechselt zwischen Parade und Duell.</x:v>
      </x:c>
      <x:c r="L10" s="104" t="str">
        <x:v>Höchster Angriff, danach Supporter.</x:v>
      </x:c>
      <x:c r="M10" s="104" t="str">
        <x:v>Team-Support bricht Parade; Condottiere kann Konter früh telegraphieren.</x:v>
      </x:c>
      <x:c r="N10" s="104" t="str">
        <x:v>PARRY|CEREMONIAL_GUARD</x:v>
      </x:c>
      <x:c r="O10" s="104" t="str">
        <x:v>SIDE_B_DEFEATED / objective-specific</x:v>
      </x:c>
      <x:c r="P10" s="104" t="str">
        <x:v>TEAM_WIPED / retry rule</x:v>
      </x:c>
      <x:c r="Q10" s="104" t="str">
        <x:v>Späteres Reward-/Loot-Balancing</x:v>
      </x:c>
      <x:c r="R10" s="104" t="str">
        <x:v>QUEST_INSTANCE_NO_RESPAWN</x:v>
      </x:c>
      <x:c r="S10" s="104"/>
      <x:c r="T10" s="104" t="str">
        <x:v>Mobile-RPG-Gegnerkonzept, vollständige Figur, gut lesbare Kampfsilhouette, Rom-Fantasy, Hochgewachsener italienischer Kürassier als Stein- und Metallgeist, polierter Brustpanzer, hoher Helm mit Rossschweif, dunkler Umhang, würdevoll statt modern-militärisch. Dramatisches aber nicht fotorealistisches Licht, neutraler transparenzgeeigneter Hintergrund, keine Schrift, kein Logo, keine Gore.</x:v>
      </x:c>
      <x:c r="U10" s="104" t="str">
        <x:v>HP|DEF|Damage|Initiative|Statuschance|Rewards</x:v>
      </x:c>
      <x:c r="V10" s="104" t="str">
        <x:v>EDITORIAL_REVIEW</x:v>
      </x:c>
    </x:row>
    <x:row r="11" ht="104" customHeight="1">
      <x:c r="A11" s="101" t="str">
        <x:v>CP-QE-TARTARUGHE</x:v>
      </x:c>
      <x:c r="B11" s="101" t="str">
        <x:v>D1-Q13|H-D1-01</x:v>
      </x:c>
      <x:c r="C11" s="101" t="str">
        <x:v>QUEST_ENEMY</x:v>
      </x:c>
      <x:c r="D11" s="101" t="str">
        <x:v>Custode delle Tartarughe</x:v>
      </x:c>
      <x:c r="E11" s="101" t="str">
        <x:v>R</x:v>
      </x:c>
      <x:c r="F11" s="101" t="str">
        <x:v>COUNTER_TANK</x:v>
      </x:c>
      <x:c r="G11" s="101" t="str">
        <x:v>Vier kleine Bronzeschatten formen gemeinsam einen überraschend standhaften Wächter.</x:v>
      </x:c>
      <x:c r="H11" s="101" t="str">
        <x:v>Zieht sich in den Panzer zurück, wenn mehrere Spieler dasselbe Ziel fokussieren; öffnet sich nach unterschiedlichen Aktionstypen.</x:v>
      </x:c>
      <x:c r="I11" s="101" t="str">
        <x:v>Vierfacher Panzer: erhält vier Schutzmarken, eine pro sichtbarer Schildkröte.</x:v>
      </x:c>
      <x:c r="J11" s="101" t="str">
        <x:v>Brunnenstoß: trifft alle, wenn keine Schutzmarke in der Runde entfernt wurde.</x:v>
      </x:c>
      <x:c r="K11" s="101" t="str">
        <x:v>Keine Phase; Hidden-Version besitzt alle vier Marken, Questversion kann ohne Kampf gelöst werden.</x:v>
      </x:c>
      <x:c r="L11" s="101" t="str">
        <x:v>Teamweit, sonst letzter Angreifer.</x:v>
      </x:c>
      <x:c r="M11" s="101" t="str">
        <x:v>Vier unterschiedliche Aktionen entfernen alle Marken; Bildhauer-Schwachstelle zählt doppelt.</x:v>
      </x:c>
      <x:c r="N11" s="101" t="str">
        <x:v>SHELL_GUARD|SPLASH</x:v>
      </x:c>
      <x:c r="O11" s="101" t="str">
        <x:v>SIDE_B_DEFEATED / objective-specific</x:v>
      </x:c>
      <x:c r="P11" s="101" t="str">
        <x:v>TEAM_WIPED / retry rule</x:v>
      </x:c>
      <x:c r="Q11" s="101" t="str">
        <x:v>Späteres Reward-/Loot-Balancing</x:v>
      </x:c>
      <x:c r="R11" s="101" t="str">
        <x:v>QUEST_INSTANCE_NO_RESPAWN</x:v>
      </x:c>
      <x:c r="S11" s="101"/>
      <x:c r="T11" s="101" t="str">
        <x:v>Mobile-RPG-Gegnerkonzept, vollständige Figur, gut lesbare Kampfsilhouette, Rom-Fantasy, Bronzener Schildkrötenwächter aus vier ineinandergreifenden Schildkrötenformen, grüne Patina, Wasserbänder, goldene Augen, kompakte freundliche Bedrohung. Dramatisches aber nicht fotorealistisches Licht, neutraler transparenzgeeigneter Hintergrund, keine Schrift, kein Logo, keine Gore.</x:v>
      </x:c>
      <x:c r="U11" s="101" t="str">
        <x:v>HP|DEF|Damage|Initiative|Statuschance|Rewards</x:v>
      </x:c>
      <x:c r="V11" s="101" t="str">
        <x:v>EDITORIAL_REVIEW</x:v>
      </x:c>
    </x:row>
    <x:row r="12" ht="104" customHeight="1">
      <x:c r="A12" s="104" t="str">
        <x:v>CP-QE-GARIBALDINO</x:v>
      </x:c>
      <x:c r="B12" s="104" t="str">
        <x:v>D1-Q16</x:v>
      </x:c>
      <x:c r="C12" s="104" t="str">
        <x:v>QUEST_ENEMY</x:v>
      </x:c>
      <x:c r="D12" s="104" t="str">
        <x:v>Garibaldino delle Mura</x:v>
      </x:c>
      <x:c r="E12" s="104" t="str">
        <x:v>SSR</x:v>
      </x:c>
      <x:c r="F12" s="104" t="str">
        <x:v>COMMANDER</x:v>
      </x:c>
      <x:c r="G12" s="104" t="str">
        <x:v>Ein verwitterter Freiheitskämpfergeist erhebt eine rote Standarte über der Mauerlinie.</x:v>
      </x:c>
      <x:c r="H12" s="104" t="str">
        <x:v>Ruft Erinnerungsmarken der Route auf; korrekt geordnete Stationen werden zu Team-Buffs statt gegnerischen Verstärkungen.</x:v>
      </x:c>
      <x:c r="I12" s="104" t="str">
        <x:v>Standarte halten: baut jede Runde Führung auf, bis ein Kontroll-/Schwachstellenangriff trifft.</x:v>
      </x:c>
      <x:c r="J12" s="104" t="str">
        <x:v>Salve der Erinnerung: markiert zwei Spieler; beide müssen unterschiedliche defensive Antworten wählen.</x:v>
      </x:c>
      <x:c r="K12" s="104" t="str">
        <x:v>Bei halber Vitalität zerreißt die Standarte und er wird schneller, verliert aber Gruppenbuffs.</x:v>
      </x:c>
      <x:c r="L12" s="104" t="str">
        <x:v>Zielt abwechselnd auf Frontlinie und Unterstützer.</x:v>
      </x:c>
      <x:c r="M12" s="104" t="str">
        <x:v>Vollständige Routenreihenfolge gewährt Startbuff; koordinierte Rollen brechen Standarte.</x:v>
      </x:c>
      <x:c r="N12" s="104" t="str">
        <x:v>RALLY|MARKED_PAIR|HASTE</x:v>
      </x:c>
      <x:c r="O12" s="104" t="str">
        <x:v>SIDE_B_DEFEATED / objective-specific</x:v>
      </x:c>
      <x:c r="P12" s="104" t="str">
        <x:v>TEAM_WIPED / retry rule</x:v>
      </x:c>
      <x:c r="Q12" s="104" t="str">
        <x:v>Späteres Reward-/Loot-Balancing</x:v>
      </x:c>
      <x:c r="R12" s="104" t="str">
        <x:v>QUEST_INSTANCE_NO_RESPAWN</x:v>
      </x:c>
      <x:c r="S12" s="104"/>
      <x:c r="T12" s="104" t="str">
        <x:v>Mobile-RPG-Gegnerkonzept, vollständige Figur, gut lesbare Kampfsilhouette, Rom-Fantasy, Freiheitskämpfer des 19. Jahrhunderts als Geisteroffizier, rotes Hemd, verwitterter Mantel, zerrissene Standarte, warmes Abendlicht, entschlossener menschlicher Ausdruck. Dramatisches aber nicht fotorealistisches Licht, neutraler transparenzgeeigneter Hintergrund, keine Schrift, kein Logo, keine Gore.</x:v>
      </x:c>
      <x:c r="U12" s="104" t="str">
        <x:v>HP|DEF|Damage|Initiative|Statuschance|Rewards</x:v>
      </x:c>
      <x:c r="V12" s="104" t="str">
        <x:v>EDITORIAL_REVIEW</x:v>
      </x:c>
    </x:row>
    <x:row r="13" ht="104" customHeight="1">
      <x:c r="A13" s="101" t="str">
        <x:v>CP-QE-LUDUS</x:v>
      </x:c>
      <x:c r="B13" s="101" t="str">
        <x:v>D2-Q03</x:v>
      </x:c>
      <x:c r="C13" s="101" t="str">
        <x:v>QUEST_ENEMY</x:v>
      </x:c>
      <x:c r="D13" s="101" t="str">
        <x:v>Gladiator des Ludus</x:v>
      </x:c>
      <x:c r="E13" s="101" t="str">
        <x:v>SR</x:v>
      </x:c>
      <x:c r="F13" s="101" t="str">
        <x:v>TACTICAL_BRUISER</x:v>
      </x:c>
      <x:c r="G13" s="101" t="str">
        <x:v>Ein Trainingsgladiator tritt aus der ovalen Arena und bewertet die Formation wie ein strenger Coach.</x:v>
      </x:c>
      <x:c r="H13" s="101" t="str">
        <x:v>Telegraphiert Stoß, Feger oder Schilddruck; die korrekte Funktionszuordnung zeigt den ersten Angriff früh.</x:v>
      </x:c>
      <x:c r="I13" s="101" t="str">
        <x:v>Arena-Feger: trifft Frontlinie und verschiebt Initiative.</x:v>
      </x:c>
      <x:c r="J13" s="101" t="str">
        <x:v>Publikumsruf: verstärkt sich, wenn das Team dreimal dieselbe Aktion wählt.</x:v>
      </x:c>
      <x:c r="K13" s="101" t="str">
        <x:v>Bei halber Vitalität wechselt er vom Schild zur Doppelklinge und verliert Verteidigung.</x:v>
      </x:c>
      <x:c r="L13" s="101" t="str">
        <x:v>Frontlinie, dann niedrigste Initiative.</x:v>
      </x:c>
      <x:c r="M13" s="101" t="str">
        <x:v>Aktionsvielfalt verhindert Publikumsruf; Condottiere-Formation reduziert Feger.</x:v>
      </x:c>
      <x:c r="N13" s="101" t="str">
        <x:v>INITIATIVE_DOWN|CROWD_FAVOR</x:v>
      </x:c>
      <x:c r="O13" s="101" t="str">
        <x:v>SIDE_B_DEFEATED / objective-specific</x:v>
      </x:c>
      <x:c r="P13" s="101" t="str">
        <x:v>TEAM_WIPED / retry rule</x:v>
      </x:c>
      <x:c r="Q13" s="101" t="str">
        <x:v>Späteres Reward-/Loot-Balancing</x:v>
      </x:c>
      <x:c r="R13" s="101" t="str">
        <x:v>QUEST_INSTANCE_NO_RESPAWN</x:v>
      </x:c>
      <x:c r="S13" s="101"/>
      <x:c r="T13" s="101" t="str">
        <x:v>Mobile-RPG-Gegnerkonzept, vollständige Figur, gut lesbare Kampfsilhouette, Rom-Fantasy, Römischer Trainingsgladiator, abgenutzter Helm, rechteckiger Schild und Holzschwert, Lederschutz, Sandstaub, disziplinierter Blick, keine Gore. Dramatisches aber nicht fotorealistisches Licht, neutraler transparenzgeeigneter Hintergrund, keine Schrift, kein Logo, keine Gore.</x:v>
      </x:c>
      <x:c r="U13" s="101" t="str">
        <x:v>HP|DEF|Damage|Initiative|Statuschance|Rewards</x:v>
      </x:c>
      <x:c r="V13" s="101" t="str">
        <x:v>EDITORIAL_REVIEW</x:v>
      </x:c>
    </x:row>
    <x:row r="14" ht="104" customHeight="1">
      <x:c r="A14" s="104" t="str">
        <x:v>CP-QE-GIANO</x:v>
      </x:c>
      <x:c r="B14" s="104" t="str">
        <x:v>D2-Q04</x:v>
      </x:c>
      <x:c r="C14" s="104" t="str">
        <x:v>QUEST_ENEMY</x:v>
      </x:c>
      <x:c r="D14" s="104" t="str">
        <x:v>Custode di Giano</x:v>
      </x:c>
      <x:c r="E14" s="104" t="str">
        <x:v>SSR</x:v>
      </x:c>
      <x:c r="F14" s="104" t="str">
        <x:v>STANCE_SWITCHER</x:v>
      </x:c>
      <x:c r="G14" s="104" t="str">
        <x:v>Ein viergesichtiger Torwächter dreht sich nach jeder Runde zu einer anderen Himmelsrichtung.</x:v>
      </x:c>
      <x:c r="H14" s="104" t="str">
        <x:v>Wechselt Schutz-, Handels-, Kult- und Täuschungshaltung; nur die zur sichtbaren Monumentform passende Antwort öffnet eine Schwachstelle.</x:v>
      </x:c>
      <x:c r="I14" s="104" t="str">
        <x:v>Vier Tore: verschließt eine Aktionskategorie für die nächste Runde.</x:v>
      </x:c>
      <x:c r="J14" s="104" t="str">
        <x:v>Doppeltes Gesicht: täuscht Zieltelegraphen, falls Fakt und Legende falsch klassifiziert wurden.</x:v>
      </x:c>
      <x:c r="K14" s="104" t="str">
        <x:v>Vier Haltungen zyklisch; keine zusätzliche Lebensphase.</x:v>
      </x:c>
      <x:c r="L14" s="104" t="str">
        <x:v>Zielregel wechselt je Haltung.</x:v>
      </x:c>
      <x:c r="M14" s="104" t="str">
        <x:v>VERITAS oder richtige Klassifikation deckt echte Haltung auf; unterschiedliche Klassenaktionen öffnen Tore.</x:v>
      </x:c>
      <x:c r="N14" s="104" t="str">
        <x:v>STANCE_LOCK|DECEPTION</x:v>
      </x:c>
      <x:c r="O14" s="104" t="str">
        <x:v>SIDE_B_DEFEATED / objective-specific</x:v>
      </x:c>
      <x:c r="P14" s="104" t="str">
        <x:v>TEAM_WIPED / retry rule</x:v>
      </x:c>
      <x:c r="Q14" s="104" t="str">
        <x:v>Späteres Reward-/Loot-Balancing</x:v>
      </x:c>
      <x:c r="R14" s="104" t="str">
        <x:v>QUEST_INSTANCE_NO_RESPAWN</x:v>
      </x:c>
      <x:c r="S14" s="104"/>
      <x:c r="T14" s="104" t="str">
        <x:v>Mobile-RPG-Gegnerkonzept, vollständige Figur, gut lesbare Kampfsilhouette, Rom-Fantasy, Viergesichtiger steinerner Wächter mit römischem Torbogenpanzer, vier Masken in unterschiedliche Richtungen, bronzene Schlüssel, gold-violette Lichtfugen. Dramatisches aber nicht fotorealistisches Licht, neutraler transparenzgeeigneter Hintergrund, keine Schrift, kein Logo, keine Gore.</x:v>
      </x:c>
      <x:c r="U14" s="104" t="str">
        <x:v>HP|DEF|Damage|Initiative|Statuschance|Rewards</x:v>
      </x:c>
      <x:c r="V14" s="104" t="str">
        <x:v>EDITORIAL_REVIEW</x:v>
      </x:c>
    </x:row>
    <x:row r="15" ht="104" customHeight="1">
      <x:c r="A15" s="101" t="str">
        <x:v>CP-QE-MASCHERONE</x:v>
      </x:c>
      <x:c r="B15" s="101" t="str">
        <x:v>D2-Q05</x:v>
      </x:c>
      <x:c r="C15" s="101" t="str">
        <x:v>QUEST_ENEMY</x:v>
      </x:c>
      <x:c r="D15" s="101" t="str">
        <x:v>Mascherone dell’Aventino</x:v>
      </x:c>
      <x:c r="E15" s="101" t="str">
        <x:v>SR</x:v>
      </x:c>
      <x:c r="F15" s="101" t="str">
        <x:v>AREA_CONTROL</x:v>
      </x:c>
      <x:c r="G15" s="101" t="str">
        <x:v>Ein riesiges steinernes Maskengesicht löst sich als schwebender Wasserspeier aus dem Brunnen.</x:v>
      </x:c>
      <x:c r="H15" s="101" t="str">
        <x:v>Markiert eine Blickrichtung und flutet in der Folgerunde alle Ziele, die dieselbe Haltung behalten.</x:v>
      </x:c>
      <x:c r="I15" s="101" t="str">
        <x:v>Mundstrom: telegraphierter Flächenangriff.</x:v>
      </x:c>
      <x:c r="J15" s="101" t="str">
        <x:v>Falscher Hügel: verwirrt Zielauswahl, wenn Panoramaantwort fehlt.</x:v>
      </x:c>
      <x:c r="K15" s="101" t="str">
        <x:v>Optionaler Kampf; bei halber Vitalität bricht die Maske und verliert Verwirrung.</x:v>
      </x:c>
      <x:c r="L15" s="101" t="str">
        <x:v>Teamweite Reihen, priorisiert gruppierte Ziele.</x:v>
      </x:c>
      <x:c r="M15" s="101" t="str">
        <x:v>Korrekte Palatin-Zuordnung zeigt sichere Reihe; Schutzaktionen teilen Schaden.</x:v>
      </x:c>
      <x:c r="N15" s="101" t="str">
        <x:v>SOAKED|CONFUSED</x:v>
      </x:c>
      <x:c r="O15" s="101" t="str">
        <x:v>SIDE_B_DEFEATED / objective-specific</x:v>
      </x:c>
      <x:c r="P15" s="101" t="str">
        <x:v>TEAM_WIPED / retry rule</x:v>
      </x:c>
      <x:c r="Q15" s="101" t="str">
        <x:v>Späteres Reward-/Loot-Balancing</x:v>
      </x:c>
      <x:c r="R15" s="101" t="str">
        <x:v>QUEST_INSTANCE_NO_RESPAWN</x:v>
      </x:c>
      <x:c r="S15" s="101"/>
      <x:c r="T15" s="101" t="str">
        <x:v>Mobile-RPG-Gegnerkonzept, vollständige Figur, gut lesbare Kampfsilhouette, Rom-Fantasy, Schwebende barocke Steinmaske, großer Wasserauslass im Mund, moosige Patina, gebrochene Theaterbänder, blaues Wasserlicht. Dramatisches aber nicht fotorealistisches Licht, neutraler transparenzgeeigneter Hintergrund, keine Schrift, kein Logo, keine Gore.</x:v>
      </x:c>
      <x:c r="U15" s="101" t="str">
        <x:v>HP|DEF|Damage|Initiative|Statuschance|Rewards</x:v>
      </x:c>
      <x:c r="V15" s="101" t="str">
        <x:v>EDITORIAL_REVIEW</x:v>
      </x:c>
    </x:row>
    <x:row r="16" ht="104" customHeight="1">
      <x:c r="A16" s="104" t="str">
        <x:v>CP-QE-SCORPIONE</x:v>
      </x:c>
      <x:c r="B16" s="104" t="str">
        <x:v>D2-Q08</x:v>
      </x:c>
      <x:c r="C16" s="104" t="str">
        <x:v>QUEST_ENEMY</x:v>
      </x:c>
      <x:c r="D16" s="104" t="str">
        <x:v>Scorpione delle Mura</x:v>
      </x:c>
      <x:c r="E16" s="104" t="str">
        <x:v>SR</x:v>
      </x:c>
      <x:c r="F16" s="104" t="str">
        <x:v>ARMORED_TRAPPER</x:v>
      </x:c>
      <x:c r="G16" s="104" t="str">
        <x:v>Ein Ziegelskorpion kriecht aus der Mauerfuge und legt falsche Wegmarken.</x:v>
      </x:c>
      <x:c r="H16" s="104" t="str">
        <x:v>Beginnt stark gepanzert; öffnet die Scheren nach richtiger Torzustands-Zuordnung.</x:v>
      </x:c>
      <x:c r="I16" s="104" t="str">
        <x:v>Mauerklammer: bindet einen Spieler an eine defensive Aktion.</x:v>
      </x:c>
      <x:c r="J16" s="104" t="str">
        <x:v>Giftiger Umweg: verzögert die nächste Teamaktion, wenn Navigationsrollen fehlen.</x:v>
      </x:c>
      <x:c r="K16" s="104" t="str">
        <x:v>Keine Phase; Panzerbruch ist der zentrale Zustandswechsel.</x:v>
      </x:c>
      <x:c r="L16" s="104" t="str">
        <x:v>Zielt auf Navigator, danach niedrigste Verteidigung.</x:v>
      </x:c>
      <x:c r="M16" s="104" t="str">
        <x:v>Latina/Metronia-Zuordnung senkt Panzer; Schweizergardist schützt Navigator.</x:v>
      </x:c>
      <x:c r="N16" s="104" t="str">
        <x:v>ARMORED|BOUND|DELAYED</x:v>
      </x:c>
      <x:c r="O16" s="104" t="str">
        <x:v>SIDE_B_DEFEATED / objective-specific</x:v>
      </x:c>
      <x:c r="P16" s="104" t="str">
        <x:v>TEAM_WIPED / retry rule</x:v>
      </x:c>
      <x:c r="Q16" s="104" t="str">
        <x:v>Späteres Reward-/Loot-Balancing</x:v>
      </x:c>
      <x:c r="R16" s="104" t="str">
        <x:v>QUEST_INSTANCE_NO_RESPAWN</x:v>
      </x:c>
      <x:c r="S16" s="104"/>
      <x:c r="T16" s="104" t="str">
        <x:v>Mobile-RPG-Gegnerkonzept, vollständige Figur, gut lesbare Kampfsilhouette, Rom-Fantasy, Großer Skorpion aus römischen Ziegeln und Eisenklammern, Mörtelstaub, glühender Schwanz, Mauerlinienmuster, stilisiert ohne Ekel. Dramatisches aber nicht fotorealistisches Licht, neutraler transparenzgeeigneter Hintergrund, keine Schrift, kein Logo, keine Gore.</x:v>
      </x:c>
      <x:c r="U16" s="104" t="str">
        <x:v>HP|DEF|Damage|Initiative|Statuschance|Rewards</x:v>
      </x:c>
      <x:c r="V16" s="104" t="str">
        <x:v>EDITORIAL_REVIEW</x:v>
      </x:c>
    </x:row>
    <x:row r="17" ht="104" customHeight="1">
      <x:c r="A17" s="101" t="str">
        <x:v>CP-QE-VAPORE</x:v>
      </x:c>
      <x:c r="B17" s="101" t="str">
        <x:v>D2-Q09</x:v>
      </x:c>
      <x:c r="C17" s="101" t="str">
        <x:v>QUEST_ENEMY</x:v>
      </x:c>
      <x:c r="D17" s="101" t="str">
        <x:v>Vapore delle Terme</x:v>
      </x:c>
      <x:c r="E17" s="101" t="str">
        <x:v>R</x:v>
      </x:c>
      <x:c r="F17" s="101" t="str">
        <x:v>DOT_SUPPORT</x:v>
      </x:c>
      <x:c r="G17" s="101" t="str">
        <x:v>Ein humanoider Dampfgeist steigt aus den Ziegelruinen und legt feuchte Schleier über Erinnerungen.</x:v>
      </x:c>
      <x:c r="H17" s="101" t="str">
        <x:v>Erzeugt Nebelstapel, die Treffer ungenauer machen; wird durch Materialcode kurz kondensiert.</x:v>
      </x:c>
      <x:c r="I17" s="101" t="str">
        <x:v>Thermenschleier: senkt Zielgenauigkeit des Teams.</x:v>
      </x:c>
      <x:c r="J17" s="101" t="str">
        <x:v>Heißer Rückstrom: kleiner Schaden über Zeit auf zwei Ziele.</x:v>
      </x:c>
      <x:c r="K17" s="101" t="str">
        <x:v>Optionaler Kampf; keine Phase, aber Kondensation öffnet ein kurzes Burstfenster.</x:v>
      </x:c>
      <x:c r="L17" s="101" t="str">
        <x:v>Zufällige zwei Ziele, bevorzugt ungeschützte.</x:v>
      </x:c>
      <x:c r="M17" s="101" t="str">
        <x:v>LATERES kondensiert den Nebel; Reinigungs- und Windfähigkeiten entfernen Stapel.</x:v>
      </x:c>
      <x:c r="N17" s="101" t="str">
        <x:v>OBSCURED|HEAT_DOT</x:v>
      </x:c>
      <x:c r="O17" s="101" t="str">
        <x:v>SIDE_B_DEFEATED / objective-specific</x:v>
      </x:c>
      <x:c r="P17" s="101" t="str">
        <x:v>TEAM_WIPED / retry rule</x:v>
      </x:c>
      <x:c r="Q17" s="101" t="str">
        <x:v>Späteres Reward-/Loot-Balancing</x:v>
      </x:c>
      <x:c r="R17" s="101" t="str">
        <x:v>QUEST_INSTANCE_NO_RESPAWN</x:v>
      </x:c>
      <x:c r="S17" s="101"/>
      <x:c r="T17" s="101" t="str">
        <x:v>Mobile-RPG-Gegnerkonzept, vollständige Figur, gut lesbare Kampfsilhouette, Rom-Fantasy, Humanoider Dampfgeist aus weißgrauem Nebel, rote Ziegelstücke als schwebende Rüstung, orange Glut im Inneren, antike Thermenatmosphäre. Dramatisches aber nicht fotorealistisches Licht, neutraler transparenzgeeigneter Hintergrund, keine Schrift, kein Logo, keine Gore.</x:v>
      </x:c>
      <x:c r="U17" s="101" t="str">
        <x:v>HP|DEF|Damage|Initiative|Statuschance|Rewards</x:v>
      </x:c>
      <x:c r="V17" s="101" t="str">
        <x:v>EDITORIAL_REVIEW</x:v>
      </x:c>
    </x:row>
    <x:row r="18" ht="104" customHeight="1">
      <x:c r="A18" s="104" t="str">
        <x:v>CP-QE-IDRA</x:v>
      </x:c>
      <x:c r="B18" s="104" t="str">
        <x:v>D2-Q10</x:v>
      </x:c>
      <x:c r="C18" s="104" t="str">
        <x:v>QUEST_ENEMY</x:v>
      </x:c>
      <x:c r="D18" s="104" t="str">
        <x:v>Idra dell’Aqua Claudia</x:v>
      </x:c>
      <x:c r="E18" s="104" t="str">
        <x:v>SSR</x:v>
      </x:c>
      <x:c r="F18" s="104" t="str">
        <x:v>MULTI_ATTACKER</x:v>
      </x:c>
      <x:c r="G18" s="104" t="str">
        <x:v>Eine steinerne Wasserhydra windet mehrere Hälse durch die Aquäduktkanäle.</x:v>
      </x:c>
      <x:c r="H18" s="104" t="str">
        <x:v>Jeder aktive Kopf bereitet einen anderen Angriff vor; die Bleiplombe entfernt vorab einen Kopf und dessen Mechanik.</x:v>
      </x:c>
      <x:c r="I18" s="104" t="str">
        <x:v>Dreifacher Wasserstoß: getrennte Ziele, klar telegraphiert.</x:v>
      </x:c>
      <x:c r="J18" s="104" t="str">
        <x:v>Leitungsbruch: teamweiter Angriff, wenn zwei Köpfe dieselbe Runde ungestört bleiben.</x:v>
      </x:c>
      <x:c r="K18" s="104" t="str">
        <x:v>Köpfe werden mechanisch deaktiviert, nicht einzeln mit separaten HP geführt.</x:v>
      </x:c>
      <x:c r="L18" s="104" t="str">
        <x:v>Verteilt Ziele, danach höchster Unterstützungswert.</x:v>
      </x:c>
      <x:c r="M18" s="104" t="str">
        <x:v>Bleiplombe deaktiviert Mehrfachangriff; Schwachstellen- und Kontrollaktionen unterbrechen Leitungsbruch.</x:v>
      </x:c>
      <x:c r="N18" s="104" t="str">
        <x:v>SOAKED|PRESSURE_MARK|INTERRUPTIBLE</x:v>
      </x:c>
      <x:c r="O18" s="104" t="str">
        <x:v>SIDE_B_DEFEATED / objective-specific</x:v>
      </x:c>
      <x:c r="P18" s="104" t="str">
        <x:v>TEAM_WIPED / retry rule</x:v>
      </x:c>
      <x:c r="Q18" s="104" t="str">
        <x:v>Späteres Reward-/Loot-Balancing</x:v>
      </x:c>
      <x:c r="R18" s="104" t="str">
        <x:v>QUEST_INSTANCE_NO_RESPAWN</x:v>
      </x:c>
      <x:c r="S18" s="104"/>
      <x:c r="T18" s="104" t="str">
        <x:v>Mobile-RPG-Gegnerkonzept, vollständige Figur, gut lesbare Kampfsilhouette, Rom-Fantasy, Monumentale Hydra aus Travertin und strömendem Wasser, drei bis vier elegante Schlangenköpfe, Aquäduktbögen als Körper, blau-goldenes Licht. Dramatisches aber nicht fotorealistisches Licht, neutraler transparenzgeeigneter Hintergrund, keine Schrift, kein Logo, keine Gore.</x:v>
      </x:c>
      <x:c r="U18" s="104" t="str">
        <x:v>HP|DEF|Damage|Initiative|Statuschance|Rewards</x:v>
      </x:c>
      <x:c r="V18" s="104" t="str">
        <x:v>EDITORIAL_REVIEW</x:v>
      </x:c>
    </x:row>
    <x:row r="19" ht="104" customHeight="1">
      <x:c r="A19" s="101" t="str">
        <x:v>CP-QE-DRAMMA</x:v>
      </x:c>
      <x:c r="B19" s="101" t="str">
        <x:v>M-LT-01</x:v>
      </x:c>
      <x:c r="C19" s="101" t="str">
        <x:v>QUEST_ENEMY</x:v>
      </x:c>
      <x:c r="D19" s="101" t="str">
        <x:v>Maschera del Dramma</x:v>
      </x:c>
      <x:c r="E19" s="101" t="str">
        <x:v>L</x:v>
      </x:c>
      <x:c r="F19" s="101" t="str">
        <x:v>REVIEW_GUARDIAN</x:v>
      </x:c>
      <x:c r="G19" s="101" t="str">
        <x:v>Eine riesige Theatermaske erscheint nur bei der Abgabe der Bilderchronik und prüft erzählerische Lücken.</x:v>
      </x:c>
      <x:c r="H19" s="101" t="str">
        <x:v>Kein normaler Kampf: Jede fehlende Rubrikkategorie wird zu einer narrativen Barriere; richtige Bildreihenfolge ersetzt Angriffe.</x:v>
      </x:c>
      <x:c r="I19" s="101" t="str">
        <x:v>Aktbruch: sperrt die Abgabe, wenn Anfang, Wendung oder Ende fehlt.</x:v>
      </x:c>
      <x:c r="J19" s="101" t="str">
        <x:v>Rollenraub: markiert eine nicht dargestellte Teamklasse.</x:v>
      </x:c>
      <x:c r="K19" s="101" t="str">
        <x:v>Drei Review-Phasen statt HP-Schaden.</x:v>
      </x:c>
      <x:c r="L19" s="101" t="str">
        <x:v>Zielt auf fehlende Rubriken, nicht auf Spieler.</x:v>
      </x:c>
      <x:c r="M19" s="101" t="str">
        <x:v>6–12 geordnete Bilder und jede vorhandene Klasse lösen alle Barrieren.</x:v>
      </x:c>
      <x:c r="N19" s="101" t="str">
        <x:v>REVIEW_BLOCK|MISSING_ROLE</x:v>
      </x:c>
      <x:c r="O19" s="101" t="str">
        <x:v>SIDE_B_DEFEATED / objective-specific</x:v>
      </x:c>
      <x:c r="P19" s="101" t="str">
        <x:v>TEAM_WIPED / retry rule</x:v>
      </x:c>
      <x:c r="Q19" s="101" t="str">
        <x:v>Späteres Reward-/Loot-Balancing</x:v>
      </x:c>
      <x:c r="R19" s="101" t="str">
        <x:v>NO_RESPAWN_REVIEW_ENCOUNTER</x:v>
      </x:c>
      <x:c r="S19" s="101"/>
      <x:c r="T19" s="101" t="str">
        <x:v>Mobile-RPG-Gegnerkonzept, vollständige Figur, gut lesbare Kampfsilhouette, Rom-Fantasy, Große zweigeteilte Theatermaske aus Marmor und Bronze, eine lachende und eine ernste Hälfte, zwölf kleine leuchtende Bildrahmen, violetter Bühnennebel. Dramatisches aber nicht fotorealistisches Licht, neutraler transparenzgeeigneter Hintergrund, keine Schrift, kein Logo, keine Gore.</x:v>
      </x:c>
      <x:c r="U19" s="101" t="str">
        <x:v>HP|DEF|Damage|Initiative|Statuschance|Rewards</x:v>
      </x:c>
      <x:c r="V19" s="101" t="str">
        <x:v>EDITORIAL_REVIEW</x:v>
      </x:c>
    </x:row>
    <x:row r="20" ht="104" customHeight="1">
      <x:c r="A20" s="104" t="str">
        <x:v>CP-QE-AURIGA</x:v>
      </x:c>
      <x:c r="B20" s="104" t="str">
        <x:v>M-D2-01</x:v>
      </x:c>
      <x:c r="C20" s="104" t="str">
        <x:v>QUEST_ENEMY</x:v>
      </x:c>
      <x:c r="D20" s="104" t="str">
        <x:v>Rasender Kutschergeist</x:v>
      </x:c>
      <x:c r="E20" s="104" t="str">
        <x:v>SR</x:v>
      </x:c>
      <x:c r="F20" s="104" t="str">
        <x:v>SEQUENCE_CHECKER</x:v>
      </x:c>
      <x:c r="G20" s="104" t="str">
        <x:v>Ein geisterhafter Wagenlenker rast ausschließlich durch die fünf Bildfelder der Quest.</x:v>
      </x:c>
      <x:c r="H20" s="104" t="str">
        <x:v>Medienbegegnung: reagiert auf falsche Reihenfolge mit Zurücksetzen des betroffenen Aktes; kein echter PvE-Kampf nötig.</x:v>
      </x:c>
      <x:c r="I20" s="104" t="str">
        <x:v>Fehlstart: Akt eins muss neu aufgenommen werden.</x:v>
      </x:c>
      <x:c r="J20" s="104" t="str">
        <x:v>Verlorene Zügel: markiert eine fehlende Wendung zwischen Bild zwei und vier.</x:v>
      </x:c>
      <x:c r="K20" s="104" t="str">
        <x:v>Fünf Sequenzphasen.</x:v>
      </x:c>
      <x:c r="L20" s="104" t="str">
        <x:v>Zielt auf den fehlerhaften Bildslot.</x:v>
      </x:c>
      <x:c r="M20" s="104" t="str">
        <x:v>Exakte Reihenfolge und sichere statische Posen neutralisieren ihn.</x:v>
      </x:c>
      <x:c r="N20" s="104" t="str">
        <x:v>SEQUENCE_ERROR</x:v>
      </x:c>
      <x:c r="O20" s="104" t="str">
        <x:v>SIDE_B_DEFEATED / objective-specific</x:v>
      </x:c>
      <x:c r="P20" s="104" t="str">
        <x:v>TEAM_WIPED / retry rule</x:v>
      </x:c>
      <x:c r="Q20" s="104" t="str">
        <x:v>Späteres Reward-/Loot-Balancing</x:v>
      </x:c>
      <x:c r="R20" s="104" t="str">
        <x:v>NO_RESPAWN_MEDIA_ENCOUNTER</x:v>
      </x:c>
      <x:c r="S20" s="104"/>
      <x:c r="T20" s="104" t="str">
        <x:v>Mobile-RPG-Gegnerkonzept, vollständige Figur, gut lesbare Kampfsilhouette, Rom-Fantasy, Geisterhafter römischer Wagenlenker auf durchsichtigem Streitwagen, grünes Renngewand, fünf Lichtspuren wie Bilderrahmen, dynamisch aber ohne reale Kollision. Dramatisches aber nicht fotorealistisches Licht, neutraler transparenzgeeigneter Hintergrund, keine Schrift, kein Logo, keine Gore.</x:v>
      </x:c>
      <x:c r="U20" s="104" t="str">
        <x:v>HP|DEF|Damage|Initiative|Statuschance|Rewards</x:v>
      </x:c>
      <x:c r="V20" s="104" t="str">
        <x:v>EDITORIAL_REVIEW</x:v>
      </x:c>
    </x:row>
    <x:row r="21" ht="104" customHeight="1">
      <x:c r="A21" s="101" t="str">
        <x:v>CP-QE-GLADIATOR-MEDIA</x:v>
      </x:c>
      <x:c r="B21" s="101" t="str">
        <x:v>M-D2-02</x:v>
      </x:c>
      <x:c r="C21" s="101" t="str">
        <x:v>QUEST_ENEMY</x:v>
      </x:c>
      <x:c r="D21" s="101" t="str">
        <x:v>Gladiator</x:v>
      </x:c>
      <x:c r="E21" s="101" t="str">
        <x:v>R</x:v>
      </x:c>
      <x:c r="F21" s="101" t="str">
        <x:v>POSE_RIVAL</x:v>
      </x:c>
      <x:c r="G21" s="101" t="str">
        <x:v>Ein übertriebener Arena-Darsteller kommentiert die Bildkomposition.</x:v>
      </x:c>
      <x:c r="H21" s="101" t="str">
        <x:v>Kein echter Kampf; bewertet Herausforderung, Wendepunkt und Gnade als drei statische Posen.</x:v>
      </x:c>
      <x:c r="I21" s="101" t="str">
        <x:v>Zu viel Bewegung: Sicherheitswarnung und Aufnahmeabbruch.</x:v>
      </x:c>
      <x:c r="J21" s="101" t="str">
        <x:v>Fehlende Gnade: Storyrubrik bleibt unvollständig.</x:v>
      </x:c>
      <x:c r="K21" s="101" t="str">
        <x:v>Drei Review-Phasen.</x:v>
      </x:c>
      <x:c r="L21" s="101" t="str">
        <x:v>Zielt auf den aktuellen Bildslot.</x:v>
      </x:c>
      <x:c r="M21" s="101" t="str">
        <x:v>Statische sichere Posen und klare Dramaturgie.</x:v>
      </x:c>
      <x:c r="N21" s="101" t="str">
        <x:v>SAFETY_HOLD|MISSING_ACT</x:v>
      </x:c>
      <x:c r="O21" s="101" t="str">
        <x:v>SIDE_B_DEFEATED / objective-specific</x:v>
      </x:c>
      <x:c r="P21" s="101" t="str">
        <x:v>TEAM_WIPED / retry rule</x:v>
      </x:c>
      <x:c r="Q21" s="101" t="str">
        <x:v>Späteres Reward-/Loot-Balancing</x:v>
      </x:c>
      <x:c r="R21" s="101" t="str">
        <x:v>NO_RESPAWN_MEDIA_ENCOUNTER</x:v>
      </x:c>
      <x:c r="S21" s="101"/>
      <x:c r="T21" s="101" t="str">
        <x:v>Mobile-RPG-Gegnerkonzept, vollständige Figur, gut lesbare Kampfsilhouette, Rom-Fantasy, Theatralischer Gladiator mit Holzschwert und leichtem Schild, rote Feder, übertriebene Siegerpose, freundlicher Ausdruck, keine Gewalt. Dramatisches aber nicht fotorealistisches Licht, neutraler transparenzgeeigneter Hintergrund, keine Schrift, kein Logo, keine Gore.</x:v>
      </x:c>
      <x:c r="U21" s="101" t="str">
        <x:v>HP|DEF|Damage|Initiative|Statuschance|Rewards</x:v>
      </x:c>
      <x:c r="V21" s="101" t="str">
        <x:v>EDITORIAL_REVIEW</x:v>
      </x:c>
    </x:row>
    <x:row r="22" ht="104" customHeight="1">
      <x:c r="A22" s="104" t="str">
        <x:v>CP-QE-TABERNA</x:v>
      </x:c>
      <x:c r="B22" s="104" t="str">
        <x:v>M-D2-03</x:v>
      </x:c>
      <x:c r="C22" s="104" t="str">
        <x:v>QUEST_ENEMY</x:v>
      </x:c>
      <x:c r="D22" s="104" t="str">
        <x:v>Spettro della Taberna</x:v>
      </x:c>
      <x:c r="E22" s="104" t="str">
        <x:v>R</x:v>
      </x:c>
      <x:c r="F22" s="104" t="str">
        <x:v>DEBATER</x:v>
      </x:c>
      <x:c r="G22" s="104" t="str">
        <x:v>Ein durchsichtiger Ladenbesitzer erscheint im Review und widerspricht jeder unbelegten Kaufempfehlung.</x:v>
      </x:c>
      <x:c r="H22" s="104" t="str">
        <x:v>Stellt nacheinander Nutzen, Schwäche und Preisfrage; fehlende Antwort erzeugt Zeitdruck statt Schaden.</x:v>
      </x:c>
      <x:c r="I22" s="104" t="str">
        <x:v>Werbequalm: blendet die Rubrik ‚schlimmste Eigenschaft‘ aus.</x:v>
      </x:c>
      <x:c r="J22" s="104" t="str">
        <x:v>Letzter Preis: fordert bestätigte Preisangabe bis 5 EUR.</x:v>
      </x:c>
      <x:c r="K22" s="104" t="str">
        <x:v>Drei Dialogphasen innerhalb von 30–60 Sekunden.</x:v>
      </x:c>
      <x:c r="L22" s="104" t="str">
        <x:v>Zielt auf fehlende Reviewfelder.</x:v>
      </x:c>
      <x:c r="M22" s="104" t="str">
        <x:v>Ehrliche Kritik, sichtbarer Gegenstand und Preisangabe lösen die Begegnung.</x:v>
      </x:c>
      <x:c r="N22" s="104" t="str">
        <x:v>REVIEW_TIMER</x:v>
      </x:c>
      <x:c r="O22" s="104" t="str">
        <x:v>SIDE_B_DEFEATED / objective-specific</x:v>
      </x:c>
      <x:c r="P22" s="104" t="str">
        <x:v>TEAM_WIPED / retry rule</x:v>
      </x:c>
      <x:c r="Q22" s="104" t="str">
        <x:v>Späteres Reward-/Loot-Balancing</x:v>
      </x:c>
      <x:c r="R22" s="104" t="str">
        <x:v>NO_RESPAWN_MEDIA_ENCOUNTER</x:v>
      </x:c>
      <x:c r="S22" s="104"/>
      <x:c r="T22" s="104" t="str">
        <x:v>Mobile-RPG-Gegnerkonzept, vollständige Figur, gut lesbare Kampfsilhouette, Rom-Fantasy, Durchsichtiger römischer Ladenbesitzer, halbkreisförmige Ziegelfassade als Hintergrund, Wachstafel, Waage, skeptisch hochgezogene Augenbraue. Dramatisches aber nicht fotorealistisches Licht, neutraler transparenzgeeigneter Hintergrund, keine Schrift, kein Logo, keine Gore.</x:v>
      </x:c>
      <x:c r="U22" s="104" t="str">
        <x:v>HP|DEF|Damage|Initiative|Statuschance|Rewards</x:v>
      </x:c>
      <x:c r="V22" s="104" t="str">
        <x:v>EDITORIAL_REVIEW</x:v>
      </x:c>
    </x:row>
    <x:row r="23" ht="104" customHeight="1">
      <x:c r="A23" s="101" t="str">
        <x:v>CP-QE-SATIRELLI</x:v>
      </x:c>
      <x:c r="B23" s="101" t="str">
        <x:v>H-D1-03</x:v>
      </x:c>
      <x:c r="C23" s="101" t="str">
        <x:v>QUEST_ENEMY</x:v>
      </x:c>
      <x:c r="D23" s="101" t="str">
        <x:v>I Satirelli Gemelli</x:v>
      </x:c>
      <x:c r="E23" s="101" t="str">
        <x:v>R</x:v>
      </x:c>
      <x:c r="F23" s="101" t="str">
        <x:v>DUO_TRICKSTER</x:v>
      </x:c>
      <x:c r="G23" s="101" t="str">
        <x:v>Zwei Satyrzwillinge kämpfen als gemeinsame Einheit und tauschen ständig Attribute.</x:v>
      </x:c>
      <x:c r="H23" s="101" t="str">
        <x:v>Einer verspottet, einer greift an; Zuordnung zeigt, welcher gerade verwundbar ist.</x:v>
      </x:c>
      <x:c r="I23" s="101" t="str">
        <x:v>Flötentaumel: zufällige Zielverwechslung.</x:v>
      </x:c>
      <x:c r="J23" s="101" t="str">
        <x:v>Traubenwurf: kleiner Flächendebuff auf Initiative.</x:v>
      </x:c>
      <x:c r="K23" s="101" t="str">
        <x:v>Keine zweite Phase; Rollenwechsel jede Runde.</x:v>
      </x:c>
      <x:c r="L23" s="101" t="str">
        <x:v>Zufälliges Ziel, dann schnellster Spieler.</x:v>
      </x:c>
      <x:c r="M23" s="101" t="str">
        <x:v>Korrekte Attributzuordnung markiert den verwundbaren Zwilling.</x:v>
      </x:c>
      <x:c r="N23" s="101" t="str">
        <x:v>CONFUSED|INITIATIVE_DOWN</x:v>
      </x:c>
      <x:c r="O23" s="101" t="str">
        <x:v>SIDE_B_DEFEATED / objective-specific</x:v>
      </x:c>
      <x:c r="P23" s="101" t="str">
        <x:v>TEAM_WIPED / retry rule</x:v>
      </x:c>
      <x:c r="Q23" s="101" t="str">
        <x:v>Späteres Reward-/Loot-Balancing</x:v>
      </x:c>
      <x:c r="R23" s="101" t="str">
        <x:v>QUEST_INSTANCE_NO_RESPAWN</x:v>
      </x:c>
      <x:c r="S23" s="101"/>
      <x:c r="T23" s="101" t="str">
        <x:v>Mobile-RPG-Gegnerkonzept, vollständige Figur, gut lesbare Kampfsilhouette, Rom-Fantasy, Zwei kleine Satyrgeister, einer mit Panflöte, einer mit Traubenranke, dunkler Stein und grünes Moos, schelmische Gesichter. Dramatisches aber nicht fotorealistisches Licht, neutraler transparenzgeeigneter Hintergrund, keine Schrift, kein Logo, keine Gore.</x:v>
      </x:c>
      <x:c r="U23" s="101" t="str">
        <x:v>HP|DEF|Damage|Initiative|Statuschance|Rewards</x:v>
      </x:c>
      <x:c r="V23" s="101" t="str">
        <x:v>EDITORIAL_REVIEW</x:v>
      </x:c>
    </x:row>
    <x:row r="24" ht="104" customHeight="1">
      <x:c r="A24" s="104" t="str">
        <x:v>CP-QE-ALCHEMIST</x:v>
      </x:c>
      <x:c r="B24" s="104" t="str">
        <x:v>H-D2-01</x:v>
      </x:c>
      <x:c r="C24" s="104" t="str">
        <x:v>QUEST_ENEMY</x:v>
      </x:c>
      <x:c r="D24" s="104" t="str">
        <x:v>Alchemist der Porta Magica</x:v>
      </x:c>
      <x:c r="E24" s="104" t="str">
        <x:v>SR</x:v>
      </x:c>
      <x:c r="F24" s="104" t="str">
        <x:v>PUZZLE_CASTER</x:v>
      </x:c>
      <x:c r="G24" s="104" t="str">
        <x:v>Eine maskierte alchemistische Projektion erscheint nur nach grob falscher Sequenz.</x:v>
      </x:c>
      <x:c r="H24" s="104" t="str">
        <x:v>Verwandelt falsche Reihenfolgen in Stein-, Metall- oder Lichtbarrieren; richtige nächste Kategorie bricht sie.</x:v>
      </x:c>
      <x:c r="I24" s="104" t="str">
        <x:v>Metallspiegel: reflektiert den ersten unkoordinierten Angriff.</x:v>
      </x:c>
      <x:c r="J24" s="104" t="str">
        <x:v>Steinerne Formel: sperrt ein Ziel bis eine Zuordnung gelöst ist.</x:v>
      </x:c>
      <x:c r="K24" s="104" t="str">
        <x:v>Drei Materialphasen; kann vollständig als Puzzle statt Kampf gelöst werden.</x:v>
      </x:c>
      <x:c r="L24" s="104" t="str">
        <x:v>Zielt auf den Spieler, der die letzte falsche Antwort gab.</x:v>
      </x:c>
      <x:c r="M24" s="104" t="str">
        <x:v>STEIN&gt;METALL&gt;LICHT löst alle Phasen kampflos; Bildhauer erkennt Barrieren.</x:v>
      </x:c>
      <x:c r="N24" s="104" t="str">
        <x:v>REFLECT|PUZZLE_LOCK</x:v>
      </x:c>
      <x:c r="O24" s="104" t="str">
        <x:v>SIDE_B_DEFEATED / objective-specific</x:v>
      </x:c>
      <x:c r="P24" s="104" t="str">
        <x:v>TEAM_WIPED / retry rule</x:v>
      </x:c>
      <x:c r="Q24" s="104" t="str">
        <x:v>Späteres Reward-/Loot-Balancing</x:v>
      </x:c>
      <x:c r="R24" s="104" t="str">
        <x:v>QUEST_INSTANCE_NO_RESPAWN</x:v>
      </x:c>
      <x:c r="S24" s="104"/>
      <x:c r="T24" s="104" t="str">
        <x:v>Mobile-RPG-Gegnerkonzept, vollständige Figur, gut lesbare Kampfsilhouette, Rom-Fantasy, Maskierter Renaissance-Alchemist in dunkelgrünem Mantel, goldene Formeln, Stein- und Metallringe, zwei Wächterfiguren im Hintergrund. Dramatisches aber nicht fotorealistisches Licht, neutraler transparenzgeeigneter Hintergrund, keine Schrift, kein Logo, keine Gore.</x:v>
      </x:c>
      <x:c r="U24" s="104" t="str">
        <x:v>HP|DEF|Damage|Initiative|Statuschance|Rewards</x:v>
      </x:c>
      <x:c r="V24" s="104" t="str">
        <x:v>EDITORIAL_REVIEW</x:v>
      </x:c>
    </x:row>
    <x:row r="25" ht="104" customHeight="1">
      <x:c r="A25" s="101" t="str">
        <x:v>CP-QE-INFERNO</x:v>
      </x:c>
      <x:c r="B25" s="101" t="str">
        <x:v>H-D2-02</x:v>
      </x:c>
      <x:c r="C25" s="101" t="str">
        <x:v>QUEST_ENEMY</x:v>
      </x:c>
      <x:c r="D25" s="101" t="str">
        <x:v>Custode dell’Inferno</x:v>
      </x:c>
      <x:c r="E25" s="101" t="str">
        <x:v>SR</x:v>
      </x:c>
      <x:c r="F25" s="101" t="str">
        <x:v>DIRECTION_CONTROLLER</x:v>
      </x:c>
      <x:c r="G25" s="101" t="str">
        <x:v>Ein roter Windwächter dreht den Kampfkompass und zwingt das Team zu Richtungsentscheidungen.</x:v>
      </x:c>
      <x:c r="H25" s="101" t="str">
        <x:v>Telegraphiert Nord, Ost, Süd oder West; falsche Orientierung verstärkt den nächsten Angriff.</x:v>
      </x:c>
      <x:c r="I25" s="101" t="str">
        <x:v>Gedrehte Rose: vertauscht zwei Aktionssymbole.</x:v>
      </x:c>
      <x:c r="J25" s="101" t="str">
        <x:v>Verlorener Kreis: teamweiter Debuff nach zweimal falscher Richtung.</x:v>
      </x:c>
      <x:c r="K25" s="101" t="str">
        <x:v>Keine Phase; wird durch USCITA-Code direkt geschwächt.</x:v>
      </x:c>
      <x:c r="L25" s="101" t="str">
        <x:v>Zielt auf zuletzt antwortenden Spieler.</x:v>
      </x:c>
      <x:c r="M25" s="101" t="str">
        <x:v>Korrekte Windrose und Code USCITA fixieren Norden; klare Teamansage verhindert Verwechslung.</x:v>
      </x:c>
      <x:c r="N25" s="101" t="str">
        <x:v>DIRECTION_SWAP|LOST</x:v>
      </x:c>
      <x:c r="O25" s="101" t="str">
        <x:v>SIDE_B_DEFEATED / objective-specific</x:v>
      </x:c>
      <x:c r="P25" s="101" t="str">
        <x:v>TEAM_WIPED / retry rule</x:v>
      </x:c>
      <x:c r="Q25" s="101" t="str">
        <x:v>Späteres Reward-/Loot-Balancing</x:v>
      </x:c>
      <x:c r="R25" s="101" t="str">
        <x:v>QUEST_INSTANCE_NO_RESPAWN</x:v>
      </x:c>
      <x:c r="S25" s="101"/>
      <x:c r="T25" s="101" t="str">
        <x:v>Mobile-RPG-Gegnerkonzept, vollständige Figur, gut lesbare Kampfsilhouette, Rom-Fantasy, Roter Windwächter mit Lorbeerkranz und dunklem Mantel, Windrose aus Glut unter den Füßen, abstrakte literarische Fantasie, keine direkte Dante-Kopie. Dramatisches aber nicht fotorealistisches Licht, neutraler transparenzgeeigneter Hintergrund, keine Schrift, kein Logo, keine Gore.</x:v>
      </x:c>
      <x:c r="U25" s="101" t="str">
        <x:v>HP|DEF|Damage|Initiative|Statuschance|Rewards</x:v>
      </x:c>
      <x:c r="V25" s="101" t="str">
        <x:v>EDITORIAL_REVIEW</x:v>
      </x:c>
    </x:row>
    <x:row r="26" ht="104" customHeight="1">
      <x:c r="A26" s="104" t="str">
        <x:v>CP-WB-CANNONIERE</x:v>
      </x:c>
      <x:c r="B26" s="104" t="str">
        <x:v>B-D1-01</x:v>
      </x:c>
      <x:c r="C26" s="104" t="str">
        <x:v>WORLD_BOSS</x:v>
      </x:c>
      <x:c r="D26" s="104" t="str">
        <x:v>Il Cannoniere del Gianicolo</x:v>
      </x:c>
      <x:c r="E26" s="104" t="str">
        <x:v>E</x:v>
      </x:c>
      <x:c r="F26" s="104" t="str">
        <x:v>GLOBAL_ARTILLERY_BOSS</x:v>
      </x:c>
      <x:c r="G26" s="104" t="str">
        <x:v>Der epische Artillerist richtet seine Geisterkanone über die Terrasse und fordert alle Teams.</x:v>
      </x:c>
      <x:c r="H26" s="104" t="str">
        <x:v>Globaler Kampf mit Deckungsruf, Schwachstellenfenster und Standartenkoordination; Aktionen bleiben pro Spieler übersichtlich.</x:v>
      </x:c>
      <x:c r="I26" s="104" t="str">
        <x:v>Mittagsdonner: markiert Teams; Schutzaktion vor der nächsten Bossrunde.</x:v>
      </x:c>
      <x:c r="J26" s="104" t="str">
        <x:v>Überhitztes Rohr: globales Schwachstellenfenster nach zwei Salven.</x:v>
      </x:c>
      <x:c r="K26" s="104" t="str">
        <x:v>Phase 1 Zielmarken; Phase 2 überhitzte Kanone; Phase 3 letzte Standarte.</x:v>
      </x:c>
      <x:c r="L26" s="104" t="str">
        <x:v>Teammarken, dann globaler Flächendruck.</x:v>
      </x:c>
      <x:c r="M26" s="104" t="str">
        <x:v>Schweizergarde schützt, Condottiere koordiniert, Bildhauer bricht Rohrschutz, Ordensperson stabilisiert Teams.</x:v>
      </x:c>
      <x:c r="N26" s="104" t="str">
        <x:v>TEAM_MARK|COVER|OVERHEAT</x:v>
      </x:c>
      <x:c r="O26" s="104" t="str">
        <x:v>SIDE_B_DEFEATED / objective-specific</x:v>
      </x:c>
      <x:c r="P26" s="104" t="str">
        <x:v>TEAM_WIPED / retry rule</x:v>
      </x:c>
      <x:c r="Q26" s="104" t="str">
        <x:v>Späteres Reward-/Loot-Balancing</x:v>
      </x:c>
      <x:c r="R26" s="104" t="str">
        <x:v>EVENT_CONTROLLED</x:v>
      </x:c>
      <x:c r="S26" s="104"/>
      <x:c r="T26" s="104" t="str">
        <x:v>Mobile-RPG-Gegnerkonzept, vollständige Figur, gut lesbare Kampfsilhouette, Rom-Fantasy, Mächtiger Artillerist des 19. Jahrhunderts, rußige rote Jacke, Messingknöpfe, Geisterkanone, orange-goldener Rauch, Panorama nur angedeutet. Dramatisches aber nicht fotorealistisches Licht, neutraler transparenzgeeigneter Hintergrund, keine Schrift, kein Logo, keine Gore.</x:v>
      </x:c>
      <x:c r="U26" s="104" t="str">
        <x:v>HP|DEF|Damage|Initiative|Statuschance|Rewards</x:v>
      </x:c>
      <x:c r="V26" s="104" t="str">
        <x:v>EDITORIAL_REVIEW</x:v>
      </x:c>
    </x:row>
    <x:row r="27" ht="104" customHeight="1">
      <x:c r="A27" s="101" t="str">
        <x:v>CP-WB-NEVE</x:v>
      </x:c>
      <x:c r="B27" s="101" t="str">
        <x:v>B-D2-01</x:v>
      </x:c>
      <x:c r="C27" s="101" t="str">
        <x:v>WORLD_BOSS</x:v>
      </x:c>
      <x:c r="D27" s="101" t="str">
        <x:v>Custode della Neve</x:v>
      </x:c>
      <x:c r="E27" s="101" t="str">
        <x:v>L</x:v>
      </x:c>
      <x:c r="F27" s="101" t="str">
        <x:v>GLOBAL_CONTROL_BOSS</x:v>
      </x:c>
      <x:c r="G27" s="101" t="str">
        <x:v>Ein legendärer Wächter aus Schnee und Mosaiklicht erhebt sich vor der Basilika-Außenfläche.</x:v>
      </x:c>
      <x:c r="H27" s="101" t="str">
        <x:v>Globaler Kampf mit Erinnerungseis, Wärmeverteilung und gemeinsamen Bruchfenstern; Legendenstatus wird im Dialog klar markiert.</x:v>
      </x:c>
      <x:c r="I27" s="101" t="str">
        <x:v>Erinnerungseis: friert einen Questbonus pro Team ein, bis Faktenmarker aktiviert werden.</x:v>
      </x:c>
      <x:c r="J27" s="101" t="str">
        <x:v>Weiße Nacht: globale Phase, in der Schutz und Heilung koordiniert werden müssen.</x:v>
      </x:c>
      <x:c r="K27" s="101" t="str">
        <x:v>Phase 1 Schneesiegel; Phase 2 weiße Nacht; Phase 3 Mosaikrisse und Finale.</x:v>
      </x:c>
      <x:c r="L27" s="101" t="str">
        <x:v>Globale Teamziele, danach niedrigste Beitragsgruppe für Unterstützungsfenster.</x:v>
      </x:c>
      <x:c r="M27" s="101" t="str">
        <x:v>Esquilino-Bonus widersteht erstem Eis; alle vier Klassen besitzen relevante Mechanikrollen.</x:v>
      </x:c>
      <x:c r="N27" s="101" t="str">
        <x:v>FROZEN_BONUS|WHITEOUT|WARMTH_LINK</x:v>
      </x:c>
      <x:c r="O27" s="101" t="str">
        <x:v>SIDE_B_DEFEATED / objective-specific</x:v>
      </x:c>
      <x:c r="P27" s="101" t="str">
        <x:v>TEAM_WIPED / retry rule</x:v>
      </x:c>
      <x:c r="Q27" s="101" t="str">
        <x:v>Späteres Reward-/Loot-Balancing</x:v>
      </x:c>
      <x:c r="R27" s="101" t="str">
        <x:v>EVENT_CONTROLLED</x:v>
      </x:c>
      <x:c r="S27" s="101"/>
      <x:c r="T27" s="101" t="str">
        <x:v>Mobile-RPG-Gegnerkonzept, vollständige Figur, gut lesbare Kampfsilhouette, Rom-Fantasy, Riesiger weißer Wächter in byzantinisch-römischer Fantasierüstung, Schneemantel, goldene Mosaikreflexe, violett-oranges Bosslicht, kein religiöses Gesicht imitieren. Dramatisches aber nicht fotorealistisches Licht, neutraler transparenzgeeigneter Hintergrund, keine Schrift, kein Logo, keine Gore.</x:v>
      </x:c>
      <x:c r="U27" s="101" t="str">
        <x:v>HP|DEF|Damage|Initiative|Statuschance|Rewards</x:v>
      </x:c>
      <x:c r="V27" s="101" t="str">
        <x:v>EDITORIAL_REVIEW</x:v>
      </x:c>
    </x:row>
    <x:row r="28" ht="104" customHeight="1">
      <x:c r="A28" s="104" t="str">
        <x:v>CP-UE-D1-01</x:v>
      </x:c>
      <x:c r="B28" s="104" t="str">
        <x:v>UE-D1-01</x:v>
      </x:c>
      <x:c r="C28" s="104" t="str">
        <x:v>WORLD_ENEMY</x:v>
      </x:c>
      <x:c r="D28" s="104" t="str">
        <x:v>Angelo della Passione</x:v>
      </x:c>
      <x:c r="E28" s="104" t="str">
        <x:v>SR</x:v>
      </x:c>
      <x:c r="F28" s="104" t="str">
        <x:v>CONTROL_COUNTER</x:v>
      </x:c>
      <x:c r="G28" s="104" t="str">
        <x:v>Eine lebendig gewordene Marmorstatue eines Brückenengels; sie trägt eines der sichtbaren Passionsinstrumente.</x:v>
      </x:c>
      <x:c r="H28" s="104" t="str">
        <x:v>Hebt ein Passionsinstrument sichtbar an und kontert in der Folgerunde die zuerst wiederholte Aktionsart.</x:v>
      </x:c>
      <x:c r="I28" s="104" t="str">
        <x:v>Gewicht der Passion: markiert einen Spieler; Schutz oder Heilung durch ein anderes Mitglied löst die Marke sicher.</x:v>
      </x:c>
      <x:c r="J28" s="104" t="str">
        <x:v>Ortsreaktion: Zehn große Engelsfiguren auf den Balustraden; Petrus und Paulus stehen getrennt an den Brückenköpfen.</x:v>
      </x:c>
      <x:c r="K28" s="104" t="str">
        <x:v>Keine Lebensphasen; zustandsbasiertes Telegraph/Counterplay.</x:v>
      </x:c>
      <x:c r="L28" s="104" t="str">
        <x:v>Gemäß Kampfmuster; keine zufällige Dauerfokussierung.</x:v>
      </x:c>
      <x:c r="M28" s="104" t="str">
        <x:v>Aktionsarten abwechseln; Bildhauer-Schwachstelle öffnet Marmorfugen.</x:v>
      </x:c>
      <x:c r="N28" s="104" t="str">
        <x:v>MARKED|COUNTER_READY</x:v>
      </x:c>
      <x:c r="O28" s="104" t="str">
        <x:v>SIDE_B_DEFEATED</x:v>
      </x:c>
      <x:c r="P28" s="104" t="str">
        <x:v>TEAM_WIPED; World Enemy bleibt gemäß globalem Statussystem</x:v>
      </x:c>
      <x:c r="Q28" s="104" t="str">
        <x:v>Normaler World-Enemy-Loot nach Rarität</x:v>
      </x:c>
      <x:c r="R28" s="104" t="str">
        <x:v>Global persistent; Respawn R 20m / SR 30m / SSR 45m / E 60m</x:v>
      </x:c>
      <x:c r="S28" s="104"/>
      <x:c r="T28" s="104" t="str">
        <x:v>Mobile-RPG-Gegnerkonzept, vollständige Figur, gut lesbare Kampfsilhouette, Rom-Fantasy, Lebendig gewordener Brückenengel aus hellem Marmor, große gefiederte Flügel, verwittertes Passionsinstrument, goldene Risse, entschlossener trauriger Blick, Tibernebel, Ganzkörper. Dramatisches aber nicht fotorealistisches Licht, neutraler transparenzgeeigneter Hintergrund, keine Schrift, kein Logo, keine Gore.</x:v>
      </x:c>
      <x:c r="U28" s="104" t="str">
        <x:v>Statuschance und Werte: Blatt Gegnerbalance; Reward-ID je Encounter; keine offene Zahlenbalance.</x:v>
      </x:c>
      <x:c r="V28" s="104" t="str">
        <x:v>EDITORIAL_REVIEW</x:v>
      </x:c>
    </x:row>
    <x:row r="29" ht="104" customHeight="1">
      <x:c r="A29" s="101" t="str">
        <x:v>CP-UE-D1-02</x:v>
      </x:c>
      <x:c r="B29" s="101" t="str">
        <x:v>UE-D1-02</x:v>
      </x:c>
      <x:c r="C29" s="101" t="str">
        <x:v>WORLD_ENEMY</x:v>
      </x:c>
      <x:c r="D29" s="101" t="str">
        <x:v>Leone del Flaminio</x:v>
      </x:c>
      <x:c r="E29" s="101" t="str">
        <x:v>R</x:v>
      </x:c>
      <x:c r="F29" s="101" t="str">
        <x:v>FAST_BRUISER</x:v>
      </x:c>
      <x:c r="G29" s="101" t="str">
        <x:v>Eine der vier monumentalen Löwenstatuen am Sockel des Obelisken erwacht als steinernes Raubtier.</x:v>
      </x:c>
      <x:c r="H29" s="101" t="str">
        <x:v>Umkreist das Team und kündigt einen geraden Sprungangriff durch gesenkte Steinpranken an.</x:v>
      </x:c>
      <x:c r="I29" s="101" t="str">
        <x:v>Löwensprung: trifft Frontlinie; verfehlt teilweise, wenn ein Verteidiger die Linie abfängt.</x:v>
      </x:c>
      <x:c r="J29" s="101" t="str">
        <x:v>Ortsreaktion: Vier monumentale Löwenbrunnen unmittelbar um den Obelisksockel.</x:v>
      </x:c>
      <x:c r="K29" s="101" t="str">
        <x:v>Keine Lebensphasen; zustandsbasiertes Telegraph/Counterplay.</x:v>
      </x:c>
      <x:c r="L29" s="101" t="str">
        <x:v>Gemäß Kampfmuster; keine zufällige Dauerfokussierung.</x:v>
      </x:c>
      <x:c r="M29" s="101" t="str">
        <x:v>Defensive Haltung vor Telegraph; Wasser-/Kontrolleffekt verlangsamt.</x:v>
      </x:c>
      <x:c r="N29" s="101" t="str">
        <x:v>POUNCING|SLOWED</x:v>
      </x:c>
      <x:c r="O29" s="101" t="str">
        <x:v>SIDE_B_DEFEATED</x:v>
      </x:c>
      <x:c r="P29" s="101" t="str">
        <x:v>TEAM_WIPED; World Enemy bleibt gemäß globalem Statussystem</x:v>
      </x:c>
      <x:c r="Q29" s="101" t="str">
        <x:v>Normaler World-Enemy-Loot nach Rarität</x:v>
      </x:c>
      <x:c r="R29" s="101" t="str">
        <x:v>Global persistent; Respawn R 20m / SR 30m / SSR 45m / E 60m</x:v>
      </x:c>
      <x:c r="S29" s="101"/>
      <x:c r="T29" s="101" t="str">
        <x:v>Mobile-RPG-Gegnerkonzept, vollständige Figur, gut lesbare Kampfsilhouette, Rom-Fantasy, Monumentaler ägyptisierender Löwe aus warmem Stein, Brunnenwasser tropft aus der Mähne, bronzene Augen, Hieroglyphensockel-Fragmente, kraftvolle niedrige Haltung. Dramatisches aber nicht fotorealistisches Licht, neutraler transparenzgeeigneter Hintergrund, keine Schrift, kein Logo, keine Gore.</x:v>
      </x:c>
      <x:c r="U29" s="101" t="str">
        <x:v>Statuschance und Werte: Blatt Gegnerbalance; Reward-ID je Encounter; keine offene Zahlenbalance.</x:v>
      </x:c>
      <x:c r="V29" s="101" t="str">
        <x:v>EDITORIAL_REVIEW</x:v>
      </x:c>
    </x:row>
    <x:row r="30" ht="104" customHeight="1">
      <x:c r="A30" s="104" t="str">
        <x:v>CP-UE-D1-03</x:v>
      </x:c>
      <x:c r="B30" s="104" t="str">
        <x:v>UE-D1-03</x:v>
      </x:c>
      <x:c r="C30" s="104" t="str">
        <x:v>WORLD_ENEMY</x:v>
      </x:c>
      <x:c r="D30" s="104" t="str">
        <x:v>Dea Roma del Pincio</x:v>
      </x:c>
      <x:c r="E30" s="104" t="str">
        <x:v>SSR</x:v>
      </x:c>
      <x:c r="F30" s="104" t="str">
        <x:v>AURA_COMMANDER</x:v>
      </x:c>
      <x:c r="G30" s="104" t="str">
        <x:v>Die sitzende Personifikation Roms steigt als monumentale Marmorwächterin aus der Brunnenkomposition.</x:v>
      </x:c>
      <x:c r="H30" s="104" t="str">
        <x:v>Wechselt zwischen Roma-Aura, Wölfinruf und Zwillingsmarken; jede Haltung ist sichtbar telegraphiert.</x:v>
      </x:c>
      <x:c r="I30" s="104" t="str">
        <x:v>Ruf der Stadt: verstärkt sich, wenn zwei markierte Spieler dieselbe Aktion wählen.</x:v>
      </x:c>
      <x:c r="J30" s="104" t="str">
        <x:v>Ortsreaktion: Zentrale sitzende Göttin; im unteren Bereich sind die Wölfin und die Zwillinge deutlich erkennbar.</x:v>
      </x:c>
      <x:c r="K30" s="104" t="str">
        <x:v>Keine Lebensphasen; zustandsbasiertes Telegraph/Counterplay.</x:v>
      </x:c>
      <x:c r="L30" s="104" t="str">
        <x:v>Gemäß Kampfmuster; keine zufällige Dauerfokussierung.</x:v>
      </x:c>
      <x:c r="M30" s="104" t="str">
        <x:v>Markierte Spieler wählen unterschiedliche Rollen; Ordensperson entfernt Furcht, Bildhauer bricht Auraanker.</x:v>
      </x:c>
      <x:c r="N30" s="104" t="str">
        <x:v>AURA|TWIN_MARK|FEAR</x:v>
      </x:c>
      <x:c r="O30" s="104" t="str">
        <x:v>SIDE_B_DEFEATED</x:v>
      </x:c>
      <x:c r="P30" s="104" t="str">
        <x:v>TEAM_WIPED; World Enemy bleibt gemäß globalem Statussystem</x:v>
      </x:c>
      <x:c r="Q30" s="104" t="str">
        <x:v>Normaler World-Enemy-Loot nach Rarität</x:v>
      </x:c>
      <x:c r="R30" s="104" t="str">
        <x:v>Global persistent; Respawn R 20m / SR 30m / SSR 45m / E 60m</x:v>
      </x:c>
      <x:c r="S30" s="104"/>
      <x:c r="T30" s="104" t="str">
        <x:v>Mobile-RPG-Gegnerkonzept, vollständige Figur, gut lesbare Kampfsilhouette, Rom-Fantasy, Monumentale sitzende Göttin Roma aus weißem Marmor, roter Mantel als magisches Licht, Helm, Speer gesenkt, Wölfin und zwei geisterhafte Zwillinge am Sockel, würdevoll. Dramatisches aber nicht fotorealistisches Licht, neutraler transparenzgeeigneter Hintergrund, keine Schrift, kein Logo, keine Gore.</x:v>
      </x:c>
      <x:c r="U30" s="104" t="str">
        <x:v>Statuschance und Werte: Blatt Gegnerbalance; Reward-ID je Encounter; keine offene Zahlenbalance.</x:v>
      </x:c>
      <x:c r="V30" s="104" t="str">
        <x:v>EDITORIAL_REVIEW</x:v>
      </x:c>
    </x:row>
    <x:row r="31" ht="104" customHeight="1">
      <x:c r="A31" s="101" t="str">
        <x:v>CP-UE-D1-04</x:v>
      </x:c>
      <x:c r="B31" s="101" t="str">
        <x:v>UE-D1-04</x:v>
      </x:c>
      <x:c r="C31" s="101" t="str">
        <x:v>WORLD_ENEMY</x:v>
      </x:c>
      <x:c r="D31" s="101" t="str">
        <x:v>Legionario della Colonna</x:v>
      </x:c>
      <x:c r="E31" s="101" t="str">
        <x:v>SR</x:v>
      </x:c>
      <x:c r="F31" s="101" t="str">
        <x:v>FORMATION_SOLDIER</x:v>
      </x:c>
      <x:c r="G31" s="101" t="str">
        <x:v>Ein römischer Legionär löst sich aus dem spiralförmigen Reliefband und wird zum steinernen Wiedergänger.</x:v>
      </x:c>
      <x:c r="H31" s="101" t="str">
        <x:v>Baut eine Schildlinie auf und wechselt nach jeder dritten Teamaktion zur Speerformation.</x:v>
      </x:c>
      <x:c r="I31" s="101" t="str">
        <x:v>Reliefmarsch: ruft flache Soldatenschatten, die eine Aktionskategorie blockieren.</x:v>
      </x:c>
      <x:c r="J31" s="101" t="str">
        <x:v>Ortsreaktion: Breites spiralförmiges Reliefband mit zahlreichen Soldaten- und Schlachtszenen.</x:v>
      </x:c>
      <x:c r="K31" s="101" t="str">
        <x:v>Keine Lebensphasen; zustandsbasiertes Telegraph/Counterplay.</x:v>
      </x:c>
      <x:c r="L31" s="101" t="str">
        <x:v>Gemäß Kampfmuster; keine zufällige Dauerfokussierung.</x:v>
      </x:c>
      <x:c r="M31" s="101" t="str">
        <x:v>Flanke/Schwachstelle statt Frontalangriff; unterschiedliche Ziele lösen Schatten auf.</x:v>
      </x:c>
      <x:c r="N31" s="101" t="str">
        <x:v>SHIELD_WALL|ACTION_BLOCK</x:v>
      </x:c>
      <x:c r="O31" s="101" t="str">
        <x:v>SIDE_B_DEFEATED</x:v>
      </x:c>
      <x:c r="P31" s="101" t="str">
        <x:v>TEAM_WIPED; World Enemy bleibt gemäß globalem Statussystem</x:v>
      </x:c>
      <x:c r="Q31" s="101" t="str">
        <x:v>Normaler World-Enemy-Loot nach Rarität</x:v>
      </x:c>
      <x:c r="R31" s="101" t="str">
        <x:v>Global persistent; Respawn R 20m / SR 30m / SSR 45m / E 60m</x:v>
      </x:c>
      <x:c r="S31" s="101"/>
      <x:c r="T31" s="101" t="str">
        <x:v>Mobile-RPG-Gegnerkonzept, vollständige Figur, gut lesbare Kampfsilhouette, Rom-Fantasy, Römischer Legionär aus grauem Reliefstein, Körper teilweise flach wie aus einer Säule geschnitten, Rechteckschild, Speer, spiralförmige Reliefbänder schweben hinter ihm. Dramatisches aber nicht fotorealistisches Licht, neutraler transparenzgeeigneter Hintergrund, keine Schrift, kein Logo, keine Gore.</x:v>
      </x:c>
      <x:c r="U31" s="101" t="str">
        <x:v>Statuschance und Werte: Blatt Gegnerbalance; Reward-ID je Encounter; keine offene Zahlenbalance.</x:v>
      </x:c>
      <x:c r="V31" s="101" t="str">
        <x:v>EDITORIAL_REVIEW</x:v>
      </x:c>
    </x:row>
    <x:row r="32" ht="104" customHeight="1">
      <x:c r="A32" s="104" t="str">
        <x:v>CP-UE-D1-05</x:v>
      </x:c>
      <x:c r="B32" s="104" t="str">
        <x:v>UE-D1-05</x:v>
      </x:c>
      <x:c r="C32" s="104" t="str">
        <x:v>WORLD_ENEMY</x:v>
      </x:c>
      <x:c r="D32" s="104" t="str">
        <x:v>Ombra dell’Horologium</x:v>
      </x:c>
      <x:c r="E32" s="104" t="str">
        <x:v>SSR</x:v>
      </x:c>
      <x:c r="F32" s="104" t="str">
        <x:v>TIME_CONTROLLER</x:v>
      </x:c>
      <x:c r="G32" s="104" t="str">
        <x:v>Ein Zeitgeist aus wanderndem Schatten, abgeleitet von der antiken Nutzung des Obelisken als Zeiger des Horologium Augusti.</x:v>
      </x:c>
      <x:c r="H32" s="104" t="str">
        <x:v>Legt eine sichtbare Drei-Schritt-Zeitleiste an; verzögerte Aktionen werden verstärkt, hektische Wiederholungen bestraft.</x:v>
      </x:c>
      <x:c r="I32" s="104" t="str">
        <x:v>Schattenstunde: setzt Initiative nach sichtbarem Countdown neu.</x:v>
      </x:c>
      <x:c r="J32" s="104" t="str">
        <x:v>Ortsreaktion: Monumentaler Obelisk mit Hieroglyphen; die historische Gnomon-Funktion liefert das Schattenmotiv.</x:v>
      </x:c>
      <x:c r="K32" s="104" t="str">
        <x:v>Keine Lebensphasen; zustandsbasiertes Telegraph/Counterplay.</x:v>
      </x:c>
      <x:c r="L32" s="104" t="str">
        <x:v>Gemäß Kampfmuster; keine zufällige Dauerfokussierung.</x:v>
      </x:c>
      <x:c r="M32" s="104" t="str">
        <x:v>Aktionen vor Countdown koordinieren; Licht-/Beobachtungseffekt fixiert den Schatten.</x:v>
      </x:c>
      <x:c r="N32" s="104" t="str">
        <x:v>DELAYED|INITIATIVE_SHIFT</x:v>
      </x:c>
      <x:c r="O32" s="104" t="str">
        <x:v>SIDE_B_DEFEATED</x:v>
      </x:c>
      <x:c r="P32" s="104" t="str">
        <x:v>TEAM_WIPED; World Enemy bleibt gemäß globalem Statussystem</x:v>
      </x:c>
      <x:c r="Q32" s="104" t="str">
        <x:v>Normaler World-Enemy-Loot nach Rarität</x:v>
      </x:c>
      <x:c r="R32" s="104" t="str">
        <x:v>Global persistent; Respawn R 20m / SR 30m / SSR 45m / E 60m</x:v>
      </x:c>
      <x:c r="S32" s="104"/>
      <x:c r="T32" s="104" t="str">
        <x:v>Mobile-RPG-Gegnerkonzept, vollständige Figur, gut lesbare Kampfsilhouette, Rom-Fantasy, Humanoider Geist aus schwarzem Schatten und goldenen Sonnenlinien, Obelisken-Silhouette als Rücken, schwebende römische Stundenmarken, keine reale Schattenposition nötig. Dramatisches aber nicht fotorealistisches Licht, neutraler transparenzgeeigneter Hintergrund, keine Schrift, kein Logo, keine Gore.</x:v>
      </x:c>
      <x:c r="U32" s="104" t="str">
        <x:v>Statuschance und Werte: Blatt Gegnerbalance; Reward-ID je Encounter; keine offene Zahlenbalance.</x:v>
      </x:c>
      <x:c r="V32" s="104" t="str">
        <x:v>EDITORIAL_REVIEW</x:v>
      </x:c>
    </x:row>
    <x:row r="33" ht="104" customHeight="1">
      <x:c r="A33" s="101" t="str">
        <x:v>CP-UE-D1-06</x:v>
      </x:c>
      <x:c r="B33" s="101" t="str">
        <x:v>UE-D1-06</x:v>
      </x:c>
      <x:c r="C33" s="101" t="str">
        <x:v>WORLD_ENEMY</x:v>
      </x:c>
      <x:c r="D33" s="101" t="str">
        <x:v>Custode della Cupola</x:v>
      </x:c>
      <x:c r="E33" s="101" t="str">
        <x:v>R</x:v>
      </x:c>
      <x:c r="F33" s="101" t="str">
        <x:v>AERIAL_GUARD</x:v>
      </x:c>
      <x:c r="G33" s="101" t="str">
        <x:v>Die einzelne große Engelsfigur der Fassade erwacht als steinerner Wächter der Kuppelbasilika.</x:v>
      </x:c>
      <x:c r="H33" s="101" t="str">
        <x:v>Schützt sich mit Steinflügeln und stößt nach einem Fassadenruf auf ein Ziel herab.</x:v>
      </x:c>
      <x:c r="I33" s="101" t="str">
        <x:v>Kuppelwacht: erhält Schutz, solange kein Teammitglied eine Beobachtungs-/Schwachstellenaktion nutzt.</x:v>
      </x:c>
      <x:c r="J33" s="101" t="str">
        <x:v>Ortsreaktion: Einzelne große Engelsfigur auf der linken Fassadenseite vom öffentlichen Außenpunkt aus.</x:v>
      </x:c>
      <x:c r="K33" s="101" t="str">
        <x:v>Keine Lebensphasen; zustandsbasiertes Telegraph/Counterplay.</x:v>
      </x:c>
      <x:c r="L33" s="101" t="str">
        <x:v>Gemäß Kampfmuster; keine zufällige Dauerfokussierung.</x:v>
      </x:c>
      <x:c r="M33" s="101" t="str">
        <x:v>Fassadenanker identifizieren; Fern- oder Kontrollaktion unterbricht Sturzflug.</x:v>
      </x:c>
      <x:c r="N33" s="101" t="str">
        <x:v>WING_GUARD|DIVE_READY</x:v>
      </x:c>
      <x:c r="O33" s="101" t="str">
        <x:v>SIDE_B_DEFEATED</x:v>
      </x:c>
      <x:c r="P33" s="101" t="str">
        <x:v>TEAM_WIPED; World Enemy bleibt gemäß globalem Statussystem</x:v>
      </x:c>
      <x:c r="Q33" s="101" t="str">
        <x:v>Normaler World-Enemy-Loot nach Rarität</x:v>
      </x:c>
      <x:c r="R33" s="101" t="str">
        <x:v>Global persistent; Respawn R 20m / SR 30m / SSR 45m / E 60m</x:v>
      </x:c>
      <x:c r="S33" s="101"/>
      <x:c r="T33" s="101" t="str">
        <x:v>Mobile-RPG-Gegnerkonzept, vollständige Figur, gut lesbare Kampfsilhouette, Rom-Fantasy, Einzelner barocker Fassadenengel aus hellem Stein, asymmetrische leicht beschädigte Flügel, Schriftrolle, Kuppelsilhouette im Hintergrund, wachsam statt religiös verehrt. Dramatisches aber nicht fotorealistisches Licht, neutraler transparenzgeeigneter Hintergrund, keine Schrift, kein Logo, keine Gore.</x:v>
      </x:c>
      <x:c r="U33" s="101" t="str">
        <x:v>Statuschance und Werte: Blatt Gegnerbalance; Reward-ID je Encounter; keine offene Zahlenbalance.</x:v>
      </x:c>
      <x:c r="V33" s="101" t="str">
        <x:v>EDITORIAL_REVIEW</x:v>
      </x:c>
    </x:row>
    <x:row r="34" ht="104" customHeight="1">
      <x:c r="A34" s="104" t="str">
        <x:v>CP-UE-D1-07</x:v>
      </x:c>
      <x:c r="B34" s="104" t="str">
        <x:v>UE-D1-07</x:v>
      </x:c>
      <x:c r="C34" s="104" t="str">
        <x:v>WORLD_ENEMY</x:v>
      </x:c>
      <x:c r="D34" s="104" t="str">
        <x:v>Serpente di Esculapio</x:v>
      </x:c>
      <x:c r="E34" s="104" t="str">
        <x:v>SSR</x:v>
      </x:c>
      <x:c r="F34" s="104" t="str">
        <x:v>HEAL_DENIAL</x:v>
      </x:c>
      <x:c r="G34" s="104" t="str">
        <x:v>Ein heiliger Schlangengeist des antiken Asklepios-Kults, der die schiffsförmige Insel als sein steinernes Lager nutzt.</x:v>
      </x:c>
      <x:c r="H34" s="104" t="str">
        <x:v>Schlängelt sich zwischen Heilzeichen und verwandelt übermäßige Heilung in einen Schild.</x:v>
      </x:c>
      <x:c r="I34" s="104" t="str">
        <x:v>Asklepios-Windung: bindet den zuletzt geheilten Spieler und kopiert einen Teil der Heilung als Barriere.</x:v>
      </x:c>
      <x:c r="J34" s="104" t="str">
        <x:v>Ortsreaktion: Travertinreste eines Schiffsbugs und ein Asklepios-Relief am östlichen Inselende.</x:v>
      </x:c>
      <x:c r="K34" s="104" t="str">
        <x:v>Keine Lebensphasen; zustandsbasiertes Telegraph/Counterplay.</x:v>
      </x:c>
      <x:c r="L34" s="104" t="str">
        <x:v>Gemäß Kampfmuster; keine zufällige Dauerfokussierung.</x:v>
      </x:c>
      <x:c r="M34" s="104" t="str">
        <x:v>Heilung zeitlich verteilen; Einzelziel-Kontrolle löst Windung; Ordensperson reinigt Bindung.</x:v>
      </x:c>
      <x:c r="N34" s="104" t="str">
        <x:v>BOUND|ABSORB_HEAL</x:v>
      </x:c>
      <x:c r="O34" s="104" t="str">
        <x:v>SIDE_B_DEFEATED</x:v>
      </x:c>
      <x:c r="P34" s="104" t="str">
        <x:v>TEAM_WIPED; World Enemy bleibt gemäß globalem Statussystem</x:v>
      </x:c>
      <x:c r="Q34" s="104" t="str">
        <x:v>Normaler World-Enemy-Loot nach Rarität</x:v>
      </x:c>
      <x:c r="R34" s="104" t="str">
        <x:v>Global persistent; Respawn R 20m / SR 30m / SSR 45m / E 60m</x:v>
      </x:c>
      <x:c r="S34" s="104"/>
      <x:c r="T34" s="104" t="str">
        <x:v>Mobile-RPG-Gegnerkonzept, vollständige Figur, gut lesbare Kampfsilhouette, Rom-Fantasy, Großer heiliger Schlangengeist aus grünem Stein und blauem Licht, um einen verwitterten Asklepiosstab gewunden, Travertin-Schiffsbug-Fragmente, ruhig und bedrohlich. Dramatisches aber nicht fotorealistisches Licht, neutraler transparenzgeeigneter Hintergrund, keine Schrift, kein Logo, keine Gore.</x:v>
      </x:c>
      <x:c r="U34" s="104" t="str">
        <x:v>Statuschance und Werte: Blatt Gegnerbalance; Reward-ID je Encounter; keine offene Zahlenbalance.</x:v>
      </x:c>
      <x:c r="V34" s="104" t="str">
        <x:v>EDITORIAL_REVIEW</x:v>
      </x:c>
    </x:row>
    <x:row r="35" ht="104" customHeight="1">
      <x:c r="A35" s="101" t="str">
        <x:v>CP-UE-D1-08</x:v>
      </x:c>
      <x:c r="B35" s="101" t="str">
        <x:v>UE-D1-08</x:v>
      </x:c>
      <x:c r="C35" s="101" t="str">
        <x:v>WORLD_ENEMY</x:v>
      </x:c>
      <x:c r="D35" s="101" t="str">
        <x:v>Occhio del Tevere</x:v>
      </x:c>
      <x:c r="E35" s="101" t="str">
        <x:v>R</x:v>
      </x:c>
      <x:c r="F35" s="101" t="str">
        <x:v>AREA_HAZARD</x:v>
      </x:c>
      <x:c r="G35" s="101" t="str">
        <x:v>Ein kreisförmiger Tibergeist, der sich als flüssiges Auge in der großen Mittelöffnung der Brücke manifestiert.</x:v>
      </x:c>
      <x:c r="H35" s="101" t="str">
        <x:v>Öffnet und schließt ein kreisförmiges Wasserauge; Angriff trifft nur die zuletzt markierte Reihe.</x:v>
      </x:c>
      <x:c r="I35" s="101" t="str">
        <x:v>Tiberblick: beobachtet eine Aktion und spiegelt deren Statuseffekt abgeschwächt.</x:v>
      </x:c>
      <x:c r="J35" s="101" t="str">
        <x:v>Ortsreaktion: Große kreisrunde Öffnung zwischen den beiden mittleren Brückenbögen.</x:v>
      </x:c>
      <x:c r="K35" s="101" t="str">
        <x:v>Keine Lebensphasen; zustandsbasiertes Telegraph/Counterplay.</x:v>
      </x:c>
      <x:c r="L35" s="101" t="str">
        <x:v>Gemäß Kampfmuster; keine zufällige Dauerfokussierung.</x:v>
      </x:c>
      <x:c r="M35" s="101" t="str">
        <x:v>Reihe wechseln; reine Schadensaktion kann ohne spiegelbaren Debuff gewählt werden.</x:v>
      </x:c>
      <x:c r="N35" s="101" t="str">
        <x:v>WATCHED|SOAKED</x:v>
      </x:c>
      <x:c r="O35" s="101" t="str">
        <x:v>SIDE_B_DEFEATED</x:v>
      </x:c>
      <x:c r="P35" s="101" t="str">
        <x:v>TEAM_WIPED; World Enemy bleibt gemäß globalem Statussystem</x:v>
      </x:c>
      <x:c r="Q35" s="101" t="str">
        <x:v>Normaler World-Enemy-Loot nach Rarität</x:v>
      </x:c>
      <x:c r="R35" s="101" t="str">
        <x:v>Global persistent; Respawn R 20m / SR 30m / SSR 45m / E 60m</x:v>
      </x:c>
      <x:c r="S35" s="101"/>
      <x:c r="T35" s="101" t="str">
        <x:v>Mobile-RPG-Gegnerkonzept, vollständige Figur, gut lesbare Kampfsilhouette, Rom-Fantasy, Schwebendes kreisförmiges Auge aus Tiberwasser, steinerner Ring wie die Mittelöffnung der Brücke, Strömungsiris, kleine Brückenbogen-Fragmente, surreal aber klar lesbar. Dramatisches aber nicht fotorealistisches Licht, neutraler transparenzgeeigneter Hintergrund, keine Schrift, kein Logo, keine Gore.</x:v>
      </x:c>
      <x:c r="U35" s="101" t="str">
        <x:v>Statuschance und Werte: Blatt Gegnerbalance; Reward-ID je Encounter; keine offene Zahlenbalance.</x:v>
      </x:c>
      <x:c r="V35" s="101" t="str">
        <x:v>EDITORIAL_REVIEW</x:v>
      </x:c>
    </x:row>
    <x:row r="36" ht="104" customHeight="1">
      <x:c r="A36" s="104" t="str">
        <x:v>CP-UE-D2-01</x:v>
      </x:c>
      <x:c r="B36" s="104" t="str">
        <x:v>UE-D2-01</x:v>
      </x:c>
      <x:c r="C36" s="104" t="str">
        <x:v>WORLD_ENEMY</x:v>
      </x:c>
      <x:c r="D36" s="104" t="str">
        <x:v>Quadriga dell’Unità</x:v>
      </x:c>
      <x:c r="E36" s="104" t="str">
        <x:v>E</x:v>
      </x:c>
      <x:c r="F36" s="104" t="str">
        <x:v>MULTI_PHASE_CHARGER</x:v>
      </x:c>
      <x:c r="G36" s="104" t="str">
        <x:v>Eine der monumentalen bronzenen Quadrigen löst sich vom Dach und erscheint als übergroßer Wagengeist.</x:v>
      </x:c>
      <x:c r="H36" s="104" t="str">
        <x:v>Erscheint als Wagengeist mit zwei Pferdepaaren; wechselt zwischen Parade, Sturm und Siegeskreis.</x:v>
      </x:c>
      <x:c r="I36" s="104" t="str">
        <x:v>Quadriga-Sturm: zwei nacheinander telegraphierte Linienangriffe.</x:v>
      </x:c>
      <x:c r="J36" s="104" t="str">
        <x:v>Ortsreaktion: Zwei monumentale Quadrigen an den oberen Enden des Vittoriano.</x:v>
      </x:c>
      <x:c r="K36" s="104" t="str">
        <x:v>Keine Lebensphasen; zustandsbasiertes Telegraph/Counterplay.</x:v>
      </x:c>
      <x:c r="L36" s="104" t="str">
        <x:v>Gemäß Kampfmuster; keine zufällige Dauerfokussierung.</x:v>
      </x:c>
      <x:c r="M36" s="104" t="str">
        <x:v>Zwischen Linien wechseln; Kontrolle eines Pferdepaars reduziert zweiten Angriff; Condottiere liest Route.</x:v>
      </x:c>
      <x:c r="N36" s="104" t="str">
        <x:v>CHARGE_LINE|TRIUMPH_AURA</x:v>
      </x:c>
      <x:c r="O36" s="104" t="str">
        <x:v>SIDE_B_DEFEATED</x:v>
      </x:c>
      <x:c r="P36" s="104" t="str">
        <x:v>TEAM_WIPED; World Enemy bleibt gemäß globalem Statussystem</x:v>
      </x:c>
      <x:c r="Q36" s="104" t="str">
        <x:v>Normaler World-Enemy-Loot nach Rarität</x:v>
      </x:c>
      <x:c r="R36" s="104" t="str">
        <x:v>Global persistent; Respawn R 20m / SR 30m / SSR 45m / E 60m</x:v>
      </x:c>
      <x:c r="S36" s="104"/>
      <x:c r="T36" s="104" t="str">
        <x:v>Mobile-RPG-Gegnerkonzept, vollständige Figur, gut lesbare Kampfsilhouette, Rom-Fantasy, Übergroße bronzene Quadriga mit vier geisterhaften Pferden, geflügelte Wagenlenkerin als abstrakte Siegesfigur, grüne Patina, weißer Monumentstein und goldener Sturm. Dramatisches aber nicht fotorealistisches Licht, neutraler transparenzgeeigneter Hintergrund, keine Schrift, kein Logo, keine Gore.</x:v>
      </x:c>
      <x:c r="U36" s="104" t="str">
        <x:v>Statuschance und Werte: Blatt Gegnerbalance; Reward-ID je Encounter; keine offene Zahlenbalance.</x:v>
      </x:c>
      <x:c r="V36" s="104" t="str">
        <x:v>EDITORIAL_REVIEW</x:v>
      </x:c>
    </x:row>
    <x:row r="37" ht="104" customHeight="1">
      <x:c r="A37" s="101" t="str">
        <x:v>CP-UE-D2-02</x:v>
      </x:c>
      <x:c r="B37" s="101" t="str">
        <x:v>UE-D2-02</x:v>
      </x:c>
      <x:c r="C37" s="101" t="str">
        <x:v>WORLD_ENEMY</x:v>
      </x:c>
      <x:c r="D37" s="101" t="str">
        <x:v>Coppia dei Tritoni</x:v>
      </x:c>
      <x:c r="E37" s="101" t="str">
        <x:v>SSR</x:v>
      </x:c>
      <x:c r="F37" s="101" t="str">
        <x:v>COORDINATED_DUO</x:v>
      </x:c>
      <x:c r="G37" s="101" t="str">
        <x:v>Die beiden steinernen Tritonen erwachen gemeinsam als ein koordiniertes Gegnerduo.</x:v>
      </x:c>
      <x:c r="H37" s="101" t="str">
        <x:v>Zwei Tritonen handeln abwechselnd: einer schützt die Muschel, der andere bläst einen Wasserstoß.</x:v>
      </x:c>
      <x:c r="I37" s="101" t="str">
        <x:v>Muschelhorn-Duett: starker Teamangriff, wenn beide in derselben Runde ungestört bleiben.</x:v>
      </x:c>
      <x:c r="J37" s="101" t="str">
        <x:v>Ortsreaktion: Zwei große Tritonen tragen gemeinsam die obere Muschelschale.</x:v>
      </x:c>
      <x:c r="K37" s="101" t="str">
        <x:v>Keine Lebensphasen; zustandsbasiertes Telegraph/Counterplay.</x:v>
      </x:c>
      <x:c r="L37" s="101" t="str">
        <x:v>Gemäß Kampfmuster; keine zufällige Dauerfokussierung.</x:v>
      </x:c>
      <x:c r="M37" s="101" t="str">
        <x:v>Aktionen auf beide Rollen verteilen; Unterbrechen eines Tritons bricht das Duett.</x:v>
      </x:c>
      <x:c r="N37" s="101" t="str">
        <x:v>LINKED_DUO|SONIC_WAVE</x:v>
      </x:c>
      <x:c r="O37" s="101" t="str">
        <x:v>SIDE_B_DEFEATED</x:v>
      </x:c>
      <x:c r="P37" s="101" t="str">
        <x:v>TEAM_WIPED; World Enemy bleibt gemäß globalem Statussystem</x:v>
      </x:c>
      <x:c r="Q37" s="101" t="str">
        <x:v>Normaler World-Enemy-Loot nach Rarität</x:v>
      </x:c>
      <x:c r="R37" s="101" t="str">
        <x:v>Global persistent; Respawn R 20m / SR 30m / SSR 45m / E 60m</x:v>
      </x:c>
      <x:c r="S37" s="101"/>
      <x:c r="T37" s="101" t="str">
        <x:v>Mobile-RPG-Gegnerkonzept, vollständige Figur, gut lesbare Kampfsilhouette, Rom-Fantasy, Zwei muskulöse steinerne Tritonen tragen gemeinsam eine große Muschelschale, Meeresschwänze, Wasserbänder, grüne Patina, dynamische spiegelbildliche Posen. Dramatisches aber nicht fotorealistisches Licht, neutraler transparenzgeeigneter Hintergrund, keine Schrift, kein Logo, keine Gore.</x:v>
      </x:c>
      <x:c r="U37" s="101" t="str">
        <x:v>Statuschance und Werte: Blatt Gegnerbalance; Reward-ID je Encounter; keine offene Zahlenbalance.</x:v>
      </x:c>
      <x:c r="V37" s="101" t="str">
        <x:v>EDITORIAL_REVIEW</x:v>
      </x:c>
    </x:row>
    <x:row r="38" ht="104" customHeight="1">
      <x:c r="A38" s="104" t="str">
        <x:v>CP-UE-D2-03</x:v>
      </x:c>
      <x:c r="B38" s="104" t="str">
        <x:v>UE-D2-03</x:v>
      </x:c>
      <x:c r="C38" s="104" t="str">
        <x:v>WORLD_ENEMY</x:v>
      </x:c>
      <x:c r="D38" s="104" t="str">
        <x:v>Nocchiero della Navicella</x:v>
      </x:c>
      <x:c r="E38" s="104" t="str">
        <x:v>SR</x:v>
      </x:c>
      <x:c r="F38" s="104" t="str">
        <x:v>SUMMONER_VEHICLE</x:v>
      </x:c>
      <x:c r="G38" s="104" t="str">
        <x:v>Das steinerne Schiff erwacht mit einem geisterhaften Steuermann zu einem einzigen animierten Gegnerkonstrukt.</x:v>
      </x:c>
      <x:c r="H38" s="104" t="str">
        <x:v>Der geisterhafte Steuermann lenkt die steinerne Navicella und ruft kleine Wellenkonstrukte.</x:v>
      </x:c>
      <x:c r="I38" s="104" t="str">
        <x:v>Steinerner Kurswechsel: verschiebt Zielpriorität und schützt die Seite, die dem Bug zugewandt ist.</x:v>
      </x:c>
      <x:c r="J38" s="104" t="str">
        <x:v>Ortsreaktion: Großes steinernes Schiff als zentrales Brunnenobjekt.</x:v>
      </x:c>
      <x:c r="K38" s="104" t="str">
        <x:v>Keine Lebensphasen; zustandsbasiertes Telegraph/Counterplay.</x:v>
      </x:c>
      <x:c r="L38" s="104" t="str">
        <x:v>Gemäß Kampfmuster; keine zufällige Dauerfokussierung.</x:v>
      </x:c>
      <x:c r="M38" s="104" t="str">
        <x:v>Bug/Heck richtig identifizieren und die ungeschützte Seite angreifen.</x:v>
      </x:c>
      <x:c r="N38" s="104" t="str">
        <x:v>PORT_GUARD|WAVE_MINION</x:v>
      </x:c>
      <x:c r="O38" s="104" t="str">
        <x:v>SIDE_B_DEFEATED</x:v>
      </x:c>
      <x:c r="P38" s="104" t="str">
        <x:v>TEAM_WIPED; World Enemy bleibt gemäß globalem Statussystem</x:v>
      </x:c>
      <x:c r="Q38" s="104" t="str">
        <x:v>Normaler World-Enemy-Loot nach Rarität</x:v>
      </x:c>
      <x:c r="R38" s="104" t="str">
        <x:v>Global persistent; Respawn R 20m / SR 30m / SSR 45m / E 60m</x:v>
      </x:c>
      <x:c r="S38" s="104"/>
      <x:c r="T38" s="104" t="str">
        <x:v>Mobile-RPG-Gegnerkonzept, vollständige Figur, gut lesbare Kampfsilhouette, Rom-Fantasy, Steinernes römisches Schiff als lebender Gegner, geisterhafter Steuermann am Heck, moosige Bordwand, blaues Licht in den Fugen, kleine Wellenwesen, Ganzkörper. Dramatisches aber nicht fotorealistisches Licht, neutraler transparenzgeeigneter Hintergrund, keine Schrift, kein Logo, keine Gore.</x:v>
      </x:c>
      <x:c r="U38" s="104" t="str">
        <x:v>Statuschance und Werte: Blatt Gegnerbalance; Reward-ID je Encounter; keine offene Zahlenbalance.</x:v>
      </x:c>
      <x:c r="V38" s="104" t="str">
        <x:v>EDITORIAL_REVIEW</x:v>
      </x:c>
    </x:row>
    <x:row r="39" ht="104" customHeight="1">
      <x:c r="A39" s="101" t="str">
        <x:v>CP-UE-D2-04</x:v>
      </x:c>
      <x:c r="B39" s="101" t="str">
        <x:v>UE-D2-04</x:v>
      </x:c>
      <x:c r="C39" s="101" t="str">
        <x:v>WORLD_ENEMY</x:v>
      </x:c>
      <x:c r="D39" s="101" t="str">
        <x:v>Cesare di Bronzo</x:v>
      </x:c>
      <x:c r="E39" s="101" t="str">
        <x:v>SSR</x:v>
      </x:c>
      <x:c r="F39" s="101" t="str">
        <x:v>COMMAND_DUELIST</x:v>
      </x:c>
      <x:c r="G39" s="101" t="str">
        <x:v>Die bronzene Caesar-Figur erwacht als ehrgeiziger Feldherr-Wiedergänger.</x:v>
      </x:c>
      <x:c r="H39" s="101" t="str">
        <x:v>Wechselt zwischen Befehl, Verteidigung und persönlichem Duell; jede Haltung wird durch Handzeichen angekündigt.</x:v>
      </x:c>
      <x:c r="I39" s="101" t="str">
        <x:v>Veni-Vidi-Marke: markiert den Spieler mit höchstem Angriff und fordert dessen nächste Aktion heraus.</x:v>
      </x:c>
      <x:c r="J39" s="101" t="str">
        <x:v>Ortsreaktion: Monumentale Caesar-Statue am Kapitol; die Figur selbst ist der Referenzkörper.</x:v>
      </x:c>
      <x:c r="K39" s="101" t="str">
        <x:v>Keine Lebensphasen; zustandsbasiertes Telegraph/Counterplay.</x:v>
      </x:c>
      <x:c r="L39" s="101" t="str">
        <x:v>Gemäß Kampfmuster; keine zufällige Dauerfokussierung.</x:v>
      </x:c>
      <x:c r="M39" s="101" t="str">
        <x:v>Schutz durch anderes Teammitglied bricht das Duell; Statusreinigung entfernt Befehlsmarke.</x:v>
      </x:c>
      <x:c r="N39" s="101" t="str">
        <x:v>CHALLENGED|COMMAND_AURA</x:v>
      </x:c>
      <x:c r="O39" s="101" t="str">
        <x:v>SIDE_B_DEFEATED</x:v>
      </x:c>
      <x:c r="P39" s="101" t="str">
        <x:v>TEAM_WIPED; World Enemy bleibt gemäß globalem Statussystem</x:v>
      </x:c>
      <x:c r="Q39" s="101" t="str">
        <x:v>Normaler World-Enemy-Loot nach Rarität</x:v>
      </x:c>
      <x:c r="R39" s="101" t="str">
        <x:v>Global persistent; Respawn R 20m / SR 30m / SSR 45m / E 60m</x:v>
      </x:c>
      <x:c r="S39" s="101"/>
      <x:c r="T39" s="101" t="str">
        <x:v>Mobile-RPG-Gegnerkonzept, vollständige Figur, gut lesbare Kampfsilhouette, Rom-Fantasy, Lebendig gewordene bronzene Caesar-Statue, Lorbeerkranz, römischer Brustpanzer und Mantel, grüne Patina, entschlossener aber nicht fotorealistischer Ausdruck, kapitolinisches Steinlicht. Dramatisches aber nicht fotorealistisches Licht, neutraler transparenzgeeigneter Hintergrund, keine Schrift, kein Logo, keine Gore.</x:v>
      </x:c>
      <x:c r="U39" s="101" t="str">
        <x:v>Statuschance und Werte: Blatt Gegnerbalance; Reward-ID je Encounter; keine offene Zahlenbalance.</x:v>
      </x:c>
      <x:c r="V39" s="101" t="str">
        <x:v>EDITORIAL_REVIEW</x:v>
      </x:c>
    </x:row>
  </x:sheetData>
  <x:mergeCells>
    <x:mergeCell ref="A1:V1"/>
    <x:mergeCell ref="A2:V2"/>
  </x:mergeCells>
  <x:conditionalFormatting sqref="E5:E39">
    <x:cfRule type="containsText" dxfId="31" priority="1" operator="containsText" text="SSR"/>
    <x:cfRule type="containsText" dxfId="32" priority="2" operator="containsText" text="E"/>
    <x:cfRule type="containsText" dxfId="33" priority="3" operator="containsText" text="L"/>
  </x:conditionalFormatting>
  <x:pageMargins left="0.7" right="0.7" top="0.75" bottom="0.75" header="0.3" footer="0.3"/>
  <x:tableParts count="1">
    <x:tablePart xmlns:r="http://schemas.openxmlformats.org/officeDocument/2006/relationships" r:id="Rff4f21d432754bb3"/>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9" hidden="0" customWidth="1"/>
    <x:col min="2" max="2" width="14" hidden="0" customWidth="1"/>
    <x:col min="3" max="3" width="30" hidden="0" customWidth="1"/>
    <x:col min="4" max="4" width="31" hidden="0" customWidth="1"/>
    <x:col min="5" max="5" width="38" hidden="0" customWidth="1"/>
    <x:col min="6" max="6" width="42" hidden="0" customWidth="1"/>
    <x:col min="7" max="7" width="42" hidden="0" customWidth="1"/>
    <x:col min="8" max="8" width="48" hidden="0" customWidth="1"/>
    <x:col min="9" max="9" width="62" hidden="0" customWidth="1"/>
    <x:col min="10" max="10" width="70" hidden="0" customWidth="1"/>
    <x:col min="11" max="11" width="58" hidden="0" customWidth="1"/>
    <x:col min="12" max="12" width="52" hidden="0" customWidth="1"/>
    <x:col min="13" max="13" width="58" hidden="0" customWidth="1"/>
    <x:col min="14" max="14" width="50" hidden="0" customWidth="1"/>
    <x:col min="15" max="15" width="50" hidden="0" customWidth="1"/>
    <x:col min="16" max="16" width="52" hidden="0" customWidth="1"/>
    <x:col min="17" max="17" width="58" hidden="0" customWidth="1"/>
  </x:cols>
  <x:sheetData>
    <x:row r="1" ht="28" customHeight="1">
      <x:c r="A1" s="91" t="str">
        <x:v>Via Romae – Navigationsaufgaben v0.8</x:v>
      </x:c>
      <x:c r="B1" s="91"/>
      <x:c r="C1" s="91"/>
      <x:c r="D1" s="91"/>
      <x:c r="E1" s="91"/>
      <x:c r="F1" s="91"/>
      <x:c r="G1" s="91"/>
      <x:c r="H1" s="91"/>
      <x:c r="I1" s="91"/>
      <x:c r="J1" s="91"/>
      <x:c r="K1" s="91"/>
      <x:c r="L1" s="91"/>
      <x:c r="M1" s="91"/>
      <x:c r="N1" s="91"/>
      <x:c r="O1" s="91"/>
      <x:c r="P1" s="91"/>
      <x:c r="Q1" s="91"/>
    </x:row>
    <x:row r="2" ht="38" customHeight="1">
      <x:c r="A2" s="95" t="str">
        <x:v>Vier teamorientierte Segmente ohne klassische Turn-by-turn-Navigation. Exakte Zwischengeometrien bleiben bis GeoJSON- und Feldprüfung gesperrt.</x:v>
      </x:c>
      <x:c r="B2" s="95"/>
      <x:c r="C2" s="95"/>
      <x:c r="D2" s="95"/>
      <x:c r="E2" s="95"/>
      <x:c r="F2" s="95"/>
      <x:c r="G2" s="95"/>
      <x:c r="H2" s="95"/>
      <x:c r="I2" s="95"/>
      <x:c r="J2" s="95"/>
      <x:c r="K2" s="95"/>
      <x:c r="L2" s="95"/>
      <x:c r="M2" s="95"/>
      <x:c r="N2" s="95"/>
      <x:c r="O2" s="95"/>
      <x:c r="P2" s="95"/>
      <x:c r="Q2" s="95"/>
    </x:row>
    <x:row r="3">
      <x:c r="A3" s="52"/>
      <x:c r="B3" s="52"/>
      <x:c r="C3" s="52"/>
      <x:c r="D3" s="52"/>
      <x:c r="E3" s="52"/>
      <x:c r="F3" s="52"/>
      <x:c r="G3" s="52"/>
      <x:c r="H3" s="52"/>
      <x:c r="I3" s="52"/>
      <x:c r="J3" s="52"/>
      <x:c r="K3" s="52"/>
      <x:c r="L3" s="52"/>
      <x:c r="M3" s="52"/>
      <x:c r="N3" s="52"/>
      <x:c r="O3" s="52"/>
      <x:c r="P3" s="52"/>
      <x:c r="Q3" s="52"/>
    </x:row>
    <x:row r="4" ht="42" customHeight="1">
      <x:c r="A4" s="98" t="str">
        <x:v>Navigation-ID</x:v>
      </x:c>
      <x:c r="B4" s="98" t="str">
        <x:v>Quest-ID</x:v>
      </x:c>
      <x:c r="C4" s="98" t="str">
        <x:v>Segment</x:v>
      </x:c>
      <x:c r="D4" s="98" t="str">
        <x:v>Modus</x:v>
      </x:c>
      <x:c r="E4" s="98" t="str">
        <x:v>Teilnehmer / Rollen</x:v>
      </x:c>
      <x:c r="F4" s="98" t="str">
        <x:v>Start-ID</x:v>
      </x:c>
      <x:c r="G4" s="98" t="str">
        <x:v>Ziel-ID</x:v>
      </x:c>
      <x:c r="H4" s="98" t="str">
        <x:v>Kartensichtbarkeit</x:v>
      </x:c>
      <x:c r="I4" s="98" t="str">
        <x:v>Rolleninformationen</x:v>
      </x:c>
      <x:c r="J4" s="98" t="str">
        <x:v>Hinweiskette</x:v>
      </x:c>
      <x:c r="K4" s="98" t="str">
        <x:v>Server-Erfolgsbedingung</x:v>
      </x:c>
      <x:c r="L4" s="98" t="str">
        <x:v>Hinweis-/Timeoutlogik</x:v>
      </x:c>
      <x:c r="M4" s="98" t="str">
        <x:v>Sicherheitsregel</x:v>
      </x:c>
      <x:c r="N4" s="98" t="str">
        <x:v>Fallback</x:v>
      </x:c>
      <x:c r="O4" s="98" t="str">
        <x:v>Vor-Ort-Status</x:v>
      </x:c>
      <x:c r="P4" s="98" t="str">
        <x:v>Benötigte GeoJSON-Felder</x:v>
      </x:c>
      <x:c r="Q4" s="98" t="str">
        <x:v>Events / States</x:v>
      </x:c>
    </x:row>
    <x:row r="5" ht="118" customHeight="1">
      <x:c r="A5" s="101" t="str">
        <x:v>NAV-D1-Q03</x:v>
      </x:c>
      <x:c r="B5" s="101" t="str">
        <x:v>D1-Q03</x:v>
      </x:c>
      <x:c r="C5" s="101" t="str">
        <x:v>Drei Wege, ein Tor</x:v>
      </x:c>
      <x:c r="D5" s="101" t="str">
        <x:v>TEAM_SPLIT_AND_REGROUP</x:v>
      </x:c>
      <x:c r="E5" s="101" t="str">
        <x:v>3 Pflichtrollen; 4. Person optional als Koordinator</x:v>
      </x:c>
      <x:c r="F5" s="101" t="str">
        <x:v>place_day_1_piazza_del_popolo</x:v>
      </x:c>
      <x:c r="G5" s="101" t="str">
        <x:v>place_day_1_porta_del_popolo</x:v>
      </x:c>
      <x:c r="H5" s="101" t="str">
        <x:v>Nach Rollenwahl keine Zielmarke; Ziel erscheint erst innerhalb 35 m</x:v>
      </x:c>
      <x:c r="I5" s="101" t="str">
        <x:v>RIPETTA: linke Dreizackstraße bestätigen | CORSO: mittlere Straße bestätigen | BABUINO: rechte Straße bestätigen | KOORDINATOR: Ready-Status überwachen</x:v>
      </x:c>
      <x:c r="J5" s="101" t="str">
        <x:v>Jede Rolle folgt dem zugewiesenen Straßennamen 60–100 selbst gezählte Schritte südwärts, bestätigt das erste sichere Straßen-/Fassadenzeichen und kehrt zum Löwenring zurück. Danach Hinweis: ‚Sucht das Tor mit drei großen Öffnungen.‘</x:v>
      </x:c>
      <x:c r="K5" s="101" t="str">
        <x:v>alle Pflichtrollen haben token; anschließend mindestens 2 Mitglieder im 15-m-Endradius und alle Mitglieder innerhalb 35 m Teamradius</x:v>
      </x:c>
      <x:c r="L5" s="101" t="str">
        <x:v>Nach 4 min Straßennamen erneut zeigen; nach 7 min exakten Endpunkt einblenden</x:v>
      </x:c>
      <x:c r="M5" s="101" t="str">
        <x:v>Kein Rennen; nur Gehwege; keine Pflichtquerung; Koordinator darf abbrechen</x:v>
      </x:c>
      <x:c r="N5" s="101" t="str">
        <x:v>Normale sichtbare Route Obelisk → Porta del Popolo</x:v>
      </x:c>
      <x:c r="O5" s="101" t="str">
        <x:v>FIELD_TEST_REQUIRED: Schrittzahlen und sichere Wendepunkte prüfen</x:v>
      </x:c>
      <x:c r="P5" s="101" t="str">
        <x:v>roleCheckpointIds, hiddenRevealRadius=35, endGeofenceId</x:v>
      </x:c>
      <x:c r="Q5" s="101" t="str">
        <x:v>READY|ROLE_ASSIGNED|CHECKPOINT_CONFIRMED|REVEAL|REGROUPED|ABORTED</x:v>
      </x:c>
    </x:row>
    <x:row r="6" ht="118" customHeight="1">
      <x:c r="A6" s="104" t="str">
        <x:v>NAV-D1-Q06</x:v>
      </x:c>
      <x:c r="B6" s="104" t="str">
        <x:v>D1-Q06</x:v>
      </x:c>
      <x:c r="C6" s="104" t="str">
        <x:v>Drei Brunnen im gleichen Takt</x:v>
      </x:c>
      <x:c r="D6" s="104" t="str">
        <x:v>SIMULTANEOUS_MULTI_GEOFENCE</x:v>
      </x:c>
      <x:c r="E6" s="104" t="str">
        <x:v>3 Pflichtrollen; 4. Person optional als Regisseur</x:v>
      </x:c>
      <x:c r="F6" s="104" t="str">
        <x:v>place_day_1_piazza_navona</x:v>
      </x:c>
      <x:c r="G6" s="104" t="str">
        <x:v>place_day_1_piazza_navona</x:v>
      </x:c>
      <x:c r="H6" s="104" t="str">
        <x:v>Alle drei Brunnen sichtbar; individuelle Zielzuweisung nur für eigene Rolle</x:v>
      </x:c>
      <x:c r="I6" s="104" t="str">
        <x:v>NORD: Neptun/Oktopus | MITTE: zentraler Vierströmebrunnen | SÜD: Mohr/Delfin | REGISSEUR: startet Synchronfenster</x:v>
      </x:c>
      <x:c r="J6" s="104" t="str">
        <x:v>Alle Rollen drücken BEREIT im 15-m-Radius ihres Brunnens. Sobald alle bereit sind, startet ein 20-s-Fenster; jede Rolle bestätigt ihr sichtbares Großattribut.</x:v>
      </x:c>
      <x:c r="K6" s="104" t="str">
        <x:v>readyAt.length == 3 &amp;&amp; max(confirmTimestamps)-min(confirmTimestamps) &lt;= 20s</x:v>
      </x:c>
      <x:c r="L6" s="104" t="str">
        <x:v>Nach Fehlversuch kein Ortswechsel; Attribute erneut anzeigen; unbegrenzt wiederholbar</x:v>
      </x:c>
      <x:c r="M6" s="104" t="str">
        <x:v>Nicht rennen; Countdown startet erst nach dreifachem Ready; große Attribute statt Randdetails</x:v>
      </x:c>
      <x:c r="N6" s="104" t="str">
        <x:v>Sequenzieller Modus mit drei Stationen, 60 % Synchronbonus</x:v>
      </x:c>
      <x:c r="O6" s="104" t="str">
        <x:v>REMOTE_READY; finale Geofence-Überlappung und Menschenfluss prüfen</x:v>
      </x:c>
      <x:c r="P6" s="104" t="str">
        <x:v>threeGeofenceIds, readyRadius=15, syncWindowSec=20</x:v>
      </x:c>
      <x:c r="Q6" s="104" t="str">
        <x:v>READY|ROLE_ASSIGNED|CHECKPOINT_CONFIRMED|REVEAL|REGROUPED|ABORTED</x:v>
      </x:c>
    </x:row>
    <x:row r="7" ht="118" customHeight="1">
      <x:c r="A7" s="101" t="str">
        <x:v>NAV-D1-Q16</x:v>
      </x:c>
      <x:c r="B7" s="101" t="str">
        <x:v>D1-Q16</x:v>
      </x:c>
      <x:c r="C7" s="101" t="str">
        <x:v>Die verborgene Standarte</x:v>
      </x:c>
      <x:c r="D7" s="101" t="str">
        <x:v>ASYMMETRIC_ROLE_NAVIGATION</x:v>
      </x:c>
      <x:c r="E7" s="101" t="str">
        <x:v>1 Fahnenträger + 2–3 Gefährten</x:v>
      </x:c>
      <x:c r="F7" s="101" t="str">
        <x:v>place_day_1_fontana_dell_acqua_paola</x:v>
      </x:c>
      <x:c r="G7" s="101" t="str">
        <x:v>place_day_1_monumento_a_garibaldi</x:v>
      </x:c>
      <x:c r="H7" s="101" t="str">
        <x:v>Fahnenträger sieht Kompasskorridor; Gefährten sehen nur Textteile; Zielmarker bis 30 m verborgen</x:v>
      </x:c>
      <x:c r="I7" s="101" t="str">
        <x:v>FAHNENTRÄGER: Richtungskorridor | CHRONIST: Schrittkorridor 140–220 Schritte | SPÄHER: Symbolhinweis ‚Reiter über der Stadt‘ | 4. Person: Teamabstand überwachen</x:v>
      </x:c>
      <x:c r="J7" s="101" t="str">
        <x:v>Vom Wasserbogen auf dem freigegebenen Gehweg bergauf; nicht der Straße folgen, die abwärts vom Panorama wegführt; beim ersten freien Blick auf die große Reiterfigur zusammenfinden.</x:v>
      </x:c>
      <x:c r="K7" s="101" t="str">
        <x:v>alle Rollenhinweise bestätigt; mindestens 2 im 15-m-Zielradius; übrige Teammitglieder innerhalb 35 m</x:v>
      </x:c>
      <x:c r="L7" s="101" t="str">
        <x:v>Nach 5 min Richtungspfeil; nach 8 min Zielmarker; falscher Abzweig löst nur Hinweis aus</x:v>
      </x:c>
      <x:c r="M7" s="101" t="str">
        <x:v>Steigung; langsamstes Mitglied bestimmt Tempo; Boundary Damage pausiert im Segment</x:v>
      </x:c>
      <x:c r="N7" s="101" t="str">
        <x:v>Zielmarker und Standardroute werden eingeblendet</x:v>
      </x:c>
      <x:c r="O7" s="101" t="str">
        <x:v>FIELD_TEST_REQUIRED: exakter sichere Wegkorridor und Schrittkorridor</x:v>
      </x:c>
      <x:c r="P7" s="101" t="str">
        <x:v>safeCorridorPolylineId, revealRadius=30, maxTeamSpread=35</x:v>
      </x:c>
      <x:c r="Q7" s="101" t="str">
        <x:v>READY|ROLE_ASSIGNED|CHECKPOINT_CONFIRMED|REVEAL|REGROUPED|ABORTED</x:v>
      </x:c>
    </x:row>
    <x:row r="8" ht="118" customHeight="1">
      <x:c r="A8" s="104" t="str">
        <x:v>NAV-D2-Q08</x:v>
      </x:c>
      <x:c r="B8" s="104" t="str">
        <x:v>D2-Q08</x:v>
      </x:c>
      <x:c r="C8" s="104" t="str">
        <x:v>Mauerlinie ohne blauen Punkt</x:v>
      </x:c>
      <x:c r="D8" s="104" t="str">
        <x:v>DISTRIBUTED_CLUE_CHAIN</x:v>
      </x:c>
      <x:c r="E8" s="104" t="str">
        <x:v>3–4 Mitglieder; Hinweise nach Rolle verteilt</x:v>
      </x:c>
      <x:c r="F8" s="104" t="str">
        <x:v>place_day_2_porta_latina</x:v>
      </x:c>
      <x:c r="G8" s="104" t="str">
        <x:v>place_day_2_porta_metronia</x:v>
      </x:c>
      <x:c r="H8" s="104" t="str">
        <x:v>Nur Start und grobe Mauerlinie; Ziel erst innerhalb 40 m sichtbar</x:v>
      </x:c>
      <x:c r="I8" s="104" t="str">
        <x:v>RICHTUNG: nächster Mauerabschnitt | DISTANZ: 700–1000 m Korridor | SYMBOL: ‚zugemauerter alter Bogen‘ | SICHERHEIT: nur freigegebene Querungen</x:v>
      </x:c>
      <x:c r="J8" s="104" t="str">
        <x:v>Folgt der Mauerlinie auf Gehwegen. An jedem serverseitigen Zwischenkorridor wird ein neuer Textteil freigeschaltet. Das Endziel ist nicht die moderne Verkehrsöffnung, sondern der markierte antike zugemauerte Bogen.</x:v>
      </x:c>
      <x:c r="K8" s="104" t="str">
        <x:v>ordered corridor checkpoints complete; mindestens 2 im 15-m-Endradius; safety confirmations complete</x:v>
      </x:c>
      <x:c r="L8" s="104" t="str">
        <x:v>Nach 6 min nächster Korridor sichtbar; nach 12 min Standardmarker; keine Zeitstrafe</x:v>
      </x:c>
      <x:c r="M8" s="104" t="str">
        <x:v>Keine Abkürzungen über Fahrbahnen; Segment deaktivierbar bei Verkehrslage</x:v>
      </x:c>
      <x:c r="N8" s="104" t="str">
        <x:v>Porta Latina wird zur vollständigen Kurzquest; Metronia entfällt</x:v>
      </x:c>
      <x:c r="O8" s="104" t="str">
        <x:v>FIELD_TEST_REQUIRED: Zwischenkorridore, Querungen und Zielblickpunkt</x:v>
      </x:c>
      <x:c r="P8" s="104" t="str">
        <x:v>safeCorridorPolylineId, orderedCheckpointIds, hiddenRevealRadius=40</x:v>
      </x:c>
      <x:c r="Q8" s="104" t="str">
        <x:v>READY|ROLE_ASSIGNED|CHECKPOINT_CONFIRMED|REVEAL|REGROUPED|ABORTED</x:v>
      </x:c>
    </x:row>
  </x:sheetData>
  <x:mergeCells>
    <x:mergeCell ref="A1:Q1"/>
    <x:mergeCell ref="A2:Q2"/>
  </x:mergeCells>
  <x:conditionalFormatting sqref="O5:O8">
    <x:cfRule type="containsText" dxfId="34" priority="1" operator="containsText" text="FIELD"/>
  </x:conditionalFormatting>
  <x:pageMargins left="0.7" right="0.7" top="0.75" bottom="0.75" header="0.3" footer="0.3"/>
  <x:tableParts count="1">
    <x:tablePart xmlns:r="http://schemas.openxmlformats.org/officeDocument/2006/relationships" r:id="R6613cb4d48ee40ab"/>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20" hidden="0" customWidth="1"/>
    <x:col min="4" max="4" width="30" hidden="0" customWidth="1"/>
    <x:col min="5" max="5" width="24" hidden="0" customWidth="1"/>
    <x:col min="6" max="6" width="12" hidden="0" customWidth="1"/>
    <x:col min="7" max="7" width="62" hidden="0" customWidth="1"/>
    <x:col min="8" max="8" width="24" hidden="0" customWidth="1"/>
    <x:col min="9" max="9" width="58" hidden="0" customWidth="1"/>
    <x:col min="10" max="10" width="52" hidden="0" customWidth="1"/>
    <x:col min="11" max="11" width="45" hidden="0" customWidth="1"/>
    <x:col min="12" max="12" width="30" hidden="0" customWidth="1"/>
    <x:col min="13" max="13" width="52" hidden="0" customWidth="1"/>
    <x:col min="14" max="14" width="58" hidden="0" customWidth="1"/>
    <x:col min="15" max="15" width="38" hidden="0" customWidth="1"/>
    <x:col min="16" max="16" width="25" hidden="0" customWidth="1"/>
  </x:cols>
  <x:sheetData>
    <x:row r="1" ht="28" customHeight="1">
      <x:c r="A1" s="91" t="str">
        <x:v>Via Romae – Etappen-Timer v0.8</x:v>
      </x:c>
      <x:c r="B1" s="91"/>
      <x:c r="C1" s="91"/>
      <x:c r="D1" s="91"/>
      <x:c r="E1" s="91"/>
      <x:c r="F1" s="91"/>
      <x:c r="G1" s="91"/>
      <x:c r="H1" s="91"/>
      <x:c r="I1" s="91"/>
      <x:c r="J1" s="91"/>
      <x:c r="K1" s="91"/>
      <x:c r="L1" s="91"/>
      <x:c r="M1" s="91"/>
      <x:c r="N1" s="91"/>
      <x:c r="O1" s="91"/>
      <x:c r="P1" s="91"/>
    </x:row>
    <x:row r="2" ht="38" customHeight="1">
      <x:c r="A2" s="95" t="str">
        <x:v>Sechs von 40 Quests tragen genau eine kurze, serverautoritative Timer-Etappe (15 %). Alle Starts sind explizit, alle Ablaufwirkungen angekündigt, kein Timer verlangt schnelleres Gehen.</x:v>
      </x:c>
      <x:c r="B2" s="95"/>
      <x:c r="C2" s="95"/>
      <x:c r="D2" s="95"/>
      <x:c r="E2" s="95"/>
      <x:c r="F2" s="95"/>
      <x:c r="G2" s="95"/>
      <x:c r="H2" s="95"/>
      <x:c r="I2" s="95"/>
      <x:c r="J2" s="95"/>
      <x:c r="K2" s="95"/>
      <x:c r="L2" s="95"/>
      <x:c r="M2" s="95"/>
      <x:c r="N2" s="95"/>
      <x:c r="O2" s="95"/>
      <x:c r="P2" s="95"/>
    </x:row>
    <x:row r="3">
      <x:c r="A3" s="52"/>
      <x:c r="B3" s="52"/>
      <x:c r="C3" s="52"/>
      <x:c r="D3" s="52"/>
      <x:c r="E3" s="52"/>
      <x:c r="F3" s="52"/>
      <x:c r="G3" s="52"/>
      <x:c r="H3" s="52"/>
      <x:c r="I3" s="52"/>
      <x:c r="J3" s="52"/>
      <x:c r="K3" s="52"/>
      <x:c r="L3" s="52"/>
      <x:c r="M3" s="52"/>
      <x:c r="N3" s="52"/>
      <x:c r="O3" s="52"/>
      <x:c r="P3" s="52"/>
    </x:row>
    <x:row r="4" ht="42" customHeight="1">
      <x:c r="A4" s="98" t="str">
        <x:v>Timer-ID</x:v>
      </x:c>
      <x:c r="B4" s="98" t="str">
        <x:v>Quest-ID</x:v>
      </x:c>
      <x:c r="C4" s="98" t="str">
        <x:v>Step-ID</x:v>
      </x:c>
      <x:c r="D4" s="98" t="str">
        <x:v>Etappe</x:v>
      </x:c>
      <x:c r="E4" s="98" t="str">
        <x:v>Scope</x:v>
      </x:c>
      <x:c r="F4" s="98" t="str">
        <x:v>Dauer s</x:v>
      </x:c>
      <x:c r="G4" s="98" t="str">
        <x:v>StartsWhen</x:v>
      </x:c>
      <x:c r="H4" s="98" t="str">
        <x:v>Warnungen Restzeit s</x:v>
      </x:c>
      <x:c r="I4" s="98" t="str">
        <x:v>OnExpire</x:v>
      </x:c>
      <x:c r="J4" s="98" t="str">
        <x:v>Retry-Policy</x:v>
      </x:c>
      <x:c r="K4" s="98" t="str">
        <x:v>Pause / GM</x:v>
      </x:c>
      <x:c r="L4" s="98" t="str">
        <x:v>UI-Komponente</x:v>
      </x:c>
      <x:c r="M4" s="98" t="str">
        <x:v>Serverfelder</x:v>
      </x:c>
      <x:c r="N4" s="98" t="str">
        <x:v>Sicherheit</x:v>
      </x:c>
      <x:c r="O4" s="98" t="str">
        <x:v>Dialog-Refs</x:v>
      </x:c>
      <x:c r="P4" s="98" t="str">
        <x:v>Content-Status</x:v>
      </x:c>
    </x:row>
    <x:row r="5" ht="94" customHeight="1">
      <x:c r="A5" s="101" t="str">
        <x:v>TMR-D1-Q01-S12</x:v>
      </x:c>
      <x:c r="B5" s="101" t="str">
        <x:v>D1-Q01</x:v>
      </x:c>
      <x:c r="C5" s="101" t="str">
        <x:v>D1-Q01-S12</x:v>
      </x:c>
      <x:c r="D5" s="101" t="str">
        <x:v>Nachhutbeschluss</x:v>
      </x:c>
      <x:c r="E5" s="101" t="str">
        <x:v>OBJECTIVE_WINDOW</x:v>
      </x:c>
      <x:c r="F5" s="109" t="n">
        <x:v>60</x:v>
      </x:c>
      <x:c r="G5" s="101" t="str">
        <x:v>Server bestätigt START_TIMER nach vollständig gelöstem FIDES-Rätsel am sicheren Zielort.</x:v>
      </x:c>
      <x:c r="H5" s="101" t="str">
        <x:v>30|10</x:v>
      </x:c>
      <x:c r="I5" s="101" t="str">
        <x:v>AUTO_SELECT=NACHHUT_HALTEN; timerBonus=false; Quest bleibt aktiv.</x:v>
      </x:c>
      <x:c r="J5" s="101" t="str">
        <x:v>NO_RETRY; Entscheidung wird deterministisch abgeschlossen.</x:v>
      </x:c>
      <x:c r="K5" s="101" t="str">
        <x:v>NONE; GM_EXTEND_AUDITED bei Technikfehler.</x:v>
      </x:c>
      <x:c r="L5" s="101" t="str">
        <x:v>COUNTDOWN_DIALOGUE_VOTE</x:v>
      </x:c>
      <x:c r="M5" s="101" t="str">
        <x:v>startedAt|deadlineAt|timerState|expiredAt|resolvedBy</x:v>
      </x:c>
      <x:c r="N5" s="101" t="str">
        <x:v>Stationäre Entscheidung; kein Bewegungsziel und kein Laufanreiz.</x:v>
      </x:c>
      <x:c r="O5" s="101" t="str">
        <x:v>D1-Q01-MID|D1-Q01-COMPLETE</x:v>
      </x:c>
      <x:c r="P5" s="101" t="str">
        <x:v>EDITORIAL_REVIEW</x:v>
      </x:c>
    </x:row>
    <x:row r="6" ht="94" customHeight="1">
      <x:c r="A6" s="104" t="str">
        <x:v>TMR-D1-Q06-S05</x:v>
      </x:c>
      <x:c r="B6" s="104" t="str">
        <x:v>D1-Q06</x:v>
      </x:c>
      <x:c r="C6" s="104" t="str">
        <x:v>D1-Q06-S05</x:v>
      </x:c>
      <x:c r="D6" s="104" t="str">
        <x:v>Drei Brunnen im Takt</x:v>
      </x:c>
      <x:c r="E6" s="104" t="str">
        <x:v>OBJECTIVE_WINDOW</x:v>
      </x:c>
      <x:c r="F6" s="110" t="n">
        <x:v>20</x:v>
      </x:c>
      <x:c r="G6" s="104" t="str">
        <x:v>Server setzt startedAt erst, wenn drei Rollen in ihren Geofences BEREIT bestätigt haben.</x:v>
      </x:c>
      <x:c r="H6" s="104" t="str">
        <x:v>10|5</x:v>
      </x:c>
      <x:c r="I6" s="104" t="str">
        <x:v>fallbackMode=SEQUENTIAL; syncBonus=false; Quest bleibt lösbar.</x:v>
      </x:c>
      <x:c r="J6" s="104" t="str">
        <x:v>Kein Synchron-Retry nötig; sofort sicherer Sequenzmodus.</x:v>
      </x:c>
      <x:c r="K6" s="104" t="str">
        <x:v>NONE; READY vor Start widerrufbar.</x:v>
      </x:c>
      <x:c r="L6" s="104" t="str">
        <x:v>SYNC_COUNTDOWN</x:v>
      </x:c>
      <x:c r="M6" s="104" t="str">
        <x:v>readyAtByRole|startedAt|deadlineAt|confirmAtByRole|timerState</x:v>
      </x:c>
      <x:c r="N6" s="104" t="str">
        <x:v>Nicht rennen; Positionierung geschieht vor Start; große Attribute; Abbruch verfügbar.</x:v>
      </x:c>
      <x:c r="O6" s="104" t="str">
        <x:v>D1-Q06-OFFER|D1-Q06-MID</x:v>
      </x:c>
      <x:c r="P6" s="104" t="str">
        <x:v>FIELD_CHECK_REQUIRED</x:v>
      </x:c>
    </x:row>
    <x:row r="7" ht="94" customHeight="1">
      <x:c r="A7" s="101" t="str">
        <x:v>TMR-D1-Q12-S11</x:v>
      </x:c>
      <x:c r="B7" s="101" t="str">
        <x:v>D1-Q12</x:v>
      </x:c>
      <x:c r="C7" s="101" t="str">
        <x:v>D1-Q12-S11</x:v>
      </x:c>
      <x:c r="D7" s="101" t="str">
        <x:v>Vier Stimmen, ein Schluss</x:v>
      </x:c>
      <x:c r="E7" s="101" t="str">
        <x:v>OBJECTIVE_WINDOW</x:v>
      </x:c>
      <x:c r="F7" s="109" t="n">
        <x:v>120</x:v>
      </x:c>
      <x:c r="G7" s="101" t="str">
        <x:v>Server bestätigt START_TIMER am Largo erst nach vier gespeicherten Ortsbeobachtungen.</x:v>
      </x:c>
      <x:c r="H7" s="101" t="str">
        <x:v>60|30|10</x:v>
      </x:c>
      <x:c r="I7" s="101" t="str">
        <x:v>timerBonus=false; Zuordnung und Teamentscheidung bleiben ohne Zeitdruck offen.</x:v>
      </x:c>
      <x:c r="J7" s="101" t="str">
        <x:v>NO_TIMER_RETRY; Pflichtlösung bleibt weiter verfügbar.</x:v>
      </x:c>
      <x:c r="K7" s="101" t="str">
        <x:v>NONE; GM_EXTEND_AUDITED bei Technikfehler.</x:v>
      </x:c>
      <x:c r="L7" s="101" t="str">
        <x:v>PUZZLE_AND_VOTE_COUNTDOWN</x:v>
      </x:c>
      <x:c r="M7" s="101" t="str">
        <x:v>startedAt|deadlineAt|timerState|bonusEligible</x:v>
      </x:c>
      <x:c r="N7" s="101" t="str">
        <x:v>Stationäre Denkaufgabe; Timer verlangt keinen Ortswechsel.</x:v>
      </x:c>
      <x:c r="O7" s="101" t="str">
        <x:v>D1-Q12-MID|D1-Q12-COMPLETE</x:v>
      </x:c>
      <x:c r="P7" s="101" t="str">
        <x:v>EDITORIAL_REVIEW</x:v>
      </x:c>
    </x:row>
    <x:row r="8" ht="94" customHeight="1">
      <x:c r="A8" s="104" t="str">
        <x:v>TMR-D2-Q04-S11</x:v>
      </x:c>
      <x:c r="B8" s="104" t="str">
        <x:v>D2-Q04</x:v>
      </x:c>
      <x:c r="C8" s="104" t="str">
        <x:v>D2-Q04-S11</x:v>
      </x:c>
      <x:c r="D8" s="104" t="str">
        <x:v>Janus-Wahrheitsprüfung</x:v>
      </x:c>
      <x:c r="E8" s="104" t="str">
        <x:v>OBJECTIVE_WINDOW</x:v>
      </x:c>
      <x:c r="F8" s="110" t="n">
        <x:v>90</x:v>
      </x:c>
      <x:c r="G8" s="104" t="str">
        <x:v>Server bestätigt START_TIMER am Arco di Giano nach allen vier gespeicherten Beobachtungen.</x:v>
      </x:c>
      <x:c r="H8" s="104" t="str">
        <x:v>45|15|5</x:v>
      </x:c>
      <x:c r="I8" s="104" t="str">
        <x:v>knowledgeBonus=false; Fallback VERITAS|FORTUNA|AQUA öffnet; Quest bleibt aktiv.</x:v>
      </x:c>
      <x:c r="J8" s="104" t="str">
        <x:v>NO_TIMER_RETRY; Fallback bleibt lösbar.</x:v>
      </x:c>
      <x:c r="K8" s="104" t="str">
        <x:v>NONE; GM_EXTEND_AUDITED bei Technikfehler.</x:v>
      </x:c>
      <x:c r="L8" s="104" t="str">
        <x:v>TEXT_CODE_COUNTDOWN</x:v>
      </x:c>
      <x:c r="M8" s="104" t="str">
        <x:v>startedAt|deadlineAt|timerState|fallbackUnlocked</x:v>
      </x:c>
      <x:c r="N8" s="104" t="str">
        <x:v>Stationäre Texteingabe auf öffentlicher Fläche; kein Bewegungsziel.</x:v>
      </x:c>
      <x:c r="O8" s="104" t="str">
        <x:v>D2-Q04-MID</x:v>
      </x:c>
      <x:c r="P8" s="104" t="str">
        <x:v>EDITORIAL_REVIEW</x:v>
      </x:c>
    </x:row>
    <x:row r="9" ht="94" customHeight="1">
      <x:c r="A9" s="101" t="str">
        <x:v>TMR-D2-Q10-S05</x:v>
      </x:c>
      <x:c r="B9" s="101" t="str">
        <x:v>D2-Q10</x:v>
      </x:c>
      <x:c r="C9" s="101" t="str">
        <x:v>D2-Q10-S05</x:v>
      </x:c>
      <x:c r="D9" s="101" t="str">
        <x:v>Hydra-Diagnose</x:v>
      </x:c>
      <x:c r="E9" s="101" t="str">
        <x:v>OBJECTIVE_WINDOW</x:v>
      </x:c>
      <x:c r="F9" s="109" t="n">
        <x:v>120</x:v>
      </x:c>
      <x:c r="G9" s="101" t="str">
        <x:v>Server bestätigt START_TIMER an der Porta Maggiore nach Team-BEREIT und gültigem Standort.</x:v>
      </x:c>
      <x:c r="H9" s="101" t="str">
        <x:v>60|30|10</x:v>
      </x:c>
      <x:c r="I9" s="101" t="str">
        <x:v>enemyModifier=EXTRA_ACTIVE_HEAD; Quest und Kampf bleiben vollständig lösbar.</x:v>
      </x:c>
      <x:c r="J9" s="101" t="str">
        <x:v>NO_TIMER_RETRY; Diagnose bleibt ohne Bonus offen.</x:v>
      </x:c>
      <x:c r="K9" s="101" t="str">
        <x:v>NONE; GM_EXTEND_AUDITED bei Technikfehler.</x:v>
      </x:c>
      <x:c r="L9" s="101" t="str">
        <x:v>PUZZLE_COUNTDOWN</x:v>
      </x:c>
      <x:c r="M9" s="101" t="str">
        <x:v>startedAt|deadlineAt|timerState|encounterModifier</x:v>
      </x:c>
      <x:c r="N9" s="101" t="str">
        <x:v>Nur vom sicheren Gehweg; Timer fordert keine Straßenquerung und keinen Standortwechsel.</x:v>
      </x:c>
      <x:c r="O9" s="101" t="str">
        <x:v>D2-Q10-OFFER|D2-Q10-MID</x:v>
      </x:c>
      <x:c r="P9" s="101" t="str">
        <x:v>FIELD_CHECK_REQUIRED</x:v>
      </x:c>
    </x:row>
    <x:row r="10" ht="94" customHeight="1">
      <x:c r="A10" s="104" t="str">
        <x:v>TMR-M-D2-03-S05</x:v>
      </x:c>
      <x:c r="B10" s="104" t="str">
        <x:v>M-D2-03</x:v>
      </x:c>
      <x:c r="C10" s="104" t="str">
        <x:v>M-D2-03-S05</x:v>
      </x:c>
      <x:c r="D10" s="104" t="str">
        <x:v>Souvenir in einer Minute</x:v>
      </x:c>
      <x:c r="E10" s="104" t="str">
        <x:v>OBJECTIVE_WINDOW</x:v>
      </x:c>
      <x:c r="F10" s="110" t="n">
        <x:v>60</x:v>
      </x:c>
      <x:c r="G10" s="104" t="str">
        <x:v>Lokaler Aufnahmestart fordert Server-Token an; serverTime liefert deadlineAt, Kamera startet nach Bestätigung.</x:v>
      </x:c>
      <x:c r="H10" s="104" t="str">
        <x:v>10</x:v>
      </x:c>
      <x:c r="I10" s="104" t="str">
        <x:v>Aufnahme stoppt automatisch; gültig bei durationSec&gt;=30, sonst Neuaufnahme.</x:v>
      </x:c>
      <x:c r="J10" s="104" t="str">
        <x:v>RETRY_UNTIL_EVENT_DEADLINE; jeder Versuch erhält eigene attemptId.</x:v>
      </x:c>
      <x:c r="K10" s="104" t="str">
        <x:v>NONE; Abbruch verwirft nur aktuellen Versuch.</x:v>
      </x:c>
      <x:c r="L10" s="104" t="str">
        <x:v>MEDIA_CAPTURE_COUNTDOWN</x:v>
      </x:c>
      <x:c r="M10" s="104" t="str">
        <x:v>attemptId|startedAt|deadlineAt|durationSec|timerState</x:v>
      </x:c>
      <x:c r="N10" s="104" t="str">
        <x:v>Stationäre Medienaufnahme; Upload separat wiederholbar.</x:v>
      </x:c>
      <x:c r="O10" s="104" t="str">
        <x:v>M-D2-03-OFFER|M-D2-03-MID</x:v>
      </x:c>
      <x:c r="P10" s="104" t="str">
        <x:v>EDITORIAL_REVIEW</x:v>
      </x:c>
    </x:row>
  </x:sheetData>
  <x:mergeCells>
    <x:mergeCell ref="A1:P1"/>
    <x:mergeCell ref="A2:P2"/>
  </x:mergeCells>
  <x:conditionalFormatting sqref="P5:P10">
    <x:cfRule type="containsText" dxfId="35" priority="1" operator="containsText" text="FIELD"/>
  </x:conditionalFormatting>
  <x:pageMargins left="0.7" right="0.7" top="0.75" bottom="0.75" header="0.3" footer="0.3"/>
  <x:tableParts count="1">
    <x:tablePart xmlns:r="http://schemas.openxmlformats.org/officeDocument/2006/relationships" r:id="R83ca4ce10fe247b6"/>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34" hidden="0" customWidth="1"/>
    <x:col min="2" max="2" width="62" hidden="0" customWidth="1"/>
    <x:col min="3" max="3" width="62" hidden="0" customWidth="1"/>
    <x:col min="4" max="4" width="19" hidden="0" customWidth="1"/>
    <x:col min="5" max="5" width="72" hidden="0" customWidth="1"/>
    <x:col min="6" max="6" width="52" hidden="0" customWidth="1"/>
  </x:cols>
  <x:sheetData>
    <x:row r="1" ht="28" customHeight="1">
      <x:c r="A1" s="91" t="str">
        <x:v>Via Romae – Abgleich Questausarbeitung ↔ GDD v0.16</x:v>
      </x:c>
      <x:c r="B1" s="91"/>
      <x:c r="C1" s="91"/>
      <x:c r="D1" s="91"/>
      <x:c r="E1" s="91"/>
      <x:c r="F1" s="91"/>
    </x:row>
    <x:row r="2" ht="38" customHeight="1">
      <x:c r="A2" s="95" t="str">
        <x:v>Die konsolidierten Entscheidungen für Kapitel 28/29, Gegner-Balancing, Reward-Profile und Stores sind hier rückverfolgbar dokumentiert.</x:v>
      </x:c>
      <x:c r="B2" s="95"/>
      <x:c r="C2" s="95"/>
      <x:c r="D2" s="95"/>
      <x:c r="E2" s="95"/>
      <x:c r="F2" s="95"/>
    </x:row>
    <x:row r="3">
      <x:c r="A3" s="52"/>
      <x:c r="B3" s="52"/>
      <x:c r="C3" s="52"/>
      <x:c r="D3" s="52"/>
      <x:c r="E3" s="52"/>
      <x:c r="F3" s="52"/>
    </x:row>
    <x:row r="4" ht="42" customHeight="1">
      <x:c r="A4" s="98" t="str">
        <x:v>Bereich</x:v>
      </x:c>
      <x:c r="B4" s="98" t="str">
        <x:v>GDD v0.15</x:v>
      </x:c>
      <x:c r="C4" s="98" t="str">
        <x:v>Questdatei v0.8</x:v>
      </x:c>
      <x:c r="D4" s="98" t="str">
        <x:v>Bewertung</x:v>
      </x:c>
      <x:c r="E4" s="98" t="str">
        <x:v>Auflösung in v0.9 / GDD v0.16</x:v>
      </x:c>
      <x:c r="F4" s="98" t="str">
        <x:v>Verbleibend offen</x:v>
      </x:c>
    </x:row>
    <x:row r="5" ht="90" customHeight="1">
      <x:c r="A5" s="101" t="str">
        <x:v>Teampräsenz am normalen Ortsziel</x:v>
      </x:c>
      <x:c r="B5" s="101" t="str">
        <x:v>Ein lebendes Mitglied genügt.</x:v>
      </x:c>
      <x:c r="C5" s="101" t="str">
        <x:v>teamMembersInRadius &gt;= 2</x:v>
      </x:c>
      <x:c r="D5" s="101" t="str">
        <x:v>BEDEUTEND</x:v>
      </x:c>
      <x:c r="E5" s="101" t="str">
        <x:v>GDD v0.15 übernimmt zwei lebende Teammitglieder mit zwei stabilen Fixes; ausdrücklich markierte Sonderziele dürfen abweichen.</x:v>
      </x:c>
      <x:c r="F5" s="101" t="str">
        <x:v>Accessibility- und Feldtest der Zwei-Personen-Regel.</x:v>
      </x:c>
    </x:row>
    <x:row r="6" ht="90" customHeight="1">
      <x:c r="A6" s="104" t="str">
        <x:v>Questzustand vs. Ablaufphase</x:v>
      </x:c>
      <x:c r="B6" s="104" t="str">
        <x:v>QuestInstanceState: ACTIVE|PENDING_REVIEW|COMPLETED|EXPIRED|FAILED|ABANDONED.</x:v>
      </x:c>
      <x:c r="C6" s="104" t="str">
        <x:v>Spalte State enthielt DISCOVER|DIALOGUE|ACCEPT|OBJECTIVE|COMPLETE|REWARD.</x:v>
      </x:c>
      <x:c r="D6" s="104" t="str">
        <x:v>BEDEUTEND</x:v>
      </x:c>
      <x:c r="E6" s="104" t="str">
        <x:v>Spalte heißt jetzt Flow-Phase; QuestInstanceState bleibt separates Serverfeld.</x:v>
      </x:c>
      <x:c r="F6" s="104" t="str">
        <x:v>State-Migrationstests im Importer.</x:v>
      </x:c>
    </x:row>
    <x:row r="7" ht="90" customHeight="1">
      <x:c r="A7" s="101" t="str">
        <x:v>Objective-Typen</x:v>
      </x:c>
      <x:c r="B7" s="101" t="str">
        <x:v>Sieben kanonische Objective-Typen.</x:v>
      </x:c>
      <x:c r="C7" s="101" t="str">
        <x:v>Objective-Type enthielt 18 feinere Interaktionsaktionen.</x:v>
      </x:c>
      <x:c r="D7" s="101" t="str">
        <x:v>BEDEUTEND</x:v>
      </x:c>
      <x:c r="E7" s="101" t="str">
        <x:v>Step-Action-Type ist Authoring-Vokabular; neue Spalte GDD-Objective-Type mappt nur echte Objectives auf die sieben Typen.</x:v>
      </x:c>
      <x:c r="F7" s="101" t="str">
        <x:v>Importer muss leere Typen bei FLOW_ACTION/SYSTEM_ACTION akzeptieren.</x:v>
      </x:c>
    </x:row>
    <x:row r="8" ht="90" customHeight="1">
      <x:c r="A8" s="104" t="str">
        <x:v>Timerstart</x:v>
      </x:c>
      <x:c r="B8" s="104" t="str">
        <x:v>Questtimer startet bei Annahme.</x:v>
      </x:c>
      <x:c r="C8" s="104" t="str">
        <x:v>Benötigt kurze Timer erst in einer Etappe.</x:v>
      </x:c>
      <x:c r="D8" s="104" t="str">
        <x:v>BEDEUTEND</x:v>
      </x:c>
      <x:c r="E8" s="104" t="str">
        <x:v>GDD v0.15 trennt QUEST_DEADLINE und OBJECTIVE_WINDOW. Die sechs neuen Timer sind OBJECTIVE_WINDOW und starten nach explizitem Ready.</x:v>
      </x:c>
      <x:c r="F8" s="104" t="str">
        <x:v>Live-Tuning der Dauern; keine harte Zeitquest gesetzt.</x:v>
      </x:c>
    </x:row>
    <x:row r="9" ht="90" customHeight="1">
      <x:c r="A9" s="101" t="str">
        <x:v>Dialog-/Questauthoring</x:v>
      </x:c>
      <x:c r="B9" s="101" t="str">
        <x:v>Dialoge vorläufig YAML in Git; Schema später.</x:v>
      </x:c>
      <x:c r="C9" s="101" t="str">
        <x:v>Vollständiges redaktionelles Authoring liegt in XLSX vor.</x:v>
      </x:c>
      <x:c r="D9" s="101" t="str">
        <x:v>BEDEUTEND</x:v>
      </x:c>
      <x:c r="E9" s="101" t="str">
        <x:v>XLSX v0.8 ist redaktionelle Contentquelle; der Build exportiert versionierte YAML/JSON-Artefakte nach gemeinsamen Verträgen.</x:v>
      </x:c>
      <x:c r="F9" s="101" t="str">
        <x:v>Exportskript und Zod-Schema implementieren.</x:v>
      </x:c>
    </x:row>
    <x:row r="10" ht="90" customHeight="1">
      <x:c r="A10" s="104" t="str">
        <x:v>Vollkatalog</x:v>
      </x:c>
      <x:c r="B10" s="104" t="str">
        <x:v>Noch nicht erstellt; ENT-20-01/02 offen.</x:v>
      </x:c>
      <x:c r="C10" s="104" t="str">
        <x:v>40 Quests: 16 regulär Tag 1, 10 regulär Tag 2, 14 Sonderquests.</x:v>
      </x:c>
      <x:c r="D10" s="104" t="str">
        <x:v>BEDEUTEND</x:v>
      </x:c>
      <x:c r="E10" s="104" t="str">
        <x:v>Katalog und Tages-/Themenverteilung als Produktionsarbeitsfassung beschlossen; Live-Freigabe bleibt separat.</x:v>
      </x:c>
      <x:c r="F10" s="104" t="str">
        <x:v>Redaktion, Balancing, Quellen- und Feldfreigabe.</x:v>
      </x:c>
    </x:row>
    <x:row r="11" ht="90" customHeight="1">
      <x:c r="A11" s="101" t="str">
        <x:v>GeoJSON-Verfügbarkeit</x:v>
      </x:c>
      <x:c r="B11" s="101" t="str">
        <x:v>GeoJSON als fehlend/blockierend beschrieben.</x:v>
      </x:c>
      <x:c r="C11" s="101" t="str">
        <x:v>GeoJSON v0.7 vorhanden; Kandidaten, Quests, Encounter und Navigation referenziert.</x:v>
      </x:c>
      <x:c r="D11" s="101" t="str">
        <x:v>BEDEUTEND</x:v>
      </x:c>
      <x:c r="E11" s="101" t="str">
        <x:v>GDD und Implementierungsvertrag verweisen auf GeoJSON v0.8; publishable bleibt false bis APPROVED.</x:v>
      </x:c>
      <x:c r="F11" s="101" t="str">
        <x:v>Geofences/Polygone und Navigationspunkte vor Ort prüfen.</x:v>
      </x:c>
    </x:row>
    <x:row r="12" ht="90" customHeight="1">
      <x:c r="A12" s="104" t="str">
        <x:v>Questmengen pro Tag</x:v>
      </x:c>
      <x:c r="B12" s="104" t="str">
        <x:v>Ca. 16 regulär Tag 1 und 9–10 regulär Tag 2.</x:v>
      </x:c>
      <x:c r="C12" s="104" t="str">
        <x:v>16 regulär Tag 1 und 10 regulär Tag 2.</x:v>
      </x:c>
      <x:c r="D12" s="104" t="str">
        <x:v>KONSISTENT</x:v>
      </x:c>
      <x:c r="E12" s="104" t="str">
        <x:v>Keine Regeländerung nötig.</x:v>
      </x:c>
      <x:c r="F12" s="104" t="str">
        <x:v>Nur Live-Auswahl/Balancing.</x:v>
      </x:c>
    </x:row>
    <x:row r="13" ht="90" customHeight="1">
      <x:c r="A13" s="101" t="str">
        <x:v>Dialoglänge</x:v>
      </x:c>
      <x:c r="B13" s="101" t="str">
        <x:v>Max. 1000; Ziel 200–600 Zeichen.</x:v>
      </x:c>
      <x:c r="C13" s="101" t="str">
        <x:v>Alle 120 Sequenzen &lt;= 1000; bisheriges Maximum 581.</x:v>
      </x:c>
      <x:c r="D13" s="101" t="str">
        <x:v>KONSISTENT</x:v>
      </x:c>
      <x:c r="E13" s="101" t="str">
        <x:v>Validator bleibt verbindlich.</x:v>
      </x:c>
      <x:c r="F13" s="101" t="str">
        <x:v>Redaktionelle Endabnahme.</x:v>
      </x:c>
    </x:row>
    <x:row r="14" ht="90" customHeight="1">
      <x:c r="A14" s="104" t="str">
        <x:v>Scouting und Quellen</x:v>
      </x:c>
      <x:c r="B14" s="104" t="str">
        <x:v>Vor Livebetrieb erforderlich.</x:v>
      </x:c>
      <x:c r="C14" s="104" t="str">
        <x:v>Status EDITORIAL_REVIEW/FIELD_CHECK_REQUIRED; keine Quest APPROVED.</x:v>
      </x:c>
      <x:c r="D14" s="104" t="str">
        <x:v>KEIN WIDERSPRUCH</x:v>
      </x:c>
      <x:c r="E14" s="104" t="str">
        <x:v>Offene Produktionsarbeit bleibt sichtbar und blockiert Veröffentlichung.</x:v>
      </x:c>
      <x:c r="F14" s="104" t="str">
        <x:v>Vor-Ort- und Quellenfreigabe durchführen.</x:v>
      </x:c>
    </x:row>
    <x:row r="15" ht="26.399999618530273" hidden="0" customHeight="1">
      <x:c r="A15" s="12" t="str">
        <x:v>Kapitel 28/29</x:v>
      </x:c>
      <x:c r="B15" s="12" t="str">
        <x:v>Kapitelnummern fehlten</x:v>
      </x:c>
      <x:c r="C15" s="12" t="str">
        <x:v>Framework vollständig in 40 Questdefinitionen, 396 Schritten und Referenzanhängen</x:v>
      </x:c>
      <x:c r="D15" s="12" t="str">
        <x:v>AUFGELÖST</x:v>
      </x:c>
      <x:c r="E15" s="12" t="str">
        <x:v>Kapitel 28 Questframework und Kapitel 29 Produktionsdaten/Stores sind aus dem vollständigen Framework generiert; XLSX/GeoJSON bleiben Anhänge mit Verweisen.</x:v>
      </x:c>
      <x:c r="F15" s="12" t="str">
        <x:v>Feldprüfung, Redaktion und APPROVED-Freeze.</x:v>
      </x:c>
    </x:row>
    <x:row r="16" ht="26.399999618530273" hidden="0" customHeight="1">
      <x:c r="A16" s="12" t="str">
        <x:v>Unique-Enemy-Werte</x:v>
      </x:c>
      <x:c r="B16" s="12" t="str">
        <x:v>Qualitative Profile; Zahlen offen</x:v>
      </x:c>
      <x:c r="C16" s="12" t="str">
        <x:v>12 WORLD_ENEMIES ohne HP/ATK/DEF/INIT/Rewards</x:v>
      </x:c>
      <x:c r="D16" s="12" t="str">
        <x:v>AUFGELÖST</x:v>
      </x:c>
      <x:c r="E16" s="12" t="str">
        <x:v>GDD v0.16 §29.5, Blatt Gegnerbalance und GeoJSON v0.9 führen identische Werte und Reward-IDs.</x:v>
      </x:c>
      <x:c r="F16" s="12" t="str">
        <x:v>Runtime-Playtest und Parallelitätsregeln.</x:v>
      </x:c>
    </x:row>
    <x:row r="17" ht="26.399999618530273" hidden="0" customHeight="1">
      <x:c r="A17" s="12" t="str">
        <x:v>Questbelohnungen</x:v>
      </x:c>
      <x:c r="B17" s="12" t="str">
        <x:v>Rewardkurven und Lootschutz festgelegt</x:v>
      </x:c>
      <x:c r="C17" s="12" t="str">
        <x:v>Arbeitswerte und benannte Items teils unreferenziert</x:v>
      </x:c>
      <x:c r="D17" s="12" t="str">
        <x:v>AUFGELÖST</x:v>
      </x:c>
      <x:c r="E17" s="12" t="str">
        <x:v>Quest Master verwendet finale Ruhm-/Denar-Stufen und benannte QUEST_ITEM-Tokens; Profile und Grenzen stehen in GDD v0.16 §28.8.</x:v>
      </x:c>
      <x:c r="F17" s="12" t="str">
        <x:v>Feinjustierung nach Playtest ohne Vertragsbruch.</x:v>
      </x:c>
    </x:row>
    <x:row r="18" ht="26.399999618530273" hidden="0" customHeight="1">
      <x:c r="A18" s="12" t="str">
        <x:v>Stores</x:v>
      </x:c>
      <x:c r="B18" s="12" t="str">
        <x:v>Fünf Stores; Radien und Sortimentsregeln</x:v>
      </x:c>
      <x:c r="C18" s="12" t="str">
        <x:v>STORE_LOCATION_CANDIDATE ohne gemeinsame Store-IDs</x:v>
      </x:c>
      <x:c r="D18" s="12" t="str">
        <x:v>AUFGELÖST</x:v>
      </x:c>
      <x:c r="E18" s="12" t="str">
        <x:v>Blatt Stores definiert fünf IDs; dieselben IDs und 500/15-m-Regeln sind in GDD v0.16 §29.4 und GeoJSON v0.9 store_* gespiegelt.</x:v>
      </x:c>
      <x:c r="F18" s="12" t="str">
        <x:v>Feldzugang an Piazza Vittorio bleibt gelb.</x:v>
      </x:c>
    </x:row>
    <x:row r="19" ht="15" hidden="0" customHeight="1">
      <x:c r="A19" s="12" t="str">
        <x:v>Versions-/Freigabestatus</x:v>
      </x:c>
      <x:c r="B19" s="12" t="str">
        <x:v>GDD v0.15 / Anhänge v0.8</x:v>
      </x:c>
      <x:c r="C19" s="12" t="str">
        <x:v>Questdatei und GeoJSON v0.8</x:v>
      </x:c>
      <x:c r="D19" s="12" t="str">
        <x:v>AUFGELÖST</x:v>
      </x:c>
      <x:c r="E19" s="12" t="str">
        <x:v>GDD v0.16, Questgruppierung v0.9 und GeoJSON v0.9; publishable bleibt nur APPROVED.</x:v>
      </x:c>
      <x:c r="F19" s="12" t="str">
        <x:v>Exportpipeline und Live-Freeze.</x:v>
      </x:c>
    </x:row>
  </x:sheetData>
  <x:mergeCells>
    <x:mergeCell ref="A1:F1"/>
    <x:mergeCell ref="A2:F2"/>
  </x:mergeCells>
  <x:conditionalFormatting sqref="D5:D14">
    <x:cfRule type="containsText" dxfId="36" priority="1" operator="containsText" text="BEDEUTEND"/>
    <x:cfRule type="containsText" dxfId="37" priority="2" operator="containsText" text="KONSISTENT"/>
  </x:conditionalFormatting>
  <x:pageMargins left="0.7" right="0.7" top="0.75" bottom="0.75" header="0.3" footer="0.3"/>
  <x:tableParts count="1">
    <x:tablePart xmlns:r="http://schemas.openxmlformats.org/officeDocument/2006/relationships" r:id="R8db0b4ca490e49ce"/>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4" hidden="0" customWidth="1"/>
    <x:col min="2" max="2" width="30" hidden="0" customWidth="1"/>
    <x:col min="3" max="3" width="20" hidden="0" customWidth="1"/>
    <x:col min="4" max="4" width="12" hidden="0" customWidth="1"/>
    <x:col min="5" max="5" width="18" hidden="0" customWidth="1"/>
    <x:col min="6" max="6" width="25" hidden="0" customWidth="1"/>
    <x:col min="7" max="7" width="24" hidden="0" customWidth="1"/>
    <x:col min="8" max="8" width="22" hidden="0" customWidth="1"/>
    <x:col min="9" max="9" width="22" hidden="0" customWidth="1"/>
    <x:col min="10" max="10" width="18" hidden="0" customWidth="1"/>
    <x:col min="11" max="11" width="18" hidden="0" customWidth="1"/>
    <x:col min="12" max="12" width="20" hidden="0" customWidth="1"/>
    <x:col min="13" max="13" width="15" hidden="0" customWidth="1"/>
    <x:col min="14" max="14" width="17" hidden="0" customWidth="1"/>
    <x:col min="15" max="15" width="14" hidden="0" customWidth="1"/>
    <x:col min="16" max="16" width="15" hidden="0" customWidth="1"/>
    <x:col min="17" max="17" width="29" hidden="0" customWidth="1"/>
    <x:col min="18" max="18" width="12" hidden="0" customWidth="1"/>
    <x:col min="19" max="19" width="12" hidden="0" customWidth="1"/>
    <x:col min="20" max="20" width="12" hidden="0" customWidth="1"/>
    <x:col min="21" max="21" width="14" hidden="0" customWidth="1"/>
    <x:col min="22" max="22" width="45" hidden="0" customWidth="1"/>
  </x:cols>
  <x:sheetData>
    <x:row r="1" ht="28" customHeight="1">
      <x:c r="A1" s="91" t="str">
        <x:v>Via Romae – Interaktionsabdeckung v0.8</x:v>
      </x:c>
      <x:c r="B1" s="91"/>
      <x:c r="C1" s="91"/>
      <x:c r="D1" s="91"/>
      <x:c r="E1" s="91"/>
      <x:c r="F1" s="91"/>
      <x:c r="G1" s="91"/>
      <x:c r="H1" s="91"/>
      <x:c r="I1" s="91"/>
      <x:c r="J1" s="91"/>
      <x:c r="K1" s="91"/>
      <x:c r="L1" s="91"/>
      <x:c r="M1" s="91"/>
      <x:c r="N1" s="91"/>
      <x:c r="O1" s="91"/>
      <x:c r="P1" s="91"/>
    </x:row>
    <x:row r="2" ht="38" customHeight="1">
      <x:c r="A2" s="95" t="str">
        <x:v>Sollwerte der Content-Matrix werden gegen die 26 regulären Quests geprüft; Medienupload und Timerquote werden über alle 40 Quests geprüft.</x:v>
      </x:c>
      <x:c r="B2" s="95"/>
      <x:c r="C2" s="95"/>
      <x:c r="D2" s="95"/>
      <x:c r="E2" s="95"/>
      <x:c r="F2" s="95"/>
      <x:c r="G2" s="95"/>
      <x:c r="H2" s="95"/>
      <x:c r="I2" s="95"/>
      <x:c r="J2" s="95"/>
      <x:c r="K2" s="95"/>
      <x:c r="L2" s="95"/>
      <x:c r="M2" s="95"/>
      <x:c r="N2" s="95"/>
      <x:c r="O2" s="95"/>
      <x:c r="P2" s="95"/>
    </x:row>
    <x:row r="3">
      <x:c r="A3" s="52"/>
      <x:c r="B3" s="52"/>
      <x:c r="C3" s="52"/>
      <x:c r="D3" s="52"/>
      <x:c r="E3" s="52"/>
      <x:c r="F3" s="52"/>
      <x:c r="G3" s="52"/>
      <x:c r="H3" s="52"/>
      <x:c r="I3" s="52"/>
      <x:c r="J3" s="52"/>
      <x:c r="K3" s="52"/>
      <x:c r="L3" s="52"/>
      <x:c r="M3" s="52"/>
      <x:c r="N3" s="52"/>
      <x:c r="O3" s="52"/>
      <x:c r="P3" s="52"/>
    </x:row>
    <x:row r="4" ht="42" customHeight="1">
      <x:c r="A4" s="98" t="str">
        <x:v>Quest-ID</x:v>
      </x:c>
      <x:c r="B4" s="98" t="str">
        <x:v>Titel</x:v>
      </x:c>
      <x:c r="C4" s="98" t="str">
        <x:v>Typ</x:v>
      </x:c>
      <x:c r="D4" s="98" t="str">
        <x:v>GPS-Ort</x:v>
      </x:c>
      <x:c r="E4" s="98" t="str">
        <x:v>Sichtbarer Hinweis</x:v>
      </x:c>
      <x:c r="F4" s="98" t="str">
        <x:v>Single-/Multiple-Choice</x:v>
      </x:c>
      <x:c r="G4" s="98" t="str">
        <x:v>Sortieren / Zuordnen</x:v>
      </x:c>
      <x:c r="H4" s="98" t="str">
        <x:v>Text-/Codeeingabe</x:v>
      </x:c>
      <x:c r="I4" s="98" t="str">
        <x:v>Inventargegenstand</x:v>
      </x:c>
      <x:c r="J4" s="98" t="str">
        <x:v>Teamentscheidung</x:v>
      </x:c>
      <x:c r="K4" s="98" t="str">
        <x:v>Klassenaktion</x:v>
      </x:c>
      <x:c r="L4" s="98" t="str">
        <x:v>Klasse</x:v>
      </x:c>
      <x:c r="M4" s="98" t="str">
        <x:v>Pflichtkampf</x:v>
      </x:c>
      <x:c r="N4" s="98" t="str">
        <x:v>Medienupload</x:v>
      </x:c>
      <x:c r="O4" s="98" t="str">
        <x:v>Navigation</x:v>
      </x:c>
      <x:c r="P4" s="98" t="str">
        <x:v>Timer-Etappe</x:v>
      </x:c>
      <x:c r="Q4" s="114" t="str">
        <x:v>Interaktion</x:v>
      </x:c>
      <x:c r="R4" s="114" t="str">
        <x:v>Ziel min</x:v>
      </x:c>
      <x:c r="S4" s="114" t="str">
        <x:v>Ziel max</x:v>
      </x:c>
      <x:c r="T4" s="114" t="str">
        <x:v>Ist</x:v>
      </x:c>
      <x:c r="U4" s="114" t="str">
        <x:v>Check</x:v>
      </x:c>
      <x:c r="V4" s="114" t="str">
        <x:v>Kommentar</x:v>
      </x:c>
    </x:row>
    <x:row r="5" ht="36" customHeight="1">
      <x:c r="A5" s="101" t="str">
        <x:v>D1-Q01</x:v>
      </x:c>
      <x:c r="B5" s="101" t="str">
        <x:v>Der Fluchtkorridor</x:v>
      </x:c>
      <x:c r="C5" s="101" t="str">
        <x:v>REGULAER</x:v>
      </x:c>
      <x:c r="D5" s="101" t="n">
        <x:v>1</x:v>
      </x:c>
      <x:c r="E5" s="101" t="n">
        <x:v>1</x:v>
      </x:c>
      <x:c r="F5" s="101" t="n">
        <x:v>0</x:v>
      </x:c>
      <x:c r="G5" s="101" t="n">
        <x:v>0</x:v>
      </x:c>
      <x:c r="H5" s="101" t="n">
        <x:v>1</x:v>
      </x:c>
      <x:c r="I5" s="101" t="n">
        <x:v>1</x:v>
      </x:c>
      <x:c r="J5" s="101" t="n">
        <x:v>1</x:v>
      </x:c>
      <x:c r="K5" s="101" t="n">
        <x:v>1</x:v>
      </x:c>
      <x:c r="L5" s="101" t="str">
        <x:v>SWISS_GUARD</x:v>
      </x:c>
      <x:c r="M5" s="101" t="n">
        <x:v>0</x:v>
      </x:c>
      <x:c r="N5" s="101" t="n">
        <x:v>0</x:v>
      </x:c>
      <x:c r="O5" s="101" t="n">
        <x:v>0</x:v>
      </x:c>
      <x:c r="P5" s="101" t="n">
        <x:v>1</x:v>
      </x:c>
      <x:c r="Q5" s="122" t="str">
        <x:v>GPS-Ort erreichen</x:v>
      </x:c>
      <x:c r="R5" s="122" t="n">
        <x:v>26</x:v>
      </x:c>
      <x:c r="S5" s="122" t="n">
        <x:v>26</x:v>
      </x:c>
      <x:c r="T5" s="122" t="n">
        <x:f>SUMIF($C$5:$C$44,"REGULAER",$D$5:$D$44)</x:f>
        <x:v>26</x:v>
      </x:c>
      <x:c r="U5" s="122" t="str">
        <x:f>IF(AND(T5&gt;=R5,T5&lt;=S5),"OK","PRUEFEN")</x:f>
        <x:v>OK</x:v>
      </x:c>
      <x:c r="V5" s="122" t="str">
        <x:v>Alle 26 regulären Quests</x:v>
      </x:c>
    </x:row>
    <x:row r="6" ht="36" customHeight="1">
      <x:c r="A6" s="104" t="str">
        <x:v>D1-Q02</x:v>
      </x:c>
      <x:c r="B6" s="104" t="str">
        <x:v>Tore des Borgo</x:v>
      </x:c>
      <x:c r="C6" s="104" t="str">
        <x:v>REGULAER</x:v>
      </x:c>
      <x:c r="D6" s="104" t="n">
        <x:v>1</x:v>
      </x:c>
      <x:c r="E6" s="104" t="n">
        <x:v>1</x:v>
      </x:c>
      <x:c r="F6" s="104" t="n">
        <x:v>1</x:v>
      </x:c>
      <x:c r="G6" s="104" t="n">
        <x:v>1</x:v>
      </x:c>
      <x:c r="H6" s="104" t="n">
        <x:v>0</x:v>
      </x:c>
      <x:c r="I6" s="104" t="n">
        <x:v>0</x:v>
      </x:c>
      <x:c r="J6" s="104" t="n">
        <x:v>0</x:v>
      </x:c>
      <x:c r="K6" s="104" t="n">
        <x:v>1</x:v>
      </x:c>
      <x:c r="L6" s="104" t="str">
        <x:v>CONDOTTIERE</x:v>
      </x:c>
      <x:c r="M6" s="104" t="n">
        <x:v>1</x:v>
      </x:c>
      <x:c r="N6" s="104" t="n">
        <x:v>0</x:v>
      </x:c>
      <x:c r="O6" s="104" t="n">
        <x:v>0</x:v>
      </x:c>
      <x:c r="P6" s="104" t="n">
        <x:v>0</x:v>
      </x:c>
      <x:c r="Q6" s="122" t="str">
        <x:v>Sichtbaren Hinweis</x:v>
      </x:c>
      <x:c r="R6" s="122" t="n">
        <x:v>26</x:v>
      </x:c>
      <x:c r="S6" s="122" t="n">
        <x:v>26</x:v>
      </x:c>
      <x:c r="T6" s="122" t="n">
        <x:f>SUMIF($C$5:$C$44,"REGULAER",$E$5:$E$44)</x:f>
        <x:v>26</x:v>
      </x:c>
      <x:c r="U6" s="122" t="str">
        <x:f>IF(AND(T6&gt;=R6,T6&lt;=S6),"OK","PRUEFEN")</x:f>
        <x:v>OK</x:v>
      </x:c>
      <x:c r="V6" s="122" t="str">
        <x:v>Alle 26 regulären Quests</x:v>
      </x:c>
    </x:row>
    <x:row r="7" ht="36" customHeight="1">
      <x:c r="A7" s="101" t="str">
        <x:v>D1-Q03</x:v>
      </x:c>
      <x:c r="B7" s="101" t="str">
        <x:v>Der Dreizack</x:v>
      </x:c>
      <x:c r="C7" s="101" t="str">
        <x:v>REGULAER</x:v>
      </x:c>
      <x:c r="D7" s="101" t="n">
        <x:v>1</x:v>
      </x:c>
      <x:c r="E7" s="101" t="n">
        <x:v>1</x:v>
      </x:c>
      <x:c r="F7" s="101" t="n">
        <x:v>1</x:v>
      </x:c>
      <x:c r="G7" s="101" t="n">
        <x:v>0</x:v>
      </x:c>
      <x:c r="H7" s="101" t="n">
        <x:v>0</x:v>
      </x:c>
      <x:c r="I7" s="101" t="n">
        <x:v>0</x:v>
      </x:c>
      <x:c r="J7" s="101" t="n">
        <x:v>0</x:v>
      </x:c>
      <x:c r="K7" s="101" t="n">
        <x:v>0</x:v>
      </x:c>
      <x:c r="L7" s="101" t="str"/>
      <x:c r="M7" s="101" t="n">
        <x:v>0</x:v>
      </x:c>
      <x:c r="N7" s="101" t="n">
        <x:v>0</x:v>
      </x:c>
      <x:c r="O7" s="101" t="n">
        <x:v>1</x:v>
      </x:c>
      <x:c r="P7" s="101" t="n">
        <x:v>0</x:v>
      </x:c>
      <x:c r="Q7" s="122" t="str">
        <x:v>Single-/Multiple-Choice</x:v>
      </x:c>
      <x:c r="R7" s="122" t="n">
        <x:v>12</x:v>
      </x:c>
      <x:c r="S7" s="122" t="n">
        <x:v>14</x:v>
      </x:c>
      <x:c r="T7" s="122" t="n">
        <x:f>SUMIF($C$5:$C$44,"REGULAER",$F$5:$F$44)</x:f>
        <x:v>13</x:v>
      </x:c>
      <x:c r="U7" s="122" t="str">
        <x:f>IF(AND(T7&gt;=R7,T7&lt;=S7),"OK","PRUEFEN")</x:f>
        <x:v>OK</x:v>
      </x:c>
      <x:c r="V7" s="122" t="str">
        <x:v>Zielkorridor 12–14</x:v>
      </x:c>
    </x:row>
    <x:row r="8" ht="36" customHeight="1">
      <x:c r="A8" s="104" t="str">
        <x:v>D1-Q04</x:v>
      </x:c>
      <x:c r="B8" s="104" t="str">
        <x:v>Antinoos über Rom</x:v>
      </x:c>
      <x:c r="C8" s="104" t="str">
        <x:v>REGULAER</x:v>
      </x:c>
      <x:c r="D8" s="104" t="n">
        <x:v>1</x:v>
      </x:c>
      <x:c r="E8" s="104" t="n">
        <x:v>1</x:v>
      </x:c>
      <x:c r="F8" s="104" t="n">
        <x:v>1</x:v>
      </x:c>
      <x:c r="G8" s="104" t="n">
        <x:v>0</x:v>
      </x:c>
      <x:c r="H8" s="104" t="n">
        <x:v>0</x:v>
      </x:c>
      <x:c r="I8" s="104" t="n">
        <x:v>1</x:v>
      </x:c>
      <x:c r="J8" s="104" t="n">
        <x:v>0</x:v>
      </x:c>
      <x:c r="K8" s="104" t="n">
        <x:v>0</x:v>
      </x:c>
      <x:c r="L8" s="104" t="str"/>
      <x:c r="M8" s="104" t="n">
        <x:v>1</x:v>
      </x:c>
      <x:c r="N8" s="104" t="n">
        <x:v>0</x:v>
      </x:c>
      <x:c r="O8" s="104" t="n">
        <x:v>0</x:v>
      </x:c>
      <x:c r="P8" s="104" t="n">
        <x:v>0</x:v>
      </x:c>
      <x:c r="Q8" s="122" t="str">
        <x:v>Sortieren / Zuordnen</x:v>
      </x:c>
      <x:c r="R8" s="122" t="n">
        <x:v>8</x:v>
      </x:c>
      <x:c r="S8" s="122" t="n">
        <x:v>10</x:v>
      </x:c>
      <x:c r="T8" s="122" t="n">
        <x:f>SUMIF($C$5:$C$44,"REGULAER",$G$5:$G$44)</x:f>
        <x:v>10</x:v>
      </x:c>
      <x:c r="U8" s="122" t="str">
        <x:f>IF(AND(T8&gt;=R8,T8&lt;=S8),"OK","PRUEFEN")</x:f>
        <x:v>OK</x:v>
      </x:c>
      <x:c r="V8" s="122" t="str">
        <x:v>Zielkorridor 8–10</x:v>
      </x:c>
    </x:row>
    <x:row r="9" ht="36" customHeight="1">
      <x:c r="A9" s="101" t="str">
        <x:v>D1-Q05</x:v>
      </x:c>
      <x:c r="B9" s="101" t="str">
        <x:v>Die steinerne Barke</x:v>
      </x:c>
      <x:c r="C9" s="101" t="str">
        <x:v>REGULAER</x:v>
      </x:c>
      <x:c r="D9" s="101" t="n">
        <x:v>1</x:v>
      </x:c>
      <x:c r="E9" s="101" t="n">
        <x:v>1</x:v>
      </x:c>
      <x:c r="F9" s="101" t="n">
        <x:v>1</x:v>
      </x:c>
      <x:c r="G9" s="101" t="n">
        <x:v>0</x:v>
      </x:c>
      <x:c r="H9" s="101" t="n">
        <x:v>0</x:v>
      </x:c>
      <x:c r="I9" s="101" t="n">
        <x:v>0</x:v>
      </x:c>
      <x:c r="J9" s="101" t="n">
        <x:v>0</x:v>
      </x:c>
      <x:c r="K9" s="101" t="n">
        <x:v>0</x:v>
      </x:c>
      <x:c r="L9" s="101" t="str"/>
      <x:c r="M9" s="101" t="n">
        <x:v>0</x:v>
      </x:c>
      <x:c r="N9" s="101" t="n">
        <x:v>0</x:v>
      </x:c>
      <x:c r="O9" s="101" t="n">
        <x:v>0</x:v>
      </x:c>
      <x:c r="P9" s="101" t="n">
        <x:v>0</x:v>
      </x:c>
      <x:c r="Q9" s="122" t="str">
        <x:v>Text-/Codeeingabe</x:v>
      </x:c>
      <x:c r="R9" s="122" t="n">
        <x:v>5</x:v>
      </x:c>
      <x:c r="S9" s="122" t="n">
        <x:v>7</x:v>
      </x:c>
      <x:c r="T9" s="122" t="n">
        <x:f>SUMIF($C$5:$C$44,"REGULAER",$H$5:$H$44)</x:f>
        <x:v>6</x:v>
      </x:c>
      <x:c r="U9" s="122" t="str">
        <x:f>IF(AND(T9&gt;=R9,T9&lt;=S9),"OK","PRUEFEN")</x:f>
        <x:v>OK</x:v>
      </x:c>
      <x:c r="V9" s="122" t="str">
        <x:v>Zielkorridor 5–7</x:v>
      </x:c>
    </x:row>
    <x:row r="10" ht="36" customHeight="1">
      <x:c r="A10" s="104" t="str">
        <x:v>D1-Q06</x:v>
      </x:c>
      <x:c r="B10" s="104" t="str">
        <x:v>Berninis Werkstatt</x:v>
      </x:c>
      <x:c r="C10" s="104" t="str">
        <x:v>REGULAER</x:v>
      </x:c>
      <x:c r="D10" s="104" t="n">
        <x:v>1</x:v>
      </x:c>
      <x:c r="E10" s="104" t="n">
        <x:v>1</x:v>
      </x:c>
      <x:c r="F10" s="104" t="n">
        <x:v>1</x:v>
      </x:c>
      <x:c r="G10" s="104" t="n">
        <x:v>1</x:v>
      </x:c>
      <x:c r="H10" s="104" t="n">
        <x:v>0</x:v>
      </x:c>
      <x:c r="I10" s="104" t="n">
        <x:v>0</x:v>
      </x:c>
      <x:c r="J10" s="104" t="n">
        <x:v>1</x:v>
      </x:c>
      <x:c r="K10" s="104" t="n">
        <x:v>1</x:v>
      </x:c>
      <x:c r="L10" s="104" t="str">
        <x:v>SCULPTOR</x:v>
      </x:c>
      <x:c r="M10" s="104" t="n">
        <x:v>0</x:v>
      </x:c>
      <x:c r="N10" s="104" t="n">
        <x:v>0</x:v>
      </x:c>
      <x:c r="O10" s="104" t="n">
        <x:v>1</x:v>
      </x:c>
      <x:c r="P10" s="104" t="n">
        <x:v>1</x:v>
      </x:c>
      <x:c r="Q10" s="122" t="str">
        <x:v>Inventargegenstand</x:v>
      </x:c>
      <x:c r="R10" s="122" t="n">
        <x:v>5</x:v>
      </x:c>
      <x:c r="S10" s="122" t="n">
        <x:v>7</x:v>
      </x:c>
      <x:c r="T10" s="122" t="n">
        <x:f>SUMIF($C$5:$C$44,"REGULAER",$I$5:$I$44)</x:f>
        <x:v>6</x:v>
      </x:c>
      <x:c r="U10" s="122" t="str">
        <x:f>IF(AND(T10&gt;=R10,T10&lt;=S10),"OK","PRUEFEN")</x:f>
        <x:v>OK</x:v>
      </x:c>
      <x:c r="V10" s="122" t="str">
        <x:v>Zielkorridor 5–7</x:v>
      </x:c>
    </x:row>
    <x:row r="11" ht="36" customHeight="1">
      <x:c r="A11" s="101" t="str">
        <x:v>D1-Q07</x:v>
      </x:c>
      <x:c r="B11" s="101" t="str">
        <x:v>Agrippas Zeichen</x:v>
      </x:c>
      <x:c r="C11" s="101" t="str">
        <x:v>REGULAER</x:v>
      </x:c>
      <x:c r="D11" s="101" t="n">
        <x:v>1</x:v>
      </x:c>
      <x:c r="E11" s="101" t="n">
        <x:v>1</x:v>
      </x:c>
      <x:c r="F11" s="101" t="n">
        <x:v>0</x:v>
      </x:c>
      <x:c r="G11" s="101" t="n">
        <x:v>0</x:v>
      </x:c>
      <x:c r="H11" s="101" t="n">
        <x:v>1</x:v>
      </x:c>
      <x:c r="I11" s="101" t="n">
        <x:v>1</x:v>
      </x:c>
      <x:c r="J11" s="101" t="n">
        <x:v>0</x:v>
      </x:c>
      <x:c r="K11" s="101" t="n">
        <x:v>0</x:v>
      </x:c>
      <x:c r="L11" s="101" t="str"/>
      <x:c r="M11" s="101" t="n">
        <x:v>0</x:v>
      </x:c>
      <x:c r="N11" s="101" t="n">
        <x:v>0</x:v>
      </x:c>
      <x:c r="O11" s="101" t="n">
        <x:v>0</x:v>
      </x:c>
      <x:c r="P11" s="101" t="n">
        <x:v>0</x:v>
      </x:c>
      <x:c r="Q11" s="122" t="str">
        <x:v>Teamentscheidung</x:v>
      </x:c>
      <x:c r="R11" s="122" t="n">
        <x:v>4</x:v>
      </x:c>
      <x:c r="S11" s="122" t="n">
        <x:v>6</x:v>
      </x:c>
      <x:c r="T11" s="122" t="n">
        <x:f>SUMIF($C$5:$C$44,"REGULAER",$J$5:$J$44)</x:f>
        <x:v>6</x:v>
      </x:c>
      <x:c r="U11" s="122" t="str">
        <x:f>IF(AND(T11&gt;=R11,T11&lt;=S11),"OK","PRUEFEN")</x:f>
        <x:v>OK</x:v>
      </x:c>
      <x:c r="V11" s="122" t="str">
        <x:v>Zielkorridor 4–6</x:v>
      </x:c>
    </x:row>
    <x:row r="12" ht="36" customHeight="1">
      <x:c r="A12" s="104" t="str">
        <x:v>D1-Q08</x:v>
      </x:c>
      <x:c r="B12" s="104" t="str">
        <x:v>Kaiserbotschaften</x:v>
      </x:c>
      <x:c r="C12" s="104" t="str">
        <x:v>REGULAER</x:v>
      </x:c>
      <x:c r="D12" s="104" t="n">
        <x:v>1</x:v>
      </x:c>
      <x:c r="E12" s="104" t="n">
        <x:v>1</x:v>
      </x:c>
      <x:c r="F12" s="104" t="n">
        <x:v>1</x:v>
      </x:c>
      <x:c r="G12" s="104" t="n">
        <x:v>1</x:v>
      </x:c>
      <x:c r="H12" s="104" t="n">
        <x:v>0</x:v>
      </x:c>
      <x:c r="I12" s="104" t="n">
        <x:v>0</x:v>
      </x:c>
      <x:c r="J12" s="104" t="n">
        <x:v>0</x:v>
      </x:c>
      <x:c r="K12" s="104" t="n">
        <x:v>0</x:v>
      </x:c>
      <x:c r="L12" s="104" t="str"/>
      <x:c r="M12" s="104" t="n">
        <x:v>0</x:v>
      </x:c>
      <x:c r="N12" s="104" t="n">
        <x:v>0</x:v>
      </x:c>
      <x:c r="O12" s="104" t="n">
        <x:v>0</x:v>
      </x:c>
      <x:c r="P12" s="104" t="n">
        <x:v>0</x:v>
      </x:c>
      <x:c r="Q12" s="122" t="str">
        <x:v>Klassenaktion</x:v>
      </x:c>
      <x:c r="R12" s="122" t="n">
        <x:v>4</x:v>
      </x:c>
      <x:c r="S12" s="122" t="n">
        <x:v>26</x:v>
      </x:c>
      <x:c r="T12" s="122" t="n">
        <x:f>SUMIF($C$5:$C$44,"REGULAER",$K$5:$K$44)</x:f>
        <x:v>4</x:v>
      </x:c>
      <x:c r="U12" s="122" t="str">
        <x:f>IF(AND(T12&gt;=R12,T12&lt;=S12),"OK","PRUEFEN")</x:f>
        <x:v>OK</x:v>
      </x:c>
      <x:c r="V12" s="122" t="str">
        <x:v>Mindestens eine pro Klasse</x:v>
      </x:c>
    </x:row>
    <x:row r="13" ht="36" customHeight="1">
      <x:c r="A13" s="101" t="str">
        <x:v>D1-Q09</x:v>
      </x:c>
      <x:c r="B13" s="101" t="str">
        <x:v>Das gebändigte Wasser</x:v>
      </x:c>
      <x:c r="C13" s="101" t="str">
        <x:v>REGULAER</x:v>
      </x:c>
      <x:c r="D13" s="101" t="n">
        <x:v>1</x:v>
      </x:c>
      <x:c r="E13" s="101" t="n">
        <x:v>1</x:v>
      </x:c>
      <x:c r="F13" s="101" t="n">
        <x:v>1</x:v>
      </x:c>
      <x:c r="G13" s="101" t="n">
        <x:v>0</x:v>
      </x:c>
      <x:c r="H13" s="101" t="n">
        <x:v>0</x:v>
      </x:c>
      <x:c r="I13" s="101" t="n">
        <x:v>1</x:v>
      </x:c>
      <x:c r="J13" s="101" t="n">
        <x:v>0</x:v>
      </x:c>
      <x:c r="K13" s="101" t="n">
        <x:v>0</x:v>
      </x:c>
      <x:c r="L13" s="101" t="str"/>
      <x:c r="M13" s="101" t="n">
        <x:v>1</x:v>
      </x:c>
      <x:c r="N13" s="101" t="n">
        <x:v>0</x:v>
      </x:c>
      <x:c r="O13" s="101" t="n">
        <x:v>0</x:v>
      </x:c>
      <x:c r="P13" s="101" t="n">
        <x:v>0</x:v>
      </x:c>
      <x:c r="Q13" s="122" t="str">
        <x:v>Pflichtkampf</x:v>
      </x:c>
      <x:c r="R13" s="122" t="n">
        <x:v>4</x:v>
      </x:c>
      <x:c r="S13" s="122" t="n">
        <x:v>26</x:v>
      </x:c>
      <x:c r="T13" s="122" t="n">
        <x:f>SUMIF($C$5:$C$44,"REGULAER",$M$5:$M$44)</x:f>
        <x:v>6</x:v>
      </x:c>
      <x:c r="U13" s="122" t="str">
        <x:f>IF(AND(T13&gt;=R13,T13&lt;=S13),"OK","PRUEFEN")</x:f>
        <x:v>OK</x:v>
      </x:c>
      <x:c r="V13" s="122" t="str">
        <x:v>Bestehende Gruppierung enthält sechs Pflichtkämpfe</x:v>
      </x:c>
    </x:row>
    <x:row r="14" ht="36" customHeight="1">
      <x:c r="A14" s="104" t="str">
        <x:v>D1-Q10</x:v>
      </x:c>
      <x:c r="B14" s="104" t="str">
        <x:v>Macht auf dem Quirinal</x:v>
      </x:c>
      <x:c r="C14" s="104" t="str">
        <x:v>REGULAER</x:v>
      </x:c>
      <x:c r="D14" s="104" t="n">
        <x:v>1</x:v>
      </x:c>
      <x:c r="E14" s="104" t="n">
        <x:v>1</x:v>
      </x:c>
      <x:c r="F14" s="104" t="n">
        <x:v>1</x:v>
      </x:c>
      <x:c r="G14" s="104" t="n">
        <x:v>0</x:v>
      </x:c>
      <x:c r="H14" s="104" t="n">
        <x:v>0</x:v>
      </x:c>
      <x:c r="I14" s="104" t="n">
        <x:v>0</x:v>
      </x:c>
      <x:c r="J14" s="104" t="n">
        <x:v>1</x:v>
      </x:c>
      <x:c r="K14" s="104" t="n">
        <x:v>0</x:v>
      </x:c>
      <x:c r="L14" s="104" t="str"/>
      <x:c r="M14" s="104" t="n">
        <x:v>0</x:v>
      </x:c>
      <x:c r="N14" s="104" t="n">
        <x:v>0</x:v>
      </x:c>
      <x:c r="O14" s="104" t="n">
        <x:v>0</x:v>
      </x:c>
      <x:c r="P14" s="104" t="n">
        <x:v>0</x:v>
      </x:c>
      <x:c r="Q14" s="122" t="str">
        <x:v>Navigation</x:v>
      </x:c>
      <x:c r="R14" s="122" t="n">
        <x:v>3</x:v>
      </x:c>
      <x:c r="S14" s="122" t="n">
        <x:v>4</x:v>
      </x:c>
      <x:c r="T14" s="122" t="n">
        <x:f>SUMIF($C$5:$C$44,"REGULAER",$O$5:$O$44)</x:f>
        <x:v>4</x:v>
      </x:c>
      <x:c r="U14" s="122" t="str">
        <x:f>IF(AND(T14&gt;=R14,T14&lt;=S14),"OK","PRUEFEN")</x:f>
        <x:v>OK</x:v>
      </x:c>
      <x:c r="V14" s="122" t="str">
        <x:v>Gefordert: 3–4 Segmente</x:v>
      </x:c>
    </x:row>
    <x:row r="15" ht="36" customHeight="1">
      <x:c r="A15" s="101" t="str">
        <x:v>D1-Q11</x:v>
      </x:c>
      <x:c r="B15" s="101" t="str">
        <x:v>Zeichen der Unbefleckten</x:v>
      </x:c>
      <x:c r="C15" s="101" t="str">
        <x:v>REGULAER</x:v>
      </x:c>
      <x:c r="D15" s="101" t="n">
        <x:v>1</x:v>
      </x:c>
      <x:c r="E15" s="101" t="n">
        <x:v>1</x:v>
      </x:c>
      <x:c r="F15" s="101" t="n">
        <x:v>1</x:v>
      </x:c>
      <x:c r="G15" s="101" t="n">
        <x:v>0</x:v>
      </x:c>
      <x:c r="H15" s="101" t="n">
        <x:v>1</x:v>
      </x:c>
      <x:c r="I15" s="101" t="n">
        <x:v>0</x:v>
      </x:c>
      <x:c r="J15" s="101" t="n">
        <x:v>0</x:v>
      </x:c>
      <x:c r="K15" s="101" t="n">
        <x:v>0</x:v>
      </x:c>
      <x:c r="L15" s="101" t="str"/>
      <x:c r="M15" s="101" t="n">
        <x:v>0</x:v>
      </x:c>
      <x:c r="N15" s="101" t="n">
        <x:v>0</x:v>
      </x:c>
      <x:c r="O15" s="101" t="n">
        <x:v>0</x:v>
      </x:c>
      <x:c r="P15" s="101" t="n">
        <x:v>0</x:v>
      </x:c>
      <x:c r="Q15" s="122" t="str">
        <x:v>Medienupload</x:v>
      </x:c>
      <x:c r="R15" s="122" t="n">
        <x:v>7</x:v>
      </x:c>
      <x:c r="S15" s="122" t="n">
        <x:v>7</x:v>
      </x:c>
      <x:c r="T15" s="122" t="n">
        <x:f>SUM($N$5:$N$44)</x:f>
        <x:v>7</x:v>
      </x:c>
      <x:c r="U15" s="122" t="str">
        <x:f>IF(AND(T15&gt;=R15,T15&lt;=S15),"OK","PRUEFEN")</x:f>
        <x:v>OK</x:v>
      </x:c>
      <x:c r="V15" s="122" t="str">
        <x:v>Nur die sieben Medienquests</x:v>
      </x:c>
    </x:row>
    <x:row r="16" ht="36" customHeight="1">
      <x:c r="A16" s="104" t="str">
        <x:v>D1-Q12</x:v>
      </x:c>
      <x:c r="B16" s="104" t="str">
        <x:v>Stimmen der Republik</x:v>
      </x:c>
      <x:c r="C16" s="104" t="str">
        <x:v>REGULAER</x:v>
      </x:c>
      <x:c r="D16" s="104" t="n">
        <x:v>1</x:v>
      </x:c>
      <x:c r="E16" s="104" t="n">
        <x:v>1</x:v>
      </x:c>
      <x:c r="F16" s="104" t="n">
        <x:v>0</x:v>
      </x:c>
      <x:c r="G16" s="104" t="n">
        <x:v>1</x:v>
      </x:c>
      <x:c r="H16" s="104" t="n">
        <x:v>0</x:v>
      </x:c>
      <x:c r="I16" s="104" t="n">
        <x:v>0</x:v>
      </x:c>
      <x:c r="J16" s="104" t="n">
        <x:v>1</x:v>
      </x:c>
      <x:c r="K16" s="104" t="n">
        <x:v>0</x:v>
      </x:c>
      <x:c r="L16" s="104" t="str"/>
      <x:c r="M16" s="104" t="n">
        <x:v>0</x:v>
      </x:c>
      <x:c r="N16" s="104" t="n">
        <x:v>0</x:v>
      </x:c>
      <x:c r="O16" s="104" t="n">
        <x:v>0</x:v>
      </x:c>
      <x:c r="P16" s="104" t="n">
        <x:v>1</x:v>
      </x:c>
      <x:c r="Q16" s="123" t="str">
        <x:v>Timertragende Quests</x:v>
      </x:c>
      <x:c r="R16" s="123" t="n">
        <x:v>4</x:v>
      </x:c>
      <x:c r="S16" s="123" t="n">
        <x:v>8</x:v>
      </x:c>
      <x:c r="T16" s="123" t="n">
        <x:f>SUM($P$5:$P$44)</x:f>
        <x:v>6</x:v>
      </x:c>
      <x:c r="U16" s="123" t="str">
        <x:f>IF(AND(T16&gt;=R16,T16&lt;=S16),"OK","PRUEFEN")</x:f>
        <x:v>OK</x:v>
      </x:c>
      <x:c r="V16" s="123" t="str">
        <x:v>6 von 40 = 15 %; GDD-Spanne 10–20 %</x:v>
      </x:c>
    </x:row>
    <x:row r="17" ht="36" customHeight="1">
      <x:c r="A17" s="101" t="str">
        <x:v>D1-Q13</x:v>
      </x:c>
      <x:c r="B17" s="101" t="str">
        <x:v>Roms große Bühne</x:v>
      </x:c>
      <x:c r="C17" s="101" t="str">
        <x:v>REGULAER</x:v>
      </x:c>
      <x:c r="D17" s="101" t="n">
        <x:v>1</x:v>
      </x:c>
      <x:c r="E17" s="101" t="n">
        <x:v>1</x:v>
      </x:c>
      <x:c r="F17" s="101" t="n">
        <x:v>0</x:v>
      </x:c>
      <x:c r="G17" s="101" t="n">
        <x:v>1</x:v>
      </x:c>
      <x:c r="H17" s="101" t="n">
        <x:v>0</x:v>
      </x:c>
      <x:c r="I17" s="101" t="n">
        <x:v>0</x:v>
      </x:c>
      <x:c r="J17" s="101" t="n">
        <x:v>0</x:v>
      </x:c>
      <x:c r="K17" s="101" t="n">
        <x:v>0</x:v>
      </x:c>
      <x:c r="L17" s="101" t="str"/>
      <x:c r="M17" s="101" t="n">
        <x:v>0</x:v>
      </x:c>
      <x:c r="N17" s="101" t="n">
        <x:v>0</x:v>
      </x:c>
      <x:c r="O17" s="101" t="n">
        <x:v>0</x:v>
      </x:c>
      <x:c r="P17" s="101" t="n">
        <x:v>0</x:v>
      </x:c>
    </x:row>
    <x:row r="18" ht="36" customHeight="1">
      <x:c r="A18" s="104" t="str">
        <x:v>D1-Q14</x:v>
      </x:c>
      <x:c r="B18" s="104" t="str">
        <x:v>Die steinerne Insel</x:v>
      </x:c>
      <x:c r="C18" s="104" t="str">
        <x:v>REGULAER</x:v>
      </x:c>
      <x:c r="D18" s="104" t="n">
        <x:v>1</x:v>
      </x:c>
      <x:c r="E18" s="104" t="n">
        <x:v>1</x:v>
      </x:c>
      <x:c r="F18" s="104" t="n">
        <x:v>0</x:v>
      </x:c>
      <x:c r="G18" s="104" t="n">
        <x:v>0</x:v>
      </x:c>
      <x:c r="H18" s="104" t="n">
        <x:v>1</x:v>
      </x:c>
      <x:c r="I18" s="104" t="n">
        <x:v>1</x:v>
      </x:c>
      <x:c r="J18" s="104" t="n">
        <x:v>0</x:v>
      </x:c>
      <x:c r="K18" s="104" t="n">
        <x:v>0</x:v>
      </x:c>
      <x:c r="L18" s="104" t="str"/>
      <x:c r="M18" s="104" t="n">
        <x:v>0</x:v>
      </x:c>
      <x:c r="N18" s="104" t="n">
        <x:v>0</x:v>
      </x:c>
      <x:c r="O18" s="104" t="n">
        <x:v>0</x:v>
      </x:c>
      <x:c r="P18" s="104" t="n">
        <x:v>0</x:v>
      </x:c>
      <x:c r="Q18" s="117" t="str">
        <x:v>Klassenabdeckung</x:v>
      </x:c>
      <x:c r="R18" s="117" t="str">
        <x:v>Soll min</x:v>
      </x:c>
      <x:c r="S18" s="117" t="str">
        <x:v>Ist</x:v>
      </x:c>
      <x:c r="T18" s="117" t="str">
        <x:v>Check</x:v>
      </x:c>
      <x:c r="U18" s="117" t="str">
        <x:v>Quest</x:v>
      </x:c>
      <x:c r="V18" s="117" t="str">
        <x:v>Kommentar</x:v>
      </x:c>
    </x:row>
    <x:row r="19" ht="36" customHeight="1">
      <x:c r="A19" s="101" t="str">
        <x:v>D1-Q15</x:v>
      </x:c>
      <x:c r="B19" s="101" t="str">
        <x:v>Cecilias Stimmen</x:v>
      </x:c>
      <x:c r="C19" s="101" t="str">
        <x:v>REGULAER</x:v>
      </x:c>
      <x:c r="D19" s="101" t="n">
        <x:v>1</x:v>
      </x:c>
      <x:c r="E19" s="101" t="n">
        <x:v>1</x:v>
      </x:c>
      <x:c r="F19" s="101" t="n">
        <x:v>0</x:v>
      </x:c>
      <x:c r="G19" s="101" t="n">
        <x:v>0</x:v>
      </x:c>
      <x:c r="H19" s="101" t="n">
        <x:v>0</x:v>
      </x:c>
      <x:c r="I19" s="101" t="n">
        <x:v>0</x:v>
      </x:c>
      <x:c r="J19" s="101" t="n">
        <x:v>1</x:v>
      </x:c>
      <x:c r="K19" s="101" t="n">
        <x:v>1</x:v>
      </x:c>
      <x:c r="L19" s="101" t="str">
        <x:v>CLERIC</x:v>
      </x:c>
      <x:c r="M19" s="101" t="n">
        <x:v>0</x:v>
      </x:c>
      <x:c r="N19" s="101" t="n">
        <x:v>0</x:v>
      </x:c>
      <x:c r="O19" s="101" t="n">
        <x:v>0</x:v>
      </x:c>
      <x:c r="P19" s="101" t="n">
        <x:v>0</x:v>
      </x:c>
      <x:c r="Q19" s="128" t="str">
        <x:v>SWISS_GUARD</x:v>
      </x:c>
      <x:c r="R19" s="128" t="n">
        <x:v>1</x:v>
      </x:c>
      <x:c r="S19" s="128" t="n">
        <x:f>COUNTIF($L$5:$L$44,Q19)</x:f>
        <x:v>1</x:v>
      </x:c>
      <x:c r="T19" s="128" t="str">
        <x:f>IF(S19&gt;=R19,"OK","PRUEFEN")</x:f>
        <x:v>OK</x:v>
      </x:c>
      <x:c r="U19" s="128" t="str">
        <x:v>D1-Q01</x:v>
      </x:c>
      <x:c r="V19" s="128" t="str">
        <x:v>Spotlight plus optionale Klassenzeilen in Dialogen</x:v>
      </x:c>
    </x:row>
    <x:row r="20" ht="36" customHeight="1">
      <x:c r="A20" s="104" t="str">
        <x:v>D1-Q16</x:v>
      </x:c>
      <x:c r="B20" s="104" t="str">
        <x:v>Republik auf dem Gianicolo</x:v>
      </x:c>
      <x:c r="C20" s="104" t="str">
        <x:v>REGULAER</x:v>
      </x:c>
      <x:c r="D20" s="104" t="n">
        <x:v>1</x:v>
      </x:c>
      <x:c r="E20" s="104" t="n">
        <x:v>1</x:v>
      </x:c>
      <x:c r="F20" s="104" t="n">
        <x:v>0</x:v>
      </x:c>
      <x:c r="G20" s="104" t="n">
        <x:v>1</x:v>
      </x:c>
      <x:c r="H20" s="104" t="n">
        <x:v>0</x:v>
      </x:c>
      <x:c r="I20" s="104" t="n">
        <x:v>0</x:v>
      </x:c>
      <x:c r="J20" s="104" t="n">
        <x:v>0</x:v>
      </x:c>
      <x:c r="K20" s="104" t="n">
        <x:v>0</x:v>
      </x:c>
      <x:c r="L20" s="104" t="str"/>
      <x:c r="M20" s="104" t="n">
        <x:v>1</x:v>
      </x:c>
      <x:c r="N20" s="104" t="n">
        <x:v>0</x:v>
      </x:c>
      <x:c r="O20" s="104" t="n">
        <x:v>1</x:v>
      </x:c>
      <x:c r="P20" s="104" t="n">
        <x:v>0</x:v>
      </x:c>
      <x:c r="Q20" s="128" t="str">
        <x:v>CONDOTTIERE</x:v>
      </x:c>
      <x:c r="R20" s="128" t="n">
        <x:v>1</x:v>
      </x:c>
      <x:c r="S20" s="128" t="n">
        <x:f>COUNTIF($L$5:$L$44,Q20)</x:f>
        <x:v>1</x:v>
      </x:c>
      <x:c r="T20" s="128" t="str">
        <x:f>IF(S20&gt;=R20,"OK","PRUEFEN")</x:f>
        <x:v>OK</x:v>
      </x:c>
      <x:c r="U20" s="128" t="str">
        <x:v>D1-Q02</x:v>
      </x:c>
      <x:c r="V20" s="128" t="str">
        <x:v>Spotlight plus optionale Klassenzeilen in Dialogen</x:v>
      </x:c>
    </x:row>
    <x:row r="21" ht="36" customHeight="1">
      <x:c r="A21" s="101" t="str">
        <x:v>D2-Q01</x:v>
      </x:c>
      <x:c r="B21" s="101" t="str">
        <x:v>Stern des Kapitols</x:v>
      </x:c>
      <x:c r="C21" s="101" t="str">
        <x:v>REGULAER</x:v>
      </x:c>
      <x:c r="D21" s="101" t="n">
        <x:v>1</x:v>
      </x:c>
      <x:c r="E21" s="101" t="n">
        <x:v>1</x:v>
      </x:c>
      <x:c r="F21" s="101" t="n">
        <x:v>1</x:v>
      </x:c>
      <x:c r="G21" s="101" t="n">
        <x:v>1</x:v>
      </x:c>
      <x:c r="H21" s="101" t="n">
        <x:v>0</x:v>
      </x:c>
      <x:c r="I21" s="101" t="n">
        <x:v>0</x:v>
      </x:c>
      <x:c r="J21" s="101" t="n">
        <x:v>0</x:v>
      </x:c>
      <x:c r="K21" s="101" t="n">
        <x:v>0</x:v>
      </x:c>
      <x:c r="L21" s="101" t="str"/>
      <x:c r="M21" s="101" t="n">
        <x:v>0</x:v>
      </x:c>
      <x:c r="N21" s="101" t="n">
        <x:v>0</x:v>
      </x:c>
      <x:c r="O21" s="101" t="n">
        <x:v>0</x:v>
      </x:c>
      <x:c r="P21" s="101" t="n">
        <x:v>0</x:v>
      </x:c>
      <x:c r="Q21" s="128" t="str">
        <x:v>SCULPTOR</x:v>
      </x:c>
      <x:c r="R21" s="128" t="n">
        <x:v>1</x:v>
      </x:c>
      <x:c r="S21" s="128" t="n">
        <x:f>COUNTIF($L$5:$L$44,Q21)</x:f>
        <x:v>1</x:v>
      </x:c>
      <x:c r="T21" s="128" t="str">
        <x:f>IF(S21&gt;=R21,"OK","PRUEFEN")</x:f>
        <x:v>OK</x:v>
      </x:c>
      <x:c r="U21" s="128" t="str">
        <x:v>D1-Q06</x:v>
      </x:c>
      <x:c r="V21" s="128" t="str">
        <x:v>Spotlight plus optionale Klassenzeilen in Dialogen</x:v>
      </x:c>
    </x:row>
    <x:row r="22" ht="36" customHeight="1">
      <x:c r="A22" s="104" t="str">
        <x:v>D2-Q02</x:v>
      </x:c>
      <x:c r="B22" s="104" t="str">
        <x:v>Quadrigen der Einheit</x:v>
      </x:c>
      <x:c r="C22" s="104" t="str">
        <x:v>REGULAER</x:v>
      </x:c>
      <x:c r="D22" s="104" t="n">
        <x:v>1</x:v>
      </x:c>
      <x:c r="E22" s="104" t="n">
        <x:v>1</x:v>
      </x:c>
      <x:c r="F22" s="104" t="n">
        <x:v>1</x:v>
      </x:c>
      <x:c r="G22" s="104" t="n">
        <x:v>0</x:v>
      </x:c>
      <x:c r="H22" s="104" t="n">
        <x:v>0</x:v>
      </x:c>
      <x:c r="I22" s="104" t="n">
        <x:v>0</x:v>
      </x:c>
      <x:c r="J22" s="104" t="n">
        <x:v>0</x:v>
      </x:c>
      <x:c r="K22" s="104" t="n">
        <x:v>0</x:v>
      </x:c>
      <x:c r="L22" s="104" t="str"/>
      <x:c r="M22" s="104" t="n">
        <x:v>0</x:v>
      </x:c>
      <x:c r="N22" s="104" t="n">
        <x:v>0</x:v>
      </x:c>
      <x:c r="O22" s="104" t="n">
        <x:v>0</x:v>
      </x:c>
      <x:c r="P22" s="104" t="n">
        <x:v>0</x:v>
      </x:c>
      <x:c r="Q22" s="129" t="str">
        <x:v>CLERIC</x:v>
      </x:c>
      <x:c r="R22" s="129" t="n">
        <x:v>1</x:v>
      </x:c>
      <x:c r="S22" s="129" t="n">
        <x:f>COUNTIF($L$5:$L$44,Q22)</x:f>
        <x:v>1</x:v>
      </x:c>
      <x:c r="T22" s="129" t="str">
        <x:f>IF(S22&gt;=R22,"OK","PRUEFEN")</x:f>
        <x:v>OK</x:v>
      </x:c>
      <x:c r="U22" s="129" t="str">
        <x:v>D1-Q15</x:v>
      </x:c>
      <x:c r="V22" s="129" t="str">
        <x:v>Spotlight plus optionale Klassenzeilen in Dialogen</x:v>
      </x:c>
    </x:row>
    <x:row r="23" ht="36" customHeight="1">
      <x:c r="A23" s="101" t="str">
        <x:v>D2-Q03</x:v>
      </x:c>
      <x:c r="B23" s="101" t="str">
        <x:v>Arena und Triumph</x:v>
      </x:c>
      <x:c r="C23" s="101" t="str">
        <x:v>REGULAER</x:v>
      </x:c>
      <x:c r="D23" s="101" t="n">
        <x:v>1</x:v>
      </x:c>
      <x:c r="E23" s="101" t="n">
        <x:v>1</x:v>
      </x:c>
      <x:c r="F23" s="101" t="n">
        <x:v>0</x:v>
      </x:c>
      <x:c r="G23" s="101" t="n">
        <x:v>1</x:v>
      </x:c>
      <x:c r="H23" s="101" t="n">
        <x:v>0</x:v>
      </x:c>
      <x:c r="I23" s="101" t="n">
        <x:v>0</x:v>
      </x:c>
      <x:c r="J23" s="101" t="n">
        <x:v>0</x:v>
      </x:c>
      <x:c r="K23" s="101" t="n">
        <x:v>0</x:v>
      </x:c>
      <x:c r="L23" s="101" t="str"/>
      <x:c r="M23" s="101" t="n">
        <x:v>1</x:v>
      </x:c>
      <x:c r="N23" s="101" t="n">
        <x:v>0</x:v>
      </x:c>
      <x:c r="O23" s="101" t="n">
        <x:v>0</x:v>
      </x:c>
      <x:c r="P23" s="101" t="n">
        <x:v>0</x:v>
      </x:c>
    </x:row>
    <x:row r="24" ht="36" customHeight="1">
      <x:c r="A24" s="104" t="str">
        <x:v>D2-Q04</x:v>
      </x:c>
      <x:c r="B24" s="104" t="str">
        <x:v>Handel, Götter und Wahrheit</x:v>
      </x:c>
      <x:c r="C24" s="104" t="str">
        <x:v>REGULAER</x:v>
      </x:c>
      <x:c r="D24" s="104" t="n">
        <x:v>1</x:v>
      </x:c>
      <x:c r="E24" s="104" t="n">
        <x:v>1</x:v>
      </x:c>
      <x:c r="F24" s="104" t="n">
        <x:v>0</x:v>
      </x:c>
      <x:c r="G24" s="104" t="n">
        <x:v>0</x:v>
      </x:c>
      <x:c r="H24" s="104" t="n">
        <x:v>1</x:v>
      </x:c>
      <x:c r="I24" s="104" t="n">
        <x:v>0</x:v>
      </x:c>
      <x:c r="J24" s="104" t="n">
        <x:v>0</x:v>
      </x:c>
      <x:c r="K24" s="104" t="n">
        <x:v>0</x:v>
      </x:c>
      <x:c r="L24" s="104" t="str"/>
      <x:c r="M24" s="104" t="n">
        <x:v>0</x:v>
      </x:c>
      <x:c r="N24" s="104" t="n">
        <x:v>0</x:v>
      </x:c>
      <x:c r="O24" s="104" t="n">
        <x:v>0</x:v>
      </x:c>
      <x:c r="P24" s="104" t="n">
        <x:v>1</x:v>
      </x:c>
    </x:row>
    <x:row r="25" ht="36" customHeight="1">
      <x:c r="A25" s="101" t="str">
        <x:v>D2-Q05</x:v>
      </x:c>
      <x:c r="B25" s="101" t="str">
        <x:v>Masken über dem Circus</x:v>
      </x:c>
      <x:c r="C25" s="101" t="str">
        <x:v>REGULAER</x:v>
      </x:c>
      <x:c r="D25" s="101" t="n">
        <x:v>1</x:v>
      </x:c>
      <x:c r="E25" s="101" t="n">
        <x:v>1</x:v>
      </x:c>
      <x:c r="F25" s="101" t="n">
        <x:v>1</x:v>
      </x:c>
      <x:c r="G25" s="101" t="n">
        <x:v>1</x:v>
      </x:c>
      <x:c r="H25" s="101" t="n">
        <x:v>0</x:v>
      </x:c>
      <x:c r="I25" s="101" t="n">
        <x:v>0</x:v>
      </x:c>
      <x:c r="J25" s="101" t="n">
        <x:v>0</x:v>
      </x:c>
      <x:c r="K25" s="101" t="n">
        <x:v>0</x:v>
      </x:c>
      <x:c r="L25" s="101" t="str"/>
      <x:c r="M25" s="101" t="n">
        <x:v>0</x:v>
      </x:c>
      <x:c r="N25" s="101" t="n">
        <x:v>0</x:v>
      </x:c>
      <x:c r="O25" s="101" t="n">
        <x:v>0</x:v>
      </x:c>
      <x:c r="P25" s="101" t="n">
        <x:v>0</x:v>
      </x:c>
    </x:row>
    <x:row r="26" ht="36" customHeight="1">
      <x:c r="A26" s="104" t="str">
        <x:v>D2-Q06</x:v>
      </x:c>
      <x:c r="B26" s="104" t="str">
        <x:v>Das steinerne Schiff</x:v>
      </x:c>
      <x:c r="C26" s="104" t="str">
        <x:v>REGULAER</x:v>
      </x:c>
      <x:c r="D26" s="104" t="n">
        <x:v>1</x:v>
      </x:c>
      <x:c r="E26" s="104" t="n">
        <x:v>1</x:v>
      </x:c>
      <x:c r="F26" s="104" t="n">
        <x:v>1</x:v>
      </x:c>
      <x:c r="G26" s="104" t="n">
        <x:v>0</x:v>
      </x:c>
      <x:c r="H26" s="104" t="n">
        <x:v>0</x:v>
      </x:c>
      <x:c r="I26" s="104" t="n">
        <x:v>0</x:v>
      </x:c>
      <x:c r="J26" s="104" t="n">
        <x:v>0</x:v>
      </x:c>
      <x:c r="K26" s="104" t="n">
        <x:v>0</x:v>
      </x:c>
      <x:c r="L26" s="104" t="str"/>
      <x:c r="M26" s="104" t="n">
        <x:v>0</x:v>
      </x:c>
      <x:c r="N26" s="104" t="n">
        <x:v>0</x:v>
      </x:c>
      <x:c r="O26" s="104" t="n">
        <x:v>0</x:v>
      </x:c>
      <x:c r="P26" s="104" t="n">
        <x:v>0</x:v>
      </x:c>
    </x:row>
    <x:row r="27" ht="36" customHeight="1">
      <x:c r="A27" s="101" t="str">
        <x:v>D2-Q07</x:v>
      </x:c>
      <x:c r="B27" s="101" t="str">
        <x:v>Sitz der Kirche</x:v>
      </x:c>
      <x:c r="C27" s="101" t="str">
        <x:v>REGULAER</x:v>
      </x:c>
      <x:c r="D27" s="101" t="n">
        <x:v>1</x:v>
      </x:c>
      <x:c r="E27" s="101" t="n">
        <x:v>1</x:v>
      </x:c>
      <x:c r="F27" s="101" t="n">
        <x:v>0</x:v>
      </x:c>
      <x:c r="G27" s="101" t="n">
        <x:v>0</x:v>
      </x:c>
      <x:c r="H27" s="101" t="n">
        <x:v>0</x:v>
      </x:c>
      <x:c r="I27" s="101" t="n">
        <x:v>0</x:v>
      </x:c>
      <x:c r="J27" s="101" t="n">
        <x:v>1</x:v>
      </x:c>
      <x:c r="K27" s="101" t="n">
        <x:v>0</x:v>
      </x:c>
      <x:c r="L27" s="101" t="str"/>
      <x:c r="M27" s="101" t="n">
        <x:v>0</x:v>
      </x:c>
      <x:c r="N27" s="101" t="n">
        <x:v>0</x:v>
      </x:c>
      <x:c r="O27" s="101" t="n">
        <x:v>0</x:v>
      </x:c>
      <x:c r="P27" s="101" t="n">
        <x:v>0</x:v>
      </x:c>
    </x:row>
    <x:row r="28" ht="36" customHeight="1">
      <x:c r="A28" s="104" t="str">
        <x:v>D2-Q08</x:v>
      </x:c>
      <x:c r="B28" s="104" t="str">
        <x:v>Tore der Aurelianischen Mauer</x:v>
      </x:c>
      <x:c r="C28" s="104" t="str">
        <x:v>REGULAER</x:v>
      </x:c>
      <x:c r="D28" s="104" t="n">
        <x:v>1</x:v>
      </x:c>
      <x:c r="E28" s="104" t="n">
        <x:v>1</x:v>
      </x:c>
      <x:c r="F28" s="104" t="n">
        <x:v>0</x:v>
      </x:c>
      <x:c r="G28" s="104" t="n">
        <x:v>1</x:v>
      </x:c>
      <x:c r="H28" s="104" t="n">
        <x:v>0</x:v>
      </x:c>
      <x:c r="I28" s="104" t="n">
        <x:v>0</x:v>
      </x:c>
      <x:c r="J28" s="104" t="n">
        <x:v>0</x:v>
      </x:c>
      <x:c r="K28" s="104" t="n">
        <x:v>0</x:v>
      </x:c>
      <x:c r="L28" s="104" t="str"/>
      <x:c r="M28" s="104" t="n">
        <x:v>0</x:v>
      </x:c>
      <x:c r="N28" s="104" t="n">
        <x:v>0</x:v>
      </x:c>
      <x:c r="O28" s="104" t="n">
        <x:v>1</x:v>
      </x:c>
      <x:c r="P28" s="104" t="n">
        <x:v>0</x:v>
      </x:c>
    </x:row>
    <x:row r="29" ht="36" customHeight="1">
      <x:c r="A29" s="101" t="str">
        <x:v>D2-Q09</x:v>
      </x:c>
      <x:c r="B29" s="101" t="str">
        <x:v>Schichten des Esquilino</x:v>
      </x:c>
      <x:c r="C29" s="101" t="str">
        <x:v>REGULAER</x:v>
      </x:c>
      <x:c r="D29" s="101" t="n">
        <x:v>1</x:v>
      </x:c>
      <x:c r="E29" s="101" t="n">
        <x:v>1</x:v>
      </x:c>
      <x:c r="F29" s="101" t="n">
        <x:v>0</x:v>
      </x:c>
      <x:c r="G29" s="101" t="n">
        <x:v>0</x:v>
      </x:c>
      <x:c r="H29" s="101" t="n">
        <x:v>1</x:v>
      </x:c>
      <x:c r="I29" s="101" t="n">
        <x:v>0</x:v>
      </x:c>
      <x:c r="J29" s="101" t="n">
        <x:v>0</x:v>
      </x:c>
      <x:c r="K29" s="101" t="n">
        <x:v>0</x:v>
      </x:c>
      <x:c r="L29" s="101" t="str"/>
      <x:c r="M29" s="101" t="n">
        <x:v>0</x:v>
      </x:c>
      <x:c r="N29" s="101" t="n">
        <x:v>0</x:v>
      </x:c>
      <x:c r="O29" s="101" t="n">
        <x:v>0</x:v>
      </x:c>
      <x:c r="P29" s="101" t="n">
        <x:v>0</x:v>
      </x:c>
    </x:row>
    <x:row r="30" ht="36" customHeight="1">
      <x:c r="A30" s="104" t="str">
        <x:v>D2-Q10</x:v>
      </x:c>
      <x:c r="B30" s="104" t="str">
        <x:v>Wasser über dem Tor</x:v>
      </x:c>
      <x:c r="C30" s="104" t="str">
        <x:v>REGULAER</x:v>
      </x:c>
      <x:c r="D30" s="104" t="n">
        <x:v>1</x:v>
      </x:c>
      <x:c r="E30" s="104" t="n">
        <x:v>1</x:v>
      </x:c>
      <x:c r="F30" s="104" t="n">
        <x:v>0</x:v>
      </x:c>
      <x:c r="G30" s="104" t="n">
        <x:v>0</x:v>
      </x:c>
      <x:c r="H30" s="104" t="n">
        <x:v>0</x:v>
      </x:c>
      <x:c r="I30" s="104" t="n">
        <x:v>1</x:v>
      </x:c>
      <x:c r="J30" s="104" t="n">
        <x:v>0</x:v>
      </x:c>
      <x:c r="K30" s="104" t="n">
        <x:v>0</x:v>
      </x:c>
      <x:c r="L30" s="104" t="str"/>
      <x:c r="M30" s="104" t="n">
        <x:v>1</x:v>
      </x:c>
      <x:c r="N30" s="104" t="n">
        <x:v>0</x:v>
      </x:c>
      <x:c r="O30" s="104" t="n">
        <x:v>0</x:v>
      </x:c>
      <x:c r="P30" s="104" t="n">
        <x:v>1</x:v>
      </x:c>
    </x:row>
    <x:row r="31" ht="36" customHeight="1">
      <x:c r="A31" s="101" t="str">
        <x:v>M-D1-01</x:v>
      </x:c>
      <x:c r="B31" s="101" t="str">
        <x:v>Foto mit Schweizer Gardist</x:v>
      </x:c>
      <x:c r="C31" s="101" t="str">
        <x:v>MEDIA_LOCAL</x:v>
      </x:c>
      <x:c r="D31" s="101" t="n">
        <x:v>1</x:v>
      </x:c>
      <x:c r="E31" s="101" t="n">
        <x:v>1</x:v>
      </x:c>
      <x:c r="F31" s="101" t="n">
        <x:v>0</x:v>
      </x:c>
      <x:c r="G31" s="101" t="n">
        <x:v>0</x:v>
      </x:c>
      <x:c r="H31" s="101" t="n">
        <x:v>0</x:v>
      </x:c>
      <x:c r="I31" s="101" t="n">
        <x:v>0</x:v>
      </x:c>
      <x:c r="J31" s="101" t="n">
        <x:v>0</x:v>
      </x:c>
      <x:c r="K31" s="101" t="n">
        <x:v>0</x:v>
      </x:c>
      <x:c r="L31" s="101" t="str"/>
      <x:c r="M31" s="101" t="n">
        <x:v>0</x:v>
      </x:c>
      <x:c r="N31" s="101" t="n">
        <x:v>1</x:v>
      </x:c>
      <x:c r="O31" s="101" t="n">
        <x:v>0</x:v>
      </x:c>
      <x:c r="P31" s="101" t="n">
        <x:v>0</x:v>
      </x:c>
    </x:row>
    <x:row r="32" ht="36" customHeight="1">
      <x:c r="A32" s="104" t="str">
        <x:v>M-D1-02</x:v>
      </x:c>
      <x:c r="B32" s="104" t="str">
        <x:v>Wie ein Engel</x:v>
      </x:c>
      <x:c r="C32" s="104" t="str">
        <x:v>MEDIA_LOCAL</x:v>
      </x:c>
      <x:c r="D32" s="104" t="n">
        <x:v>1</x:v>
      </x:c>
      <x:c r="E32" s="104" t="n">
        <x:v>1</x:v>
      </x:c>
      <x:c r="F32" s="104" t="n">
        <x:v>0</x:v>
      </x:c>
      <x:c r="G32" s="104" t="n">
        <x:v>0</x:v>
      </x:c>
      <x:c r="H32" s="104" t="n">
        <x:v>0</x:v>
      </x:c>
      <x:c r="I32" s="104" t="n">
        <x:v>0</x:v>
      </x:c>
      <x:c r="J32" s="104" t="n">
        <x:v>0</x:v>
      </x:c>
      <x:c r="K32" s="104" t="n">
        <x:v>0</x:v>
      </x:c>
      <x:c r="L32" s="104" t="str"/>
      <x:c r="M32" s="104" t="n">
        <x:v>0</x:v>
      </x:c>
      <x:c r="N32" s="104" t="n">
        <x:v>1</x:v>
      </x:c>
      <x:c r="O32" s="104" t="n">
        <x:v>0</x:v>
      </x:c>
      <x:c r="P32" s="104" t="n">
        <x:v>0</x:v>
      </x:c>
    </x:row>
    <x:row r="33" ht="36" customHeight="1">
      <x:c r="A33" s="101" t="str">
        <x:v>M-D1-03</x:v>
      </x:c>
      <x:c r="B33" s="101" t="str">
        <x:v>Drei Brunnen, drei Figuren</x:v>
      </x:c>
      <x:c r="C33" s="101" t="str">
        <x:v>MEDIA_LOCAL</x:v>
      </x:c>
      <x:c r="D33" s="101" t="n">
        <x:v>1</x:v>
      </x:c>
      <x:c r="E33" s="101" t="n">
        <x:v>1</x:v>
      </x:c>
      <x:c r="F33" s="101" t="n">
        <x:v>0</x:v>
      </x:c>
      <x:c r="G33" s="101" t="n">
        <x:v>0</x:v>
      </x:c>
      <x:c r="H33" s="101" t="n">
        <x:v>0</x:v>
      </x:c>
      <x:c r="I33" s="101" t="n">
        <x:v>0</x:v>
      </x:c>
      <x:c r="J33" s="101" t="n">
        <x:v>0</x:v>
      </x:c>
      <x:c r="K33" s="101" t="n">
        <x:v>0</x:v>
      </x:c>
      <x:c r="L33" s="101" t="str"/>
      <x:c r="M33" s="101" t="n">
        <x:v>0</x:v>
      </x:c>
      <x:c r="N33" s="101" t="n">
        <x:v>1</x:v>
      </x:c>
      <x:c r="O33" s="101" t="n">
        <x:v>0</x:v>
      </x:c>
      <x:c r="P33" s="101" t="n">
        <x:v>0</x:v>
      </x:c>
    </x:row>
    <x:row r="34" ht="36" customHeight="1">
      <x:c r="A34" s="104" t="str">
        <x:v>M-LT-01</x:v>
      </x:c>
      <x:c r="B34" s="104" t="str">
        <x:v>Roma in zwölf Bildern</x:v>
      </x:c>
      <x:c r="C34" s="104" t="str">
        <x:v>MEDIA_LANGZEIT</x:v>
      </x:c>
      <x:c r="D34" s="104" t="n">
        <x:v>1</x:v>
      </x:c>
      <x:c r="E34" s="104" t="n">
        <x:v>1</x:v>
      </x:c>
      <x:c r="F34" s="104" t="n">
        <x:v>0</x:v>
      </x:c>
      <x:c r="G34" s="104" t="n">
        <x:v>0</x:v>
      </x:c>
      <x:c r="H34" s="104" t="n">
        <x:v>0</x:v>
      </x:c>
      <x:c r="I34" s="104" t="n">
        <x:v>0</x:v>
      </x:c>
      <x:c r="J34" s="104" t="n">
        <x:v>0</x:v>
      </x:c>
      <x:c r="K34" s="104" t="n">
        <x:v>0</x:v>
      </x:c>
      <x:c r="L34" s="104" t="str"/>
      <x:c r="M34" s="104" t="n">
        <x:v>0</x:v>
      </x:c>
      <x:c r="N34" s="104" t="n">
        <x:v>1</x:v>
      </x:c>
      <x:c r="O34" s="104" t="n">
        <x:v>0</x:v>
      </x:c>
      <x:c r="P34" s="104" t="n">
        <x:v>0</x:v>
      </x:c>
    </x:row>
    <x:row r="35" ht="36" customHeight="1">
      <x:c r="A35" s="101" t="str">
        <x:v>M-D2-01</x:v>
      </x:c>
      <x:c r="B35" s="101" t="str">
        <x:v>Streitwagenrennen</x:v>
      </x:c>
      <x:c r="C35" s="101" t="str">
        <x:v>MEDIA_LOCAL</x:v>
      </x:c>
      <x:c r="D35" s="101" t="n">
        <x:v>1</x:v>
      </x:c>
      <x:c r="E35" s="101" t="n">
        <x:v>1</x:v>
      </x:c>
      <x:c r="F35" s="101" t="n">
        <x:v>0</x:v>
      </x:c>
      <x:c r="G35" s="101" t="n">
        <x:v>0</x:v>
      </x:c>
      <x:c r="H35" s="101" t="n">
        <x:v>0</x:v>
      </x:c>
      <x:c r="I35" s="101" t="n">
        <x:v>0</x:v>
      </x:c>
      <x:c r="J35" s="101" t="n">
        <x:v>0</x:v>
      </x:c>
      <x:c r="K35" s="101" t="n">
        <x:v>0</x:v>
      </x:c>
      <x:c r="L35" s="101" t="str"/>
      <x:c r="M35" s="101" t="n">
        <x:v>0</x:v>
      </x:c>
      <x:c r="N35" s="101" t="n">
        <x:v>1</x:v>
      </x:c>
      <x:c r="O35" s="101" t="n">
        <x:v>0</x:v>
      </x:c>
      <x:c r="P35" s="101" t="n">
        <x:v>0</x:v>
      </x:c>
    </x:row>
    <x:row r="36" ht="36" customHeight="1">
      <x:c r="A36" s="104" t="str">
        <x:v>M-D2-02</x:v>
      </x:c>
      <x:c r="B36" s="104" t="str">
        <x:v>Gladiatorenkampf</x:v>
      </x:c>
      <x:c r="C36" s="104" t="str">
        <x:v>MEDIA_LOCAL</x:v>
      </x:c>
      <x:c r="D36" s="104" t="n">
        <x:v>1</x:v>
      </x:c>
      <x:c r="E36" s="104" t="n">
        <x:v>1</x:v>
      </x:c>
      <x:c r="F36" s="104" t="n">
        <x:v>0</x:v>
      </x:c>
      <x:c r="G36" s="104" t="n">
        <x:v>0</x:v>
      </x:c>
      <x:c r="H36" s="104" t="n">
        <x:v>0</x:v>
      </x:c>
      <x:c r="I36" s="104" t="n">
        <x:v>0</x:v>
      </x:c>
      <x:c r="J36" s="104" t="n">
        <x:v>0</x:v>
      </x:c>
      <x:c r="K36" s="104" t="n">
        <x:v>0</x:v>
      </x:c>
      <x:c r="L36" s="104" t="str"/>
      <x:c r="M36" s="104" t="n">
        <x:v>0</x:v>
      </x:c>
      <x:c r="N36" s="104" t="n">
        <x:v>1</x:v>
      </x:c>
      <x:c r="O36" s="104" t="n">
        <x:v>0</x:v>
      </x:c>
      <x:c r="P36" s="104" t="n">
        <x:v>0</x:v>
      </x:c>
    </x:row>
    <x:row r="37" ht="36" customHeight="1">
      <x:c r="A37" s="101" t="str">
        <x:v>M-D2-03</x:v>
      </x:c>
      <x:c r="B37" s="101" t="str">
        <x:v>Souvenirreview</x:v>
      </x:c>
      <x:c r="C37" s="101" t="str">
        <x:v>MEDIA_LOCAL</x:v>
      </x:c>
      <x:c r="D37" s="101" t="n">
        <x:v>1</x:v>
      </x:c>
      <x:c r="E37" s="101" t="n">
        <x:v>1</x:v>
      </x:c>
      <x:c r="F37" s="101" t="n">
        <x:v>0</x:v>
      </x:c>
      <x:c r="G37" s="101" t="n">
        <x:v>0</x:v>
      </x:c>
      <x:c r="H37" s="101" t="n">
        <x:v>0</x:v>
      </x:c>
      <x:c r="I37" s="101" t="n">
        <x:v>0</x:v>
      </x:c>
      <x:c r="J37" s="101" t="n">
        <x:v>0</x:v>
      </x:c>
      <x:c r="K37" s="101" t="n">
        <x:v>0</x:v>
      </x:c>
      <x:c r="L37" s="101" t="str"/>
      <x:c r="M37" s="101" t="n">
        <x:v>0</x:v>
      </x:c>
      <x:c r="N37" s="101" t="n">
        <x:v>1</x:v>
      </x:c>
      <x:c r="O37" s="101" t="n">
        <x:v>0</x:v>
      </x:c>
      <x:c r="P37" s="101" t="n">
        <x:v>1</x:v>
      </x:c>
    </x:row>
    <x:row r="38" ht="36" customHeight="1">
      <x:c r="A38" s="104" t="str">
        <x:v>H-D1-01</x:v>
      </x:c>
      <x:c r="B38" s="104" t="str">
        <x:v>Die Schildkröten wachen</x:v>
      </x:c>
      <x:c r="C38" s="104" t="str">
        <x:v>HIDDEN</x:v>
      </x:c>
      <x:c r="D38" s="104" t="n">
        <x:v>1</x:v>
      </x:c>
      <x:c r="E38" s="104" t="n">
        <x:v>1</x:v>
      </x:c>
      <x:c r="F38" s="104" t="n">
        <x:v>0</x:v>
      </x:c>
      <x:c r="G38" s="104" t="n">
        <x:v>0</x:v>
      </x:c>
      <x:c r="H38" s="104" t="n">
        <x:v>0</x:v>
      </x:c>
      <x:c r="I38" s="104" t="n">
        <x:v>0</x:v>
      </x:c>
      <x:c r="J38" s="104" t="n">
        <x:v>0</x:v>
      </x:c>
      <x:c r="K38" s="104" t="n">
        <x:v>0</x:v>
      </x:c>
      <x:c r="L38" s="104" t="str"/>
      <x:c r="M38" s="104" t="n">
        <x:v>1</x:v>
      </x:c>
      <x:c r="N38" s="104" t="n">
        <x:v>0</x:v>
      </x:c>
      <x:c r="O38" s="104" t="n">
        <x:v>0</x:v>
      </x:c>
      <x:c r="P38" s="104" t="n">
        <x:v>0</x:v>
      </x:c>
    </x:row>
    <x:row r="39" ht="36" customHeight="1">
      <x:c r="A39" s="101" t="str">
        <x:v>H-D1-02</x:v>
      </x:c>
      <x:c r="B39" s="101" t="str">
        <x:v>Ratte des Aquädukts</x:v>
      </x:c>
      <x:c r="C39" s="101" t="str">
        <x:v>HIDDEN</x:v>
      </x:c>
      <x:c r="D39" s="101" t="n">
        <x:v>1</x:v>
      </x:c>
      <x:c r="E39" s="101" t="n">
        <x:v>1</x:v>
      </x:c>
      <x:c r="F39" s="101" t="n">
        <x:v>0</x:v>
      </x:c>
      <x:c r="G39" s="101" t="n">
        <x:v>0</x:v>
      </x:c>
      <x:c r="H39" s="101" t="n">
        <x:v>0</x:v>
      </x:c>
      <x:c r="I39" s="101" t="n">
        <x:v>0</x:v>
      </x:c>
      <x:c r="J39" s="101" t="n">
        <x:v>0</x:v>
      </x:c>
      <x:c r="K39" s="101" t="n">
        <x:v>0</x:v>
      </x:c>
      <x:c r="L39" s="101" t="str"/>
      <x:c r="M39" s="101" t="n">
        <x:v>1</x:v>
      </x:c>
      <x:c r="N39" s="101" t="n">
        <x:v>0</x:v>
      </x:c>
      <x:c r="O39" s="101" t="n">
        <x:v>0</x:v>
      </x:c>
      <x:c r="P39" s="101" t="n">
        <x:v>0</x:v>
      </x:c>
    </x:row>
    <x:row r="40" ht="36" customHeight="1">
      <x:c r="A40" s="104" t="str">
        <x:v>H-D1-03</x:v>
      </x:c>
      <x:c r="B40" s="104" t="str">
        <x:v>Die Satirelli</x:v>
      </x:c>
      <x:c r="C40" s="104" t="str">
        <x:v>HIDDEN</x:v>
      </x:c>
      <x:c r="D40" s="104" t="n">
        <x:v>1</x:v>
      </x:c>
      <x:c r="E40" s="104" t="n">
        <x:v>1</x:v>
      </x:c>
      <x:c r="F40" s="104" t="n">
        <x:v>0</x:v>
      </x:c>
      <x:c r="G40" s="104" t="n">
        <x:v>1</x:v>
      </x:c>
      <x:c r="H40" s="104" t="n">
        <x:v>0</x:v>
      </x:c>
      <x:c r="I40" s="104" t="n">
        <x:v>0</x:v>
      </x:c>
      <x:c r="J40" s="104" t="n">
        <x:v>0</x:v>
      </x:c>
      <x:c r="K40" s="104" t="n">
        <x:v>0</x:v>
      </x:c>
      <x:c r="L40" s="104" t="str"/>
      <x:c r="M40" s="104" t="n">
        <x:v>1</x:v>
      </x:c>
      <x:c r="N40" s="104" t="n">
        <x:v>0</x:v>
      </x:c>
      <x:c r="O40" s="104" t="n">
        <x:v>0</x:v>
      </x:c>
      <x:c r="P40" s="104" t="n">
        <x:v>0</x:v>
      </x:c>
    </x:row>
    <x:row r="41" ht="36" customHeight="1">
      <x:c r="A41" s="101" t="str">
        <x:v>H-D2-01</x:v>
      </x:c>
      <x:c r="B41" s="101" t="str">
        <x:v>Wächter der Porta Magica</x:v>
      </x:c>
      <x:c r="C41" s="101" t="str">
        <x:v>HIDDEN</x:v>
      </x:c>
      <x:c r="D41" s="101" t="n">
        <x:v>1</x:v>
      </x:c>
      <x:c r="E41" s="101" t="n">
        <x:v>1</x:v>
      </x:c>
      <x:c r="F41" s="101" t="n">
        <x:v>0</x:v>
      </x:c>
      <x:c r="G41" s="101" t="n">
        <x:v>1</x:v>
      </x:c>
      <x:c r="H41" s="101" t="n">
        <x:v>0</x:v>
      </x:c>
      <x:c r="I41" s="101" t="n">
        <x:v>0</x:v>
      </x:c>
      <x:c r="J41" s="101" t="n">
        <x:v>0</x:v>
      </x:c>
      <x:c r="K41" s="101" t="n">
        <x:v>0</x:v>
      </x:c>
      <x:c r="L41" s="101" t="str"/>
      <x:c r="M41" s="101" t="n">
        <x:v>0</x:v>
      </x:c>
      <x:c r="N41" s="101" t="n">
        <x:v>0</x:v>
      </x:c>
      <x:c r="O41" s="101" t="n">
        <x:v>0</x:v>
      </x:c>
      <x:c r="P41" s="101" t="n">
        <x:v>0</x:v>
      </x:c>
    </x:row>
    <x:row r="42" ht="36" customHeight="1">
      <x:c r="A42" s="104" t="str">
        <x:v>H-D2-02</x:v>
      </x:c>
      <x:c r="B42" s="104" t="str">
        <x:v>Dantes Windrose</x:v>
      </x:c>
      <x:c r="C42" s="104" t="str">
        <x:v>HIDDEN</x:v>
      </x:c>
      <x:c r="D42" s="104" t="n">
        <x:v>1</x:v>
      </x:c>
      <x:c r="E42" s="104" t="n">
        <x:v>1</x:v>
      </x:c>
      <x:c r="F42" s="104" t="n">
        <x:v>0</x:v>
      </x:c>
      <x:c r="G42" s="104" t="n">
        <x:v>0</x:v>
      </x:c>
      <x:c r="H42" s="104" t="n">
        <x:v>1</x:v>
      </x:c>
      <x:c r="I42" s="104" t="n">
        <x:v>0</x:v>
      </x:c>
      <x:c r="J42" s="104" t="n">
        <x:v>0</x:v>
      </x:c>
      <x:c r="K42" s="104" t="n">
        <x:v>0</x:v>
      </x:c>
      <x:c r="L42" s="104" t="str"/>
      <x:c r="M42" s="104" t="n">
        <x:v>1</x:v>
      </x:c>
      <x:c r="N42" s="104" t="n">
        <x:v>0</x:v>
      </x:c>
      <x:c r="O42" s="104" t="n">
        <x:v>0</x:v>
      </x:c>
      <x:c r="P42" s="104" t="n">
        <x:v>0</x:v>
      </x:c>
    </x:row>
    <x:row r="43" ht="36" customHeight="1">
      <x:c r="A43" s="101" t="str">
        <x:v>B-D1-01</x:v>
      </x:c>
      <x:c r="B43" s="101" t="str">
        <x:v>Il Cannoniere del Gianicolo</x:v>
      </x:c>
      <x:c r="C43" s="101" t="str">
        <x:v>WORLD_BOSS</x:v>
      </x:c>
      <x:c r="D43" s="101" t="n">
        <x:v>1</x:v>
      </x:c>
      <x:c r="E43" s="101" t="n">
        <x:v>1</x:v>
      </x:c>
      <x:c r="F43" s="101" t="n">
        <x:v>0</x:v>
      </x:c>
      <x:c r="G43" s="101" t="n">
        <x:v>0</x:v>
      </x:c>
      <x:c r="H43" s="101" t="n">
        <x:v>0</x:v>
      </x:c>
      <x:c r="I43" s="101" t="n">
        <x:v>0</x:v>
      </x:c>
      <x:c r="J43" s="101" t="n">
        <x:v>0</x:v>
      </x:c>
      <x:c r="K43" s="101" t="n">
        <x:v>0</x:v>
      </x:c>
      <x:c r="L43" s="101" t="str"/>
      <x:c r="M43" s="101" t="n">
        <x:v>1</x:v>
      </x:c>
      <x:c r="N43" s="101" t="n">
        <x:v>0</x:v>
      </x:c>
      <x:c r="O43" s="101" t="n">
        <x:v>0</x:v>
      </x:c>
      <x:c r="P43" s="101" t="n">
        <x:v>0</x:v>
      </x:c>
    </x:row>
    <x:row r="44" ht="36" customHeight="1">
      <x:c r="A44" s="104" t="str">
        <x:v>B-D2-01</x:v>
      </x:c>
      <x:c r="B44" s="104" t="str">
        <x:v>Custode della Neve</x:v>
      </x:c>
      <x:c r="C44" s="104" t="str">
        <x:v>WORLD_BOSS</x:v>
      </x:c>
      <x:c r="D44" s="104" t="n">
        <x:v>1</x:v>
      </x:c>
      <x:c r="E44" s="104" t="n">
        <x:v>1</x:v>
      </x:c>
      <x:c r="F44" s="104" t="n">
        <x:v>0</x:v>
      </x:c>
      <x:c r="G44" s="104" t="n">
        <x:v>0</x:v>
      </x:c>
      <x:c r="H44" s="104" t="n">
        <x:v>0</x:v>
      </x:c>
      <x:c r="I44" s="104" t="n">
        <x:v>0</x:v>
      </x:c>
      <x:c r="J44" s="104" t="n">
        <x:v>0</x:v>
      </x:c>
      <x:c r="K44" s="104" t="n">
        <x:v>0</x:v>
      </x:c>
      <x:c r="L44" s="104" t="str"/>
      <x:c r="M44" s="104" t="n">
        <x:v>1</x:v>
      </x:c>
      <x:c r="N44" s="104" t="n">
        <x:v>0</x:v>
      </x:c>
      <x:c r="O44" s="104" t="n">
        <x:v>0</x:v>
      </x:c>
      <x:c r="P44" s="104" t="n">
        <x:v>0</x:v>
      </x:c>
    </x:row>
  </x:sheetData>
  <x:mergeCells>
    <x:mergeCell ref="A1:P1"/>
    <x:mergeCell ref="A2:P2"/>
  </x:mergeCells>
  <x:conditionalFormatting sqref="U5:U16">
    <x:cfRule type="containsText" dxfId="38" priority="1" operator="containsText" text="OK"/>
    <x:cfRule type="containsText" dxfId="39" priority="2" operator="containsText" text="PRUEFEN"/>
  </x:conditionalFormatting>
  <x:conditionalFormatting sqref="T19:T22">
    <x:cfRule type="containsText" dxfId="40" priority="3" operator="containsText" text="OK"/>
  </x:conditionalFormatting>
  <x:pageMargins left="0.7" right="0.7" top="0.75" bottom="0.75" header="0.3" footer="0.3"/>
  <x:tableParts count="1">
    <x:tablePart xmlns:r="http://schemas.openxmlformats.org/officeDocument/2006/relationships" r:id="R88c2b6581bf3479f"/>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30" hidden="0" customWidth="1"/>
    <x:col min="2" max="2" width="56" hidden="0" customWidth="1"/>
    <x:col min="3" max="3" width="30" hidden="0" customWidth="1"/>
    <x:col min="4" max="4" width="60" hidden="0" customWidth="1"/>
    <x:col min="5" max="5" width="55" hidden="0" customWidth="1"/>
    <x:col min="6" max="6" width="52" hidden="0" customWidth="1"/>
  </x:cols>
  <x:sheetData>
    <x:row r="1" ht="28" customHeight="1">
      <x:c r="A1" s="137" t="str">
        <x:v>Via Romae – Implementierungsvertrag v0.9</x:v>
      </x:c>
      <x:c r="B1" s="137"/>
      <x:c r="C1" s="137"/>
      <x:c r="D1" s="137"/>
      <x:c r="E1" s="137"/>
      <x:c r="F1" s="137"/>
    </x:row>
    <x:row r="2" ht="42" customHeight="1">
      <x:c r="A2" s="94" t="str">
        <x:v>Diese Arbeitsmappe ist die redaktionelle Content-Quelle und wird gegen GDD v0.16 sowie GeoJSON v0.9 validiert. IDs sind stabil; FIELD_CHECK_REQUIRED ist nicht veröffentlichbar.</x:v>
      </x:c>
      <x:c r="B2" s="94"/>
      <x:c r="C2" s="94"/>
      <x:c r="D2" s="94"/>
      <x:c r="E2" s="94"/>
      <x:c r="F2" s="94"/>
    </x:row>
    <x:row r="3">
      <x:c r="A3" s="134"/>
      <x:c r="B3" s="134"/>
      <x:c r="C3" s="134"/>
      <x:c r="D3" s="134"/>
      <x:c r="E3" s="134"/>
      <x:c r="F3" s="134"/>
    </x:row>
    <x:row r="4">
      <x:c r="A4" s="97" t="str">
        <x:v>Regel-ID</x:v>
      </x:c>
      <x:c r="B4" s="97" t="str">
        <x:v>Wert</x:v>
      </x:c>
      <x:c r="C4" s="97" t="str">
        <x:v>Geltung</x:v>
      </x:c>
      <x:c r="D4" s="97" t="str">
        <x:v>Server-/Client-Verantwortung</x:v>
      </x:c>
      <x:c r="E4" s="97" t="str">
        <x:v>Fehlerverhalten</x:v>
      </x:c>
      <x:c r="F4" s="97" t="str">
        <x:v>Quelle / Anmerkung</x:v>
      </x:c>
    </x:row>
    <x:row r="5" ht="54" customHeight="1">
      <x:c r="A5" s="101" t="str">
        <x:v>QUEST_PROGRESS_SCOPE</x:v>
      </x:c>
      <x:c r="B5" s="101" t="str">
        <x:v>TEAM_SHARED</x:v>
      </x:c>
      <x:c r="C5" s="101" t="str">
        <x:v>alle Quests</x:v>
      </x:c>
      <x:c r="D5" s="101" t="str">
        <x:v>Server speichert QuestProgress pro Team; Client zeigt synchron.</x:v>
      </x:c>
      <x:c r="E5" s="101" t="str">
        <x:v>Idempotente Wiederholung derselben Aktion.</x:v>
      </x:c>
      <x:c r="F5" s="101" t="str">
        <x:v>Ein Mitglied kann lösen; normale Ortsziele verlangen 2 Mitglieder.</x:v>
      </x:c>
    </x:row>
    <x:row r="6" ht="54" customHeight="1">
      <x:c r="A6" s="104" t="str">
        <x:v>REGULAR_ACTIVE_LIMIT</x:v>
      </x:c>
      <x:c r="B6" s="104" t="n">
        <x:v>3</x:v>
      </x:c>
      <x:c r="C6" s="104" t="str">
        <x:v>REGULAER</x:v>
      </x:c>
      <x:c r="D6" s="104" t="str">
        <x:v>Server reserviert Slot atomar.</x:v>
      </x:c>
      <x:c r="E6" s="104" t="str">
        <x:v>Annahme ohne Slot schlägt ohne Zustandsänderung fehl.</x:v>
      </x:c>
      <x:c r="F6" s="104" t="str">
        <x:v>Maximal drei reguläre Quests.</x:v>
      </x:c>
    </x:row>
    <x:row r="7" ht="54" customHeight="1">
      <x:c r="A7" s="101" t="str">
        <x:v>HIDDEN_SLOT_RULE</x:v>
      </x:c>
      <x:c r="B7" s="101" t="str">
        <x:v>NO_ACTIVE_SLOT</x:v>
      </x:c>
      <x:c r="C7" s="101" t="str">
        <x:v>HIDDEN</x:v>
      </x:c>
      <x:c r="D7" s="101" t="str">
        <x:v>Hidden separat führen.</x:v>
      </x:c>
      <x:c r="E7" s="101" t="str">
        <x:v>Kein regulärer Slotverbrauch.</x:v>
      </x:c>
      <x:c r="F7" s="101" t="str">
        <x:v>Bestehende Entscheidung.</x:v>
      </x:c>
    </x:row>
    <x:row r="8" ht="54" customHeight="1">
      <x:c r="A8" s="104" t="str">
        <x:v>CHRONICLE_SLOT</x:v>
      </x:c>
      <x:c r="B8" s="104" t="str">
        <x:v>SEPARATE</x:v>
      </x:c>
      <x:c r="C8" s="104" t="str">
        <x:v>MEDIA_LANGZEIT</x:v>
      </x:c>
      <x:c r="D8" s="104" t="str">
        <x:v>Eigener Team-Slot.</x:v>
      </x:c>
      <x:c r="E8" s="104" t="str">
        <x:v>Reguläre Quests bleiben unberührt.</x:v>
      </x:c>
      <x:c r="F8" s="104" t="str">
        <x:v>M-LT-01.</x:v>
      </x:c>
    </x:row>
    <x:row r="9" ht="54" customHeight="1">
      <x:c r="A9" s="101" t="str">
        <x:v>DISCOVERY_RADIUS_M</x:v>
      </x:c>
      <x:c r="B9" s="101" t="n">
        <x:v>55</x:v>
      </x:c>
      <x:c r="C9" s="101" t="str">
        <x:v>NPC/Quest/Enemy</x:v>
      </x:c>
      <x:c r="D9" s="101" t="str">
        <x:v>Client zeigt; Server bestätigt kritische Freischaltung.</x:v>
      </x:c>
      <x:c r="E9" s="101" t="str">
        <x:v>Bei ungenauem Fix nur Hinweis, kein kritischer Trigger.</x:v>
      </x:c>
      <x:c r="F9" s="101" t="str">
        <x:v>Main doc.</x:v>
      </x:c>
    </x:row>
    <x:row r="10" ht="54" customHeight="1">
      <x:c r="A10" s="104" t="str">
        <x:v>INTERACTION_ENTER_RADIUS_M</x:v>
      </x:c>
      <x:c r="B10" s="104" t="n">
        <x:v>15</x:v>
      </x:c>
      <x:c r="C10" s="104" t="str">
        <x:v>NPC/Objective/Upload</x:v>
      </x:c>
      <x:c r="D10" s="104" t="str">
        <x:v>Server prüft stabile Fixes.</x:v>
      </x:c>
      <x:c r="E10" s="104" t="str">
        <x:v>Zweifacher stabiler Fix oder Genauigkeitstoleranz.</x:v>
      </x:c>
      <x:c r="F10" s="104" t="str">
        <x:v>Main doc.</x:v>
      </x:c>
    </x:row>
    <x:row r="11" ht="54" customHeight="1">
      <x:c r="A11" s="101" t="str">
        <x:v>INTERACTION_EXIT_RADIUS_M</x:v>
      </x:c>
      <x:c r="B11" s="101" t="n">
        <x:v>25</x:v>
      </x:c>
      <x:c r="C11" s="101" t="str">
        <x:v>geöffnete Interaktion</x:v>
      </x:c>
      <x:c r="D11" s="101" t="str">
        <x:v>Hysterese clientseitig gespiegelt, serverseitig autoritativ.</x:v>
      </x:c>
      <x:c r="E11" s="101" t="str">
        <x:v>Kein Flackern bei 14/16 m.</x:v>
      </x:c>
      <x:c r="F11" s="101" t="str">
        <x:v>Main doc.</x:v>
      </x:c>
    </x:row>
    <x:row r="12" ht="54" customHeight="1">
      <x:c r="A12" s="104" t="str">
        <x:v>ENEMY_AGGRO_RADIUS_M</x:v>
      </x:c>
      <x:c r="B12" s="104" t="n">
        <x:v>20</x:v>
      </x:c>
      <x:c r="C12" s="104" t="str">
        <x:v>WORLD_ENEMY</x:v>
      </x:c>
      <x:c r="D12" s="104" t="str">
        <x:v>Server startet 10-s-Aggrocountdown.</x:v>
      </x:c>
      <x:c r="E12" s="104" t="str">
        <x:v>Verlassen vor Ablauf setzt ACTIVE zurück.</x:v>
      </x:c>
      <x:c r="F12" s="104" t="str">
        <x:v>Main doc.</x:v>
      </x:c>
    </x:row>
    <x:row r="13" ht="54" customHeight="1">
      <x:c r="A13" s="101" t="str">
        <x:v>BOSS_JOIN_RADIUS_M</x:v>
      </x:c>
      <x:c r="B13" s="101" t="n">
        <x:v>30</x:v>
      </x:c>
      <x:c r="C13" s="101" t="str">
        <x:v>WORLD_BOSS</x:v>
      </x:c>
      <x:c r="D13" s="101" t="str">
        <x:v>Server fügt Team globalem Kampf hinzu.</x:v>
      </x:c>
      <x:c r="E13" s="101" t="str">
        <x:v>Erneuter Beitritt bei aktivem Event möglich.</x:v>
      </x:c>
      <x:c r="F13" s="101" t="str">
        <x:v>Main doc.</x:v>
      </x:c>
    </x:row>
    <x:row r="14" ht="54" customHeight="1">
      <x:c r="A14" s="104" t="str">
        <x:v>DIALOG_SEQUENCE_MAX_CHARS</x:v>
      </x:c>
      <x:c r="B14" s="104" t="n">
        <x:v>1000</x:v>
      </x:c>
      <x:c r="C14" s="104" t="str">
        <x:v>jede einzelne Dialogsequenz</x:v>
      </x:c>
      <x:c r="D14" s="104" t="str">
        <x:v>Importvalidator summiert Text/Optionen/Antworten.</x:v>
      </x:c>
      <x:c r="E14" s="104" t="str">
        <x:v>Content-Build fehlschlägt über 1000.</x:v>
      </x:c>
      <x:c r="F14" s="104" t="str">
        <x:v>Userregel.</x:v>
      </x:c>
    </x:row>
    <x:row r="15" ht="54" customHeight="1">
      <x:c r="A15" s="101" t="str">
        <x:v>QUEST_FLOW_PHASE_ORDER</x:v>
      </x:c>
      <x:c r="B15" s="101" t="str">
        <x:v>DISCOVER&gt;DIALOGUE&gt;ACCEPT&gt;OBJECTIVE&gt;COMPLETE&gt;REWARD</x:v>
      </x:c>
      <x:c r="C15" s="101" t="str">
        <x:v>alle Quests</x:v>
      </x:c>
      <x:c r="D15" s="101" t="str">
        <x:v>Authoring-Reihenfolge aus Questablauf; nicht QuestInstanceState.</x:v>
      </x:c>
      <x:c r="E15" s="101" t="str">
        <x:v>Unzulässiger Schrittübergang = 409, Instanzzustand unverändert.</x:v>
      </x:c>
      <x:c r="F15" s="101" t="str">
        <x:v>GDD v0.15 Kap. 15/16; Flow-Phase ist keine Persistenz-State-Machine.</x:v>
      </x:c>
    </x:row>
    <x:row r="16" ht="54" customHeight="1">
      <x:c r="A16" s="104" t="str">
        <x:v>QUEST_INSTANCE_STATE</x:v>
      </x:c>
      <x:c r="B16" s="104" t="str">
        <x:v>ACTIVE|PENDING_REVIEW|COMPLETED|EXPIRED|FAILED|ABANDONED</x:v>
      </x:c>
      <x:c r="C16" s="104" t="str">
        <x:v>Questlaufzeit</x:v>
      </x:c>
      <x:c r="D16" s="104" t="str">
        <x:v>Server speichert autoritativen Instanzzustand.</x:v>
      </x:c>
      <x:c r="E16" s="104" t="str">
        <x:v>Unbekannter Wert blockiert Import/Mutation.</x:v>
      </x:c>
      <x:c r="F16" s="104" t="str">
        <x:v>GDD v0.15 Kap. 15.3.</x:v>
      </x:c>
    </x:row>
    <x:row r="17" ht="54" customHeight="1">
      <x:c r="A17" s="101" t="str">
        <x:v>NO_LIVE_AI</x:v>
      </x:c>
      <x:c r="B17" s="142" t="b">
        <x:v>1</x:v>
      </x:c>
      <x:c r="C17" s="101" t="str">
        <x:v>Content</x:v>
      </x:c>
      <x:c r="D17" s="101" t="str">
        <x:v>Alle Dialoge, Fakten, Gegner und Rätsel vorab gespeichert.</x:v>
      </x:c>
      <x:c r="E17" s="101" t="str">
        <x:v>Fehlender Content blockiert Veröffentlichung.</x:v>
      </x:c>
      <x:c r="F17" s="101" t="str">
        <x:v>Main doc.</x:v>
      </x:c>
    </x:row>
    <x:row r="18" ht="54" customHeight="1">
      <x:c r="A18" s="104" t="str">
        <x:v>FACT_BOUNDARY</x:v>
      </x:c>
      <x:c r="B18" s="104" t="str">
        <x:v>verifiedFacts only</x:v>
      </x:c>
      <x:c r="C18" s="104" t="str">
        <x:v>historische Aussagen</x:v>
      </x:c>
      <x:c r="D18" s="104" t="str">
        <x:v>Dialogrenderer darf keine neuen historischen Sätze generieren.</x:v>
      </x:c>
      <x:c r="E18" s="104" t="str">
        <x:v>Fiktionale Zeilen mit Kanonstatus kennzeichnen.</x:v>
      </x:c>
      <x:c r="F18" s="104" t="str">
        <x:v>Main doc.</x:v>
      </x:c>
    </x:row>
    <x:row r="19" ht="54" customHeight="1">
      <x:c r="A19" s="101" t="str">
        <x:v>NAVIGATION_SAFETY</x:v>
      </x:c>
      <x:c r="B19" s="101" t="str">
        <x:v>NO_RUNNING|SIDEWALKS_ONLY|ABORT_AVAILABLE</x:v>
      </x:c>
      <x:c r="C19" s="101" t="str">
        <x:v>Navigation</x:v>
      </x:c>
      <x:c r="D19" s="101" t="str">
        <x:v>Client zeigt permanent Abbruch/Fallback.</x:v>
      </x:c>
      <x:c r="E19" s="101" t="str">
        <x:v>Abbruch blendet Standardziel ein; Grundquest bleibt lösbar.</x:v>
      </x:c>
      <x:c r="F19" s="101" t="str">
        <x:v>Vier Segmente in Navigation.</x:v>
      </x:c>
    </x:row>
    <x:row r="20" ht="54" customHeight="1">
      <x:c r="A20" s="104" t="str">
        <x:v>GEOJSON_HANDOFF</x:v>
      </x:c>
      <x:c r="B20" s="104" t="str">
        <x:v>IDS_MATCH_AND_PUBLISHABLE_FALSE</x:v>
      </x:c>
      <x:c r="C20" s="104" t="str">
        <x:v>Location/Quest/Encounter/Timer/Navigation</x:v>
      </x:c>
      <x:c r="D20" s="104" t="str">
        <x:v>GeoJSON v0.8 spiegelt IDs und vorhandene Geometrien; Runtime publiziert nur APPROVED.</x:v>
      </x:c>
      <x:c r="E20" s="104" t="str">
        <x:v>Null-Geometrie oder FIELD_CHECK_REQUIRED blockiert räumlichen Trigger.</x:v>
      </x:c>
      <x:c r="F20" s="104" t="str">
        <x:v>Keine erfundenen Routenlinien; Feldprüfung bleibt erforderlich.</x:v>
      </x:c>
    </x:row>
    <x:row r="21" ht="54" customHeight="1">
      <x:c r="A21" s="101" t="str">
        <x:v>TIMER_QUOTA</x:v>
      </x:c>
      <x:c r="B21" s="101" t="str">
        <x:v>6_OF_40|15_PERCENT</x:v>
      </x:c>
      <x:c r="C21" s="101" t="str">
        <x:v>gesamter Questkatalog</x:v>
      </x:c>
      <x:c r="D21" s="101" t="str">
        <x:v>Server führt alle sechs OBJECTIVE_WINDOW-Timer aus Timer.</x:v>
      </x:c>
      <x:c r="E21" s="101" t="str">
        <x:v>Ablaufwirkung ist deterministisch und blockiert keinen Grundabschluss.</x:v>
      </x:c>
      <x:c r="F21" s="101" t="str">
        <x:v>Innerhalb geforderter 10–20 % und GDD-Maximum 20 %.</x:v>
      </x:c>
    </x:row>
    <x:row r="22" ht="54" customHeight="1">
      <x:c r="A22" s="104" t="str">
        <x:v>REWARD_ATOMICITY</x:v>
      </x:c>
      <x:c r="B22" s="104" t="str">
        <x:v>ATOMIC_IDEMPOTENT</x:v>
      </x:c>
      <x:c r="C22" s="104" t="str">
        <x:v>alle Rewards</x:v>
      </x:c>
      <x:c r="D22" s="104" t="str">
        <x:v>Server nutzt rewardTransactionId.</x:v>
      </x:c>
      <x:c r="E22" s="104" t="str">
        <x:v>Retry vergibt niemals doppelt.</x:v>
      </x:c>
      <x:c r="F22" s="104" t="str">
        <x:v>Main doc.</x:v>
      </x:c>
    </x:row>
    <x:row r="23" ht="54" customHeight="1">
      <x:c r="A23" s="134"/>
      <x:c r="B23" s="134"/>
      <x:c r="C23" s="134"/>
      <x:c r="D23" s="134"/>
      <x:c r="E23" s="134"/>
      <x:c r="F23" s="134"/>
    </x:row>
    <x:row r="24" ht="54" customHeight="1">
      <x:c r="A24" s="134"/>
      <x:c r="B24" s="134"/>
      <x:c r="C24" s="134"/>
      <x:c r="D24" s="134"/>
      <x:c r="E24" s="134"/>
      <x:c r="F24" s="134"/>
    </x:row>
    <x:row r="25" ht="54" customHeight="1">
      <x:c r="A25" s="97" t="str">
        <x:v>Entity</x:v>
      </x:c>
      <x:c r="B25" s="97" t="str">
        <x:v>Primärschlüssel</x:v>
      </x:c>
      <x:c r="C25" s="97" t="str">
        <x:v>Verknüpft über</x:v>
      </x:c>
      <x:c r="D25" s="97" t="str">
        <x:v>Autoritative Tabelle</x:v>
      </x:c>
      <x:c r="E25" s="97" t="str">
        <x:v>Importvalidierung</x:v>
      </x:c>
      <x:c r="F25" s="97" t="str">
        <x:v>Verwendung</x:v>
      </x:c>
    </x:row>
    <x:row r="26" ht="54" customHeight="1">
      <x:c r="A26" s="104" t="str">
        <x:v>QuestDefinition</x:v>
      </x:c>
      <x:c r="B26" s="104" t="str">
        <x:v>questId</x:v>
      </x:c>
      <x:c r="C26" s="104" t="str">
        <x:v>—</x:v>
      </x:c>
      <x:c r="D26" s="104" t="str">
        <x:v>Quest Master</x:v>
      </x:c>
      <x:c r="E26" s="104" t="str">
        <x:v>eindeutig; Typ/Tag vorhanden</x:v>
      </x:c>
      <x:c r="F26" s="104" t="str">
        <x:v>Metadaten, Voraussetzungen, Rewardprofil</x:v>
      </x:c>
    </x:row>
    <x:row r="27" ht="54" customHeight="1">
      <x:c r="A27" s="144" t="str">
        <x:v>QuestStep</x:v>
      </x:c>
      <x:c r="B27" s="144" t="str">
        <x:v>stepId</x:v>
      </x:c>
      <x:c r="C27" s="144" t="str">
        <x:v>questId</x:v>
      </x:c>
      <x:c r="D27" s="144" t="str">
        <x:v>Questablauf</x:v>
      </x:c>
      <x:c r="E27" s="144" t="str">
        <x:v>Seq lückenlos; targetRef; Step-Kategorie/Objective-Mapping gültig</x:v>
      </x:c>
      <x:c r="F27" s="144" t="str">
        <x:v>Authoring-Ablauf; mutiert QuestInstance serverseitig</x:v>
      </x:c>
    </x:row>
    <x:row r="28" ht="54" customHeight="1">
      <x:c r="A28" s="104" t="str">
        <x:v>DialogueNode</x:v>
      </x:c>
      <x:c r="B28" s="104" t="str">
        <x:v>nodeId</x:v>
      </x:c>
      <x:c r="C28" s="104" t="str">
        <x:v>questId, speakerId, sequenceId</x:v>
      </x:c>
      <x:c r="D28" s="104" t="str">
        <x:v>Dialoge</x:v>
      </x:c>
      <x:c r="E28" s="104" t="str">
        <x:v>Effects valides JSON; Zeichenlimit; Next existiert/END</x:v>
      </x:c>
      <x:c r="F28" s="104" t="str">
        <x:v>Clientdialog und Teamwahl</x:v>
      </x:c>
    </x:row>
    <x:row r="29" ht="54" customHeight="1">
      <x:c r="A29" s="144" t="str">
        <x:v>CharacterDefinition</x:v>
      </x:c>
      <x:c r="B29" s="144" t="str">
        <x:v>characterId</x:v>
      </x:c>
      <x:c r="C29" s="144" t="str">
        <x:v>Quest Master / Dialoge</x:v>
      </x:c>
      <x:c r="D29" s="144" t="str">
        <x:v>Charaktere</x:v>
      </x:c>
      <x:c r="E29" s="144" t="str">
        <x:v>jeder speakerId existiert</x:v>
      </x:c>
      <x:c r="F29" s="144" t="str">
        <x:v>Porträt, Persönlichkeit, Stimmungsregeln</x:v>
      </x:c>
    </x:row>
    <x:row r="30" ht="54" customHeight="1">
      <x:c r="A30" s="104" t="str">
        <x:v>PuzzleDefinition</x:v>
      </x:c>
      <x:c r="B30" s="104" t="str">
        <x:v>puzzleId</x:v>
      </x:c>
      <x:c r="C30" s="104" t="str">
        <x:v>Questablauf.targetRef</x:v>
      </x:c>
      <x:c r="D30" s="104" t="str">
        <x:v>Rätsel</x:v>
      </x:c>
      <x:c r="E30" s="104" t="str">
        <x:v>Sollantwort/Fallback/Quelle vorhanden</x:v>
      </x:c>
      <x:c r="F30" s="104" t="str">
        <x:v>Antwortnormalisierung und Hilfeleiter</x:v>
      </x:c>
    </x:row>
    <x:row r="31" ht="54" customHeight="1">
      <x:c r="A31" s="144" t="str">
        <x:v>CombatProfile</x:v>
      </x:c>
      <x:c r="B31" s="144" t="str">
        <x:v>combatProfileId</x:v>
      </x:c>
      <x:c r="C31" s="144" t="str">
        <x:v>Questablauf.targetRef / Unique Gegner</x:v>
      </x:c>
      <x:c r="D31" s="144" t="str">
        <x:v>Kampfprofile</x:v>
      </x:c>
      <x:c r="E31" s="144" t="str">
        <x:v>Systemtyp und Rarität kompatibel</x:v>
      </x:c>
      <x:c r="F31" s="144" t="str">
        <x:v>EnemyDefinition ohne Zahlenbalancing</x:v>
      </x:c>
    </x:row>
    <x:row r="32" ht="54" customHeight="1">
      <x:c r="A32" s="104" t="str">
        <x:v>NavigationDefinition</x:v>
      </x:c>
      <x:c r="B32" s="104" t="str">
        <x:v>navigationId</x:v>
      </x:c>
      <x:c r="C32" s="104" t="str">
        <x:v>Questablauf.targetRef</x:v>
      </x:c>
      <x:c r="D32" s="104" t="str">
        <x:v>Navigation</x:v>
      </x:c>
      <x:c r="E32" s="104" t="str">
        <x:v>3–4 Rollen; Fallback; GeoJSON-Felder</x:v>
      </x:c>
      <x:c r="F32" s="104" t="str">
        <x:v>Spezielle Teamnavigation</x:v>
      </x:c>
    </x:row>
    <x:row r="33" ht="54" customHeight="1">
      <x:c r="A33" s="144" t="str">
        <x:v>TimerDefinition</x:v>
      </x:c>
      <x:c r="B33" s="144" t="str">
        <x:v>timerId</x:v>
      </x:c>
      <x:c r="C33" s="144" t="str">
        <x:v>questId, stepId, dialog refs</x:v>
      </x:c>
      <x:c r="D33" s="144" t="str">
        <x:v>Timer</x:v>
      </x:c>
      <x:c r="E33" s="144" t="str">
        <x:v>6 eindeutige IDs; Dauer/Start/Ablauf/Retry vorhanden</x:v>
      </x:c>
      <x:c r="F33" s="144" t="str">
        <x:v>Serverzeit und sichere Etappenfenster</x:v>
      </x:c>
    </x:row>
    <x:row r="34" ht="54" customHeight="1">
      <x:c r="A34" s="104" t="str">
        <x:v>LocationDefinition</x:v>
      </x:c>
      <x:c r="B34" s="104" t="str">
        <x:v>candidateId</x:v>
      </x:c>
      <x:c r="C34" s="104" t="str">
        <x:v>Ortszuordnung / GeoJSON</x:v>
      </x:c>
      <x:c r="D34" s="104" t="str">
        <x:v>Ortszuordnung</x:v>
      </x:c>
      <x:c r="E34" s="104" t="str">
        <x:v>ID vorhanden; Ampel nicht ROT</x:v>
      </x:c>
      <x:c r="F34" s="104" t="str">
        <x:v>Geofence und sichtbarer Hinweis</x:v>
      </x:c>
    </x:row>
    <x:row r="35" ht="54" customHeight="1">
      <x:c r="A35" s="134"/>
      <x:c r="B35" s="134"/>
      <x:c r="C35" s="134"/>
      <x:c r="D35" s="134"/>
      <x:c r="E35" s="134"/>
      <x:c r="F35" s="134"/>
    </x:row>
    <x:row r="36" ht="54" customHeight="1">
      <x:c r="A36" s="134"/>
      <x:c r="B36" s="134"/>
      <x:c r="C36" s="134"/>
      <x:c r="D36" s="134"/>
      <x:c r="E36" s="134"/>
      <x:c r="F36" s="134"/>
    </x:row>
    <x:row r="37" ht="54" customHeight="1">
      <x:c r="A37" s="97" t="str">
        <x:v>Enum-Gruppe</x:v>
      </x:c>
      <x:c r="B37" s="97" t="str">
        <x:v>Erlaubte Werte</x:v>
      </x:c>
      <x:c r="C37" s="97" t="str">
        <x:v>Feld</x:v>
      </x:c>
      <x:c r="D37" s="97" t="str">
        <x:v>Fallback</x:v>
      </x:c>
      <x:c r="E37" s="97" t="str">
        <x:v>Clientdarstellung</x:v>
      </x:c>
      <x:c r="F37" s="97" t="str">
        <x:v>Hinweis</x:v>
      </x:c>
    </x:row>
    <x:row r="38" ht="54" customHeight="1">
      <x:c r="A38" s="104" t="str">
        <x:v>QUEST_FLOW_PHASE</x:v>
      </x:c>
      <x:c r="B38" s="104" t="str">
        <x:v>DISCOVER|DIALOGUE|ACCEPT|OBJECTIVE|BONUS_OBJECTIVE|COMPLETE|REWARD</x:v>
      </x:c>
      <x:c r="C38" s="104" t="str">
        <x:v>QuestStep.flowPhase</x:v>
      </x:c>
      <x:c r="D38" s="104" t="str">
        <x:v>kein stiller Skip</x:v>
      </x:c>
      <x:c r="E38" s="104" t="str">
        <x:v>zustandsabhängiger Screen</x:v>
      </x:c>
      <x:c r="F38" s="104" t="str">
        <x:v>Authoring-Phase; nicht QuestInstance.state</x:v>
      </x:c>
    </x:row>
    <x:row r="39" ht="54" customHeight="1">
      <x:c r="A39" s="101" t="str">
        <x:v>STEP_CATEGORY</x:v>
      </x:c>
      <x:c r="B39" s="101" t="str">
        <x:v>FLOW_ACTION|OBJECTIVE|SYSTEM_ACTION</x:v>
      </x:c>
      <x:c r="C39" s="101" t="str">
        <x:v>QuestStep.stepCategory</x:v>
      </x:c>
      <x:c r="D39" s="101" t="str">
        <x:v>UNKNOWN blockiert Import</x:v>
      </x:c>
      <x:c r="E39" s="101" t="str">
        <x:v>interne Ablaufdarstellung</x:v>
      </x:c>
      <x:c r="F39" s="101" t="str">
        <x:v>Nur OBJECTIVE benötigt GDD-Objective-Type</x:v>
      </x:c>
    </x:row>
    <x:row r="40" ht="54" customHeight="1">
      <x:c r="A40" s="104" t="str">
        <x:v>STEP_ACTION_TYPE</x:v>
      </x:c>
      <x:c r="B40" s="104" t="str">
        <x:v>DISCOVER_NPC|TALK_TO_NPC|ACCEPT_QUEST|REACH_LOCATION|VISIT_MULTIPLE_LOCATIONS|ANSWER_QUESTION|SOLVE_PUZZLE|USE_ITEM|TEAM_DECISION|CLASS_ACTION|DEFEAT_ENEMY|TAKE_PHOTO|TAKE_VIDEO|UPLOAD_MEDIA|COLLECT_MEDIA|SUBMIT_FOR_REVIEW|NAVIGATION_CHALLENGE|BOSS_PARTICIPATION|GRANT_REWARD</x:v>
      </x:c>
      <x:c r="C40" s="104" t="str">
        <x:v>QuestStep.actionType</x:v>
      </x:c>
      <x:c r="D40" s="104" t="str">
        <x:v>UNKNOWN blockiert Import</x:v>
      </x:c>
      <x:c r="E40" s="104" t="str">
        <x:v>Komponente aus UI-Spalte</x:v>
      </x:c>
      <x:c r="F40" s="104" t="str">
        <x:v>Feines Authoring-Vokabular; Mapping steht in Questablauf</x:v>
      </x:c>
    </x:row>
    <x:row r="41" ht="54" customHeight="1">
      <x:c r="A41" s="101" t="str">
        <x:v>GDD_OBJECTIVE_TYPE</x:v>
      </x:c>
      <x:c r="B41" s="101" t="str">
        <x:v>REACH_LOCATION|COMPLETE_DIALOGUE|SUBMIT_ANSWER|COMPLETE_ENCOUNTER|ACQUIRE_ITEM|DELIVER_ITEM|SUBMIT_MEDIA</x:v>
      </x:c>
      <x:c r="C41" s="101" t="str">
        <x:v>Objective.type</x:v>
      </x:c>
      <x:c r="D41" s="101" t="str">
        <x:v>bei OBJECTIVE zwingend</x:v>
      </x:c>
      <x:c r="E41" s="101" t="str">
        <x:v>kanonische Objective-Komponente</x:v>
      </x:c>
      <x:c r="F41" s="101" t="str">
        <x:v>Verbindlicher Katalog aus GDD v0.15 Kap. 16</x:v>
      </x:c>
    </x:row>
    <x:row r="42" ht="54" customHeight="1">
      <x:c r="A42" s="104" t="str">
        <x:v>SYSTEM_TYPE</x:v>
      </x:c>
      <x:c r="B42" s="104" t="str">
        <x:v>WORLD_ENEMY|QUEST_ENEMY|WORLD_BOSS</x:v>
      </x:c>
      <x:c r="C42" s="104" t="str">
        <x:v>CombatProfile.systemType</x:v>
      </x:c>
      <x:c r="D42" s="104" t="str">
        <x:v>kein Default</x:v>
      </x:c>
      <x:c r="E42" s="104" t="str">
        <x:v>Enemy UI</x:v>
      </x:c>
      <x:c r="F42" s="104" t="str">
        <x:v>Instanzierung zwingend unterschiedlich</x:v>
      </x:c>
    </x:row>
    <x:row r="43" ht="54" customHeight="1">
      <x:c r="A43" s="101" t="str">
        <x:v>RARITY</x:v>
      </x:c>
      <x:c r="B43" s="101" t="str">
        <x:v>N|R|SR|SSR|E|L</x:v>
      </x:c>
      <x:c r="C43" s="101" t="str">
        <x:v>CombatProfile.rarity</x:v>
      </x:c>
      <x:c r="D43" s="101" t="str">
        <x:v>kein Default</x:v>
      </x:c>
      <x:c r="E43" s="101" t="str">
        <x:v>Farbe aus GDD</x:v>
      </x:c>
      <x:c r="F43" s="101" t="str">
        <x:v>L nur Questgegner/Bosse; Tag 1 außer Boss max SSR</x:v>
      </x:c>
    </x:row>
    <x:row r="44" ht="54" customHeight="1">
      <x:c r="A44" s="104" t="str">
        <x:v>CONTENT_STATUS</x:v>
      </x:c>
      <x:c r="B44" s="104" t="str">
        <x:v>EDITORIAL_REVIEW|FIELD_CHECK_REQUIRED|APPROVED</x:v>
      </x:c>
      <x:c r="C44" s="104" t="str">
        <x:v>alle Contenttabellen</x:v>
      </x:c>
      <x:c r="D44" s="104" t="str">
        <x:v>nur APPROVED veröffentlichen</x:v>
      </x:c>
      <x:c r="E44" s="104" t="str">
        <x:v>GM/Editor Badge</x:v>
      </x:c>
      <x:c r="F44" s="104" t="str">
        <x:v>v0.8 ist nicht eventfreigegeben</x:v>
      </x:c>
    </x:row>
    <x:row r="45" ht="54" customHeight="1">
      <x:c r="A45" s="101" t="str">
        <x:v>NAV_STATE</x:v>
      </x:c>
      <x:c r="B45" s="101" t="str">
        <x:v>READY|ROLE_ASSIGNED|CHECKPOINT_CONFIRMED|REVEAL|REGROUPED|ABORTED</x:v>
      </x:c>
      <x:c r="C45" s="101" t="str">
        <x:v>Navigation runtime</x:v>
      </x:c>
      <x:c r="D45" s="101" t="str">
        <x:v>ABORTED =&gt; Fallback</x:v>
      </x:c>
      <x:c r="E45" s="101" t="str">
        <x:v>Navigation overlay</x:v>
      </x:c>
      <x:c r="F45" s="101" t="str">
        <x:v>kein Rennen / keine Zwangsquerung</x:v>
      </x:c>
    </x:row>
    <x:row r="46" ht="54" customHeight="1">
      <x:c r="A46" s="104" t="str">
        <x:v>TIMER_SCOPE</x:v>
      </x:c>
      <x:c r="B46" s="104" t="str">
        <x:v>QUEST_DEADLINE|OBJECTIVE_WINDOW</x:v>
      </x:c>
      <x:c r="C46" s="104" t="str">
        <x:v>TimerDefinition.scope</x:v>
      </x:c>
      <x:c r="D46" s="104" t="str">
        <x:v>kein Default</x:v>
      </x:c>
      <x:c r="E46" s="104" t="str">
        <x:v>Countdown nach Scope</x:v>
      </x:c>
      <x:c r="F46" s="104" t="str">
        <x:v>v0.8 verwendet nur OBJECTIVE_WINDOW</x:v>
      </x:c>
    </x:row>
    <x:row r="47" ht="54" customHeight="1">
      <x:c r="A47" s="101" t="str">
        <x:v>TIMER_STATE</x:v>
      </x:c>
      <x:c r="B47" s="101" t="str">
        <x:v>READY|RUNNING|COMPLETED|EXPIRED|ABORTED</x:v>
      </x:c>
      <x:c r="C47" s="101" t="str">
        <x:v>TimerInstance.state</x:v>
      </x:c>
      <x:c r="D47" s="101" t="str">
        <x:v>READY</x:v>
      </x:c>
      <x:c r="E47" s="101" t="str">
        <x:v>Timerstatus</x:v>
      </x:c>
      <x:c r="F47" s="101" t="str">
        <x:v>Serverzeit; Ablaufwirkung genau einmal</x:v>
      </x:c>
    </x:row>
    <x:row r="48">
      <x:c r="A48" s="168" t="str">
        <x:v>STORE_SCHEMA</x:v>
      </x:c>
      <x:c r="B48" s="168" t="str">
        <x:v>storeId|candidateId|day|visibilityRadiusM|interactionRadiusM|inventoryScope|assortmentRule|saleRule</x:v>
      </x:c>
      <x:c r="C48" s="168" t="str">
        <x:v>alle fünf Stores</x:v>
      </x:c>
      <x:c r="D48" s="168" t="str">
        <x:v>Server liefert StoreDefinition und StoreSession; Client rendert nur bestätigte Version.</x:v>
      </x:c>
      <x:c r="E48" s="168" t="str">
        <x:v>Bei Abstand &gt;15 m kein Commit; &gt;25 m EXIT-Hysterese.</x:v>
      </x:c>
      <x:c r="F48" s="168" t="str">
        <x:v>Blatt Stores; GDD v0.16 §29.4; GeoJSON v0.9 properties store_*</x:v>
      </x:c>
    </x:row>
    <x:row r="49">
      <x:c r="A49" s="168" t="str">
        <x:v>STORE_CATALOGUE</x:v>
      </x:c>
      <x:c r="B49" s="168" t="str">
        <x:v>TEAM_UNLIMITED_PER_STORE</x:v>
      </x:c>
      <x:c r="C49" s="168" t="str">
        <x:v>Stores</x:v>
      </x:c>
      <x:c r="D49" s="168" t="str">
        <x:v>Server führt feste teamspezifische Sortimente; Bestand nicht global verbraucht.</x:v>
      </x:c>
      <x:c r="E49" s="168" t="str">
        <x:v>catalogueVersion verhindert stale commit.</x:v>
      </x:c>
      <x:c r="F49" s="168" t="str">
        <x:v>N/R allgemein; SR spezialisiert; SSR Tag 2; E/L nicht kaufbar.</x:v>
      </x:c>
    </x:row>
  </x:sheetData>
  <x:mergeCells>
    <x:mergeCell ref="A1:F1"/>
    <x:mergeCell ref="A2:F2"/>
  </x:mergeCell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16" hidden="0" customWidth="1"/>
    <x:col min="2" max="2" width="10" hidden="0" customWidth="1"/>
    <x:col min="3" max="3" width="25" hidden="0" customWidth="1"/>
    <x:col min="4" max="4" width="10" hidden="0" customWidth="1"/>
    <x:col min="5" max="5" width="23" hidden="0" customWidth="1"/>
    <x:col min="6" max="6" width="9" hidden="0" customWidth="1"/>
    <x:col min="7" max="7" width="9" hidden="0" customWidth="1"/>
    <x:col min="8" max="8" width="9" hidden="0" customWidth="1"/>
    <x:col min="9" max="9" width="9" hidden="0" customWidth="1"/>
    <x:col min="10" max="10" width="14" hidden="0" customWidth="1"/>
    <x:col min="11" max="11" width="10" hidden="0" customWidth="1"/>
    <x:col min="12" max="12" width="10" hidden="0" customWidth="1"/>
    <x:col min="13" max="13" width="14" hidden="0" customWidth="1"/>
    <x:col min="14" max="14" width="32" hidden="0" customWidth="1"/>
  </x:cols>
  <x:sheetData>
    <x:row r="1">
      <x:c r="A1" s="172" t="str">
        <x:v>Via Romae – Gegnerbalance v0.9</x:v>
      </x:c>
      <x:c r="B1" s="172" t="str">
        <x:v>Via Romae – Gegnerbalance v0.9</x:v>
      </x:c>
      <x:c r="C1" s="172" t="str">
        <x:v>Via Romae – Gegnerbalance v0.9</x:v>
      </x:c>
      <x:c r="D1" s="172" t="str">
        <x:v>Via Romae – Gegnerbalance v0.9</x:v>
      </x:c>
      <x:c r="E1" s="172" t="str">
        <x:v>Via Romae – Gegnerbalance v0.9</x:v>
      </x:c>
      <x:c r="F1" s="172" t="str">
        <x:v>Via Romae – Gegnerbalance v0.9</x:v>
      </x:c>
      <x:c r="G1" s="172" t="str">
        <x:v>Via Romae – Gegnerbalance v0.9</x:v>
      </x:c>
      <x:c r="H1" s="172" t="str">
        <x:v>Via Romae – Gegnerbalance v0.9</x:v>
      </x:c>
      <x:c r="I1" s="172" t="str">
        <x:v>Via Romae – Gegnerbalance v0.9</x:v>
      </x:c>
      <x:c r="J1" s="172" t="str">
        <x:v>Via Romae – Gegnerbalance v0.9</x:v>
      </x:c>
      <x:c r="K1" s="172" t="str">
        <x:v>Via Romae – Gegnerbalance v0.9</x:v>
      </x:c>
      <x:c r="L1" s="172" t="str">
        <x:v>Via Romae – Gegnerbalance v0.9</x:v>
      </x:c>
      <x:c r="M1" s="172" t="str">
        <x:v>Via Romae – Gegnerbalance v0.9</x:v>
      </x:c>
      <x:c r="N1" s="172" t="str">
        <x:v>Via Romae – Gegnerbalance v0.9</x:v>
      </x:c>
    </x:row>
    <x:row r="2">
      <x:c r="A2" s="176" t="str">
        <x:v>Kanonische Werte für die zwölf global persistenten Unique WORLD_ENEMIES. Werte gelten pro Encounter und Team; Ruhm/Denare werden einmalig teamweit gutgeschrieben. Loot ist ein normaler Team-Inventar-Roll, E/L bleiben im Store nicht kaufbar.</x:v>
      </x:c>
      <x:c r="B2" s="176" t="str">
        <x:v>Kanonische Werte für die zwölf global persistenten Unique WORLD_ENEMIES. Werte gelten pro Encounter und Team; Ruhm/Denare werden einmalig teamweit gutgeschrieben. Loot ist ein normaler Team-Inventar-Roll, E/L bleiben im Store nicht kaufbar.</x:v>
      </x:c>
      <x:c r="C2" s="176" t="str">
        <x:v>Kanonische Werte für die zwölf global persistenten Unique WORLD_ENEMIES. Werte gelten pro Encounter und Team; Ruhm/Denare werden einmalig teamweit gutgeschrieben. Loot ist ein normaler Team-Inventar-Roll, E/L bleiben im Store nicht kaufbar.</x:v>
      </x:c>
      <x:c r="D2" s="176" t="str">
        <x:v>Kanonische Werte für die zwölf global persistenten Unique WORLD_ENEMIES. Werte gelten pro Encounter und Team; Ruhm/Denare werden einmalig teamweit gutgeschrieben. Loot ist ein normaler Team-Inventar-Roll, E/L bleiben im Store nicht kaufbar.</x:v>
      </x:c>
      <x:c r="E2" s="176" t="str">
        <x:v>Kanonische Werte für die zwölf global persistenten Unique WORLD_ENEMIES. Werte gelten pro Encounter und Team; Ruhm/Denare werden einmalig teamweit gutgeschrieben. Loot ist ein normaler Team-Inventar-Roll, E/L bleiben im Store nicht kaufbar.</x:v>
      </x:c>
      <x:c r="F2" s="176" t="str">
        <x:v>Kanonische Werte für die zwölf global persistenten Unique WORLD_ENEMIES. Werte gelten pro Encounter und Team; Ruhm/Denare werden einmalig teamweit gutgeschrieben. Loot ist ein normaler Team-Inventar-Roll, E/L bleiben im Store nicht kaufbar.</x:v>
      </x:c>
      <x:c r="G2" s="176" t="str">
        <x:v>Kanonische Werte für die zwölf global persistenten Unique WORLD_ENEMIES. Werte gelten pro Encounter und Team; Ruhm/Denare werden einmalig teamweit gutgeschrieben. Loot ist ein normaler Team-Inventar-Roll, E/L bleiben im Store nicht kaufbar.</x:v>
      </x:c>
      <x:c r="H2" s="176" t="str">
        <x:v>Kanonische Werte für die zwölf global persistenten Unique WORLD_ENEMIES. Werte gelten pro Encounter und Team; Ruhm/Denare werden einmalig teamweit gutgeschrieben. Loot ist ein normaler Team-Inventar-Roll, E/L bleiben im Store nicht kaufbar.</x:v>
      </x:c>
      <x:c r="I2" s="176" t="str">
        <x:v>Kanonische Werte für die zwölf global persistenten Unique WORLD_ENEMIES. Werte gelten pro Encounter und Team; Ruhm/Denare werden einmalig teamweit gutgeschrieben. Loot ist ein normaler Team-Inventar-Roll, E/L bleiben im Store nicht kaufbar.</x:v>
      </x:c>
      <x:c r="J2" s="176" t="str">
        <x:v>Kanonische Werte für die zwölf global persistenten Unique WORLD_ENEMIES. Werte gelten pro Encounter und Team; Ruhm/Denare werden einmalig teamweit gutgeschrieben. Loot ist ein normaler Team-Inventar-Roll, E/L bleiben im Store nicht kaufbar.</x:v>
      </x:c>
      <x:c r="K2" s="176" t="str">
        <x:v>Kanonische Werte für die zwölf global persistenten Unique WORLD_ENEMIES. Werte gelten pro Encounter und Team; Ruhm/Denare werden einmalig teamweit gutgeschrieben. Loot ist ein normaler Team-Inventar-Roll, E/L bleiben im Store nicht kaufbar.</x:v>
      </x:c>
      <x:c r="L2" s="176" t="str">
        <x:v>Kanonische Werte für die zwölf global persistenten Unique WORLD_ENEMIES. Werte gelten pro Encounter und Team; Ruhm/Denare werden einmalig teamweit gutgeschrieben. Loot ist ein normaler Team-Inventar-Roll, E/L bleiben im Store nicht kaufbar.</x:v>
      </x:c>
      <x:c r="M2" s="176" t="str">
        <x:v>Kanonische Werte für die zwölf global persistenten Unique WORLD_ENEMIES. Werte gelten pro Encounter und Team; Ruhm/Denare werden einmalig teamweit gutgeschrieben. Loot ist ein normaler Team-Inventar-Roll, E/L bleiben im Store nicht kaufbar.</x:v>
      </x:c>
      <x:c r="N2" s="176" t="str">
        <x:v>Kanonische Werte für die zwölf global persistenten Unique WORLD_ENEMIES. Werte gelten pro Encounter und Team; Ruhm/Denare werden einmalig teamweit gutgeschrieben. Loot ist ein normaler Team-Inventar-Roll, E/L bleiben im Store nicht kaufbar.</x:v>
      </x:c>
    </x:row>
    <x:row r="4" ht="26.399999618530273" hidden="0" customHeight="1">
      <x:c r="A4" s="165" t="str">
        <x:v>Encounter-ID</x:v>
      </x:c>
      <x:c r="B4" s="165" t="str">
        <x:v>Tag</x:v>
      </x:c>
      <x:c r="C4" s="165" t="str">
        <x:v>Gegner</x:v>
      </x:c>
      <x:c r="D4" s="165" t="str">
        <x:v>Rarität</x:v>
      </x:c>
      <x:c r="E4" s="165" t="str">
        <x:v>Rolle</x:v>
      </x:c>
      <x:c r="F4" s="165" t="str">
        <x:v>HP</x:v>
      </x:c>
      <x:c r="G4" s="165" t="str">
        <x:v>ATK</x:v>
      </x:c>
      <x:c r="H4" s="165" t="str">
        <x:v>DEF</x:v>
      </x:c>
      <x:c r="I4" s="165" t="str">
        <x:v>INIT</x:v>
      </x:c>
      <x:c r="J4" s="165" t="str">
        <x:v>Statuschance %</x:v>
      </x:c>
      <x:c r="K4" s="165" t="str">
        <x:v>Ruhm</x:v>
      </x:c>
      <x:c r="L4" s="165" t="str">
        <x:v>Denare</x:v>
      </x:c>
      <x:c r="M4" s="165" t="str">
        <x:v>Loot-Rarität</x:v>
      </x:c>
      <x:c r="N4" s="165" t="str">
        <x:v>Reward-ID</x:v>
      </x:c>
    </x:row>
    <x:row r="5" ht="66" hidden="0" customHeight="1">
      <x:c r="A5" s="168" t="str">
        <x:v>UE-D1-01</x:v>
      </x:c>
      <x:c r="B5" s="168" t="str">
        <x:v>DAY_1</x:v>
      </x:c>
      <x:c r="C5" s="168" t="str">
        <x:v>Angelo della Passione</x:v>
      </x:c>
      <x:c r="D5" s="168" t="str">
        <x:v>SR</x:v>
      </x:c>
      <x:c r="E5" s="168" t="str">
        <x:v>CONTROL_COUNTER</x:v>
      </x:c>
      <x:c r="F5" s="177" t="n">
        <x:v>240</x:v>
      </x:c>
      <x:c r="G5" s="177" t="n">
        <x:v>24</x:v>
      </x:c>
      <x:c r="H5" s="177" t="n">
        <x:v>17</x:v>
      </x:c>
      <x:c r="I5" s="177" t="n">
        <x:v>12</x:v>
      </x:c>
      <x:c r="J5" s="178" t="n">
        <x:v>0.25</x:v>
      </x:c>
      <x:c r="K5" s="177" t="n">
        <x:v>50</x:v>
      </x:c>
      <x:c r="L5" s="177" t="n">
        <x:v>30</x:v>
      </x:c>
      <x:c r="M5" s="177" t="str">
        <x:v>SR</x:v>
      </x:c>
      <x:c r="N5" s="168" t="str">
        <x:v>UNIQUE_WORLD_ENEMY_REWARD_SR</x:v>
      </x:c>
    </x:row>
    <x:row r="6" ht="66" hidden="0" customHeight="1">
      <x:c r="A6" s="168" t="str">
        <x:v>UE-D1-02</x:v>
      </x:c>
      <x:c r="B6" s="168" t="str">
        <x:v>DAY_1</x:v>
      </x:c>
      <x:c r="C6" s="168" t="str">
        <x:v>Leone del Flaminio</x:v>
      </x:c>
      <x:c r="D6" s="168" t="str">
        <x:v>R</x:v>
      </x:c>
      <x:c r="E6" s="168" t="str">
        <x:v>FAST_BRUISER</x:v>
      </x:c>
      <x:c r="F6" s="177" t="n">
        <x:v>170</x:v>
      </x:c>
      <x:c r="G6" s="177" t="n">
        <x:v>20</x:v>
      </x:c>
      <x:c r="H6" s="177" t="n">
        <x:v>12</x:v>
      </x:c>
      <x:c r="I6" s="177" t="n">
        <x:v>14</x:v>
      </x:c>
      <x:c r="J6" s="178" t="n">
        <x:v>0.18</x:v>
      </x:c>
      <x:c r="K6" s="177" t="n">
        <x:v>35</x:v>
      </x:c>
      <x:c r="L6" s="177" t="n">
        <x:v>20</x:v>
      </x:c>
      <x:c r="M6" s="177" t="str">
        <x:v>R</x:v>
      </x:c>
      <x:c r="N6" s="168" t="str">
        <x:v>UNIQUE_WORLD_ENEMY_REWARD_R</x:v>
      </x:c>
    </x:row>
    <x:row r="7" ht="66" hidden="0" customHeight="1">
      <x:c r="A7" s="168" t="str">
        <x:v>UE-D1-03</x:v>
      </x:c>
      <x:c r="B7" s="168" t="str">
        <x:v>DAY_1</x:v>
      </x:c>
      <x:c r="C7" s="168" t="str">
        <x:v>Dea Roma del Pincio</x:v>
      </x:c>
      <x:c r="D7" s="168" t="str">
        <x:v>SSR</x:v>
      </x:c>
      <x:c r="E7" s="168" t="str">
        <x:v>AURA_COMMANDER</x:v>
      </x:c>
      <x:c r="F7" s="177" t="n">
        <x:v>360</x:v>
      </x:c>
      <x:c r="G7" s="177" t="n">
        <x:v>29</x:v>
      </x:c>
      <x:c r="H7" s="177" t="n">
        <x:v>21</x:v>
      </x:c>
      <x:c r="I7" s="177" t="n">
        <x:v>10</x:v>
      </x:c>
      <x:c r="J7" s="178" t="n">
        <x:v>0.3</x:v>
      </x:c>
      <x:c r="K7" s="177" t="n">
        <x:v>75</x:v>
      </x:c>
      <x:c r="L7" s="177" t="n">
        <x:v>45</x:v>
      </x:c>
      <x:c r="M7" s="177" t="str">
        <x:v>SSR</x:v>
      </x:c>
      <x:c r="N7" s="168" t="str">
        <x:v>UNIQUE_WORLD_ENEMY_REWARD_SSR</x:v>
      </x:c>
    </x:row>
    <x:row r="8" ht="66" hidden="0" customHeight="1">
      <x:c r="A8" s="168" t="str">
        <x:v>UE-D1-04</x:v>
      </x:c>
      <x:c r="B8" s="168" t="str">
        <x:v>DAY_1</x:v>
      </x:c>
      <x:c r="C8" s="168" t="str">
        <x:v>Legionario della Colonna</x:v>
      </x:c>
      <x:c r="D8" s="168" t="str">
        <x:v>SR</x:v>
      </x:c>
      <x:c r="E8" s="168" t="str">
        <x:v>FORMATION_SOLDIER</x:v>
      </x:c>
      <x:c r="F8" s="177" t="n">
        <x:v>250</x:v>
      </x:c>
      <x:c r="G8" s="177" t="n">
        <x:v>23</x:v>
      </x:c>
      <x:c r="H8" s="177" t="n">
        <x:v>19</x:v>
      </x:c>
      <x:c r="I8" s="177" t="n">
        <x:v>9</x:v>
      </x:c>
      <x:c r="J8" s="178" t="n">
        <x:v>0.24</x:v>
      </x:c>
      <x:c r="K8" s="177" t="n">
        <x:v>50</x:v>
      </x:c>
      <x:c r="L8" s="177" t="n">
        <x:v>30</x:v>
      </x:c>
      <x:c r="M8" s="177" t="str">
        <x:v>SR</x:v>
      </x:c>
      <x:c r="N8" s="168" t="str">
        <x:v>UNIQUE_WORLD_ENEMY_REWARD_SR</x:v>
      </x:c>
    </x:row>
    <x:row r="9" ht="66" hidden="0" customHeight="1">
      <x:c r="A9" s="168" t="str">
        <x:v>UE-D1-05</x:v>
      </x:c>
      <x:c r="B9" s="168" t="str">
        <x:v>DAY_1</x:v>
      </x:c>
      <x:c r="C9" s="168" t="str">
        <x:v>Ombra dell’Horologium</x:v>
      </x:c>
      <x:c r="D9" s="168" t="str">
        <x:v>SSR</x:v>
      </x:c>
      <x:c r="E9" s="168" t="str">
        <x:v>TIME_CONTROLLER</x:v>
      </x:c>
      <x:c r="F9" s="177" t="n">
        <x:v>330</x:v>
      </x:c>
      <x:c r="G9" s="177" t="n">
        <x:v>27</x:v>
      </x:c>
      <x:c r="H9" s="177" t="n">
        <x:v>18</x:v>
      </x:c>
      <x:c r="I9" s="177" t="n">
        <x:v>15</x:v>
      </x:c>
      <x:c r="J9" s="178" t="n">
        <x:v>0.32</x:v>
      </x:c>
      <x:c r="K9" s="177" t="n">
        <x:v>75</x:v>
      </x:c>
      <x:c r="L9" s="177" t="n">
        <x:v>45</x:v>
      </x:c>
      <x:c r="M9" s="177" t="str">
        <x:v>SSR</x:v>
      </x:c>
      <x:c r="N9" s="168" t="str">
        <x:v>UNIQUE_WORLD_ENEMY_REWARD_SSR</x:v>
      </x:c>
    </x:row>
    <x:row r="10" ht="66" hidden="0" customHeight="1">
      <x:c r="A10" s="168" t="str">
        <x:v>UE-D1-06</x:v>
      </x:c>
      <x:c r="B10" s="168" t="str">
        <x:v>DAY_1</x:v>
      </x:c>
      <x:c r="C10" s="168" t="str">
        <x:v>Custode della Cupola</x:v>
      </x:c>
      <x:c r="D10" s="168" t="str">
        <x:v>R</x:v>
      </x:c>
      <x:c r="E10" s="168" t="str">
        <x:v>AERIAL_GUARD</x:v>
      </x:c>
      <x:c r="F10" s="177" t="n">
        <x:v>160</x:v>
      </x:c>
      <x:c r="G10" s="177" t="n">
        <x:v>18</x:v>
      </x:c>
      <x:c r="H10" s="177" t="n">
        <x:v>14</x:v>
      </x:c>
      <x:c r="I10" s="177" t="n">
        <x:v>16</x:v>
      </x:c>
      <x:c r="J10" s="178" t="n">
        <x:v>0.18</x:v>
      </x:c>
      <x:c r="K10" s="177" t="n">
        <x:v>35</x:v>
      </x:c>
      <x:c r="L10" s="177" t="n">
        <x:v>20</x:v>
      </x:c>
      <x:c r="M10" s="177" t="str">
        <x:v>R</x:v>
      </x:c>
      <x:c r="N10" s="168" t="str">
        <x:v>UNIQUE_WORLD_ENEMY_REWARD_R</x:v>
      </x:c>
    </x:row>
    <x:row r="11" ht="66" hidden="0" customHeight="1">
      <x:c r="A11" s="168" t="str">
        <x:v>UE-D1-07</x:v>
      </x:c>
      <x:c r="B11" s="168" t="str">
        <x:v>DAY_1</x:v>
      </x:c>
      <x:c r="C11" s="168" t="str">
        <x:v>Serpente di Esculapio</x:v>
      </x:c>
      <x:c r="D11" s="168" t="str">
        <x:v>SSR</x:v>
      </x:c>
      <x:c r="E11" s="168" t="str">
        <x:v>HEAL_DENIAL</x:v>
      </x:c>
      <x:c r="F11" s="177" t="n">
        <x:v>340</x:v>
      </x:c>
      <x:c r="G11" s="177" t="n">
        <x:v>26</x:v>
      </x:c>
      <x:c r="H11" s="177" t="n">
        <x:v>20</x:v>
      </x:c>
      <x:c r="I11" s="177" t="n">
        <x:v>11</x:v>
      </x:c>
      <x:c r="J11" s="178" t="n">
        <x:v>0.28</x:v>
      </x:c>
      <x:c r="K11" s="177" t="n">
        <x:v>75</x:v>
      </x:c>
      <x:c r="L11" s="177" t="n">
        <x:v>45</x:v>
      </x:c>
      <x:c r="M11" s="177" t="str">
        <x:v>SSR</x:v>
      </x:c>
      <x:c r="N11" s="168" t="str">
        <x:v>UNIQUE_WORLD_ENEMY_REWARD_SSR</x:v>
      </x:c>
    </x:row>
    <x:row r="12" ht="66" hidden="0" customHeight="1">
      <x:c r="A12" s="168" t="str">
        <x:v>UE-D1-08</x:v>
      </x:c>
      <x:c r="B12" s="168" t="str">
        <x:v>DAY_1</x:v>
      </x:c>
      <x:c r="C12" s="168" t="str">
        <x:v>Occhio del Tevere</x:v>
      </x:c>
      <x:c r="D12" s="168" t="str">
        <x:v>R</x:v>
      </x:c>
      <x:c r="E12" s="168" t="str">
        <x:v>AREA_HAZARD</x:v>
      </x:c>
      <x:c r="F12" s="177" t="n">
        <x:v>180</x:v>
      </x:c>
      <x:c r="G12" s="177" t="n">
        <x:v>19</x:v>
      </x:c>
      <x:c r="H12" s="177" t="n">
        <x:v>13</x:v>
      </x:c>
      <x:c r="I12" s="177" t="n">
        <x:v>13</x:v>
      </x:c>
      <x:c r="J12" s="178" t="n">
        <x:v>0.2</x:v>
      </x:c>
      <x:c r="K12" s="177" t="n">
        <x:v>35</x:v>
      </x:c>
      <x:c r="L12" s="177" t="n">
        <x:v>20</x:v>
      </x:c>
      <x:c r="M12" s="177" t="str">
        <x:v>R</x:v>
      </x:c>
      <x:c r="N12" s="168" t="str">
        <x:v>UNIQUE_WORLD_ENEMY_REWARD_R</x:v>
      </x:c>
    </x:row>
    <x:row r="13" ht="66" hidden="0" customHeight="1">
      <x:c r="A13" s="168" t="str">
        <x:v>UE-D2-01</x:v>
      </x:c>
      <x:c r="B13" s="168" t="str">
        <x:v>DAY_2</x:v>
      </x:c>
      <x:c r="C13" s="168" t="str">
        <x:v>Quadriga dell’Unità</x:v>
      </x:c>
      <x:c r="D13" s="168" t="str">
        <x:v>E</x:v>
      </x:c>
      <x:c r="E13" s="168" t="str">
        <x:v>MULTI_PHASE_CHARGER</x:v>
      </x:c>
      <x:c r="F13" s="177" t="n">
        <x:v>520</x:v>
      </x:c>
      <x:c r="G13" s="177" t="n">
        <x:v>36</x:v>
      </x:c>
      <x:c r="H13" s="177" t="n">
        <x:v>26</x:v>
      </x:c>
      <x:c r="I13" s="177" t="n">
        <x:v>13</x:v>
      </x:c>
      <x:c r="J13" s="178" t="n">
        <x:v>0.35</x:v>
      </x:c>
      <x:c r="K13" s="177" t="n">
        <x:v>100</x:v>
      </x:c>
      <x:c r="L13" s="177" t="n">
        <x:v>60</x:v>
      </x:c>
      <x:c r="M13" s="177" t="str">
        <x:v>E</x:v>
      </x:c>
      <x:c r="N13" s="168" t="str">
        <x:v>UNIQUE_WORLD_ENEMY_REWARD_E</x:v>
      </x:c>
    </x:row>
    <x:row r="14" ht="66" hidden="0" customHeight="1">
      <x:c r="A14" s="168" t="str">
        <x:v>UE-D2-02</x:v>
      </x:c>
      <x:c r="B14" s="168" t="str">
        <x:v>DAY_2</x:v>
      </x:c>
      <x:c r="C14" s="168" t="str">
        <x:v>Coppia dei Tritoni</x:v>
      </x:c>
      <x:c r="D14" s="168" t="str">
        <x:v>SSR</x:v>
      </x:c>
      <x:c r="E14" s="168" t="str">
        <x:v>COORDINATED_DUO</x:v>
      </x:c>
      <x:c r="F14" s="177" t="n">
        <x:v>380</x:v>
      </x:c>
      <x:c r="G14" s="177" t="n">
        <x:v>30</x:v>
      </x:c>
      <x:c r="H14" s="177" t="n">
        <x:v>22</x:v>
      </x:c>
      <x:c r="I14" s="177" t="n">
        <x:v>12</x:v>
      </x:c>
      <x:c r="J14" s="178" t="n">
        <x:v>0.3</x:v>
      </x:c>
      <x:c r="K14" s="177" t="n">
        <x:v>75</x:v>
      </x:c>
      <x:c r="L14" s="177" t="n">
        <x:v>45</x:v>
      </x:c>
      <x:c r="M14" s="177" t="str">
        <x:v>SSR</x:v>
      </x:c>
      <x:c r="N14" s="168" t="str">
        <x:v>UNIQUE_WORLD_ENEMY_REWARD_SSR</x:v>
      </x:c>
    </x:row>
    <x:row r="15" ht="66" hidden="0" customHeight="1">
      <x:c r="A15" s="168" t="str">
        <x:v>UE-D2-03</x:v>
      </x:c>
      <x:c r="B15" s="168" t="str">
        <x:v>DAY_2</x:v>
      </x:c>
      <x:c r="C15" s="168" t="str">
        <x:v>Nocchiero della Navicella</x:v>
      </x:c>
      <x:c r="D15" s="168" t="str">
        <x:v>SR</x:v>
      </x:c>
      <x:c r="E15" s="168" t="str">
        <x:v>SUMMONER_VEHICLE</x:v>
      </x:c>
      <x:c r="F15" s="177" t="n">
        <x:v>260</x:v>
      </x:c>
      <x:c r="G15" s="177" t="n">
        <x:v>25</x:v>
      </x:c>
      <x:c r="H15" s="177" t="n">
        <x:v>16</x:v>
      </x:c>
      <x:c r="I15" s="177" t="n">
        <x:v>14</x:v>
      </x:c>
      <x:c r="J15" s="178" t="n">
        <x:v>0.24</x:v>
      </x:c>
      <x:c r="K15" s="177" t="n">
        <x:v>50</x:v>
      </x:c>
      <x:c r="L15" s="177" t="n">
        <x:v>30</x:v>
      </x:c>
      <x:c r="M15" s="177" t="str">
        <x:v>SR</x:v>
      </x:c>
      <x:c r="N15" s="168" t="str">
        <x:v>UNIQUE_WORLD_ENEMY_REWARD_SR</x:v>
      </x:c>
    </x:row>
    <x:row r="16" ht="66" hidden="0" customHeight="1">
      <x:c r="A16" s="168" t="str">
        <x:v>UE-D2-04</x:v>
      </x:c>
      <x:c r="B16" s="168" t="str">
        <x:v>DAY_2</x:v>
      </x:c>
      <x:c r="C16" s="168" t="str">
        <x:v>Cesare di Bronzo</x:v>
      </x:c>
      <x:c r="D16" s="168" t="str">
        <x:v>SSR</x:v>
      </x:c>
      <x:c r="E16" s="168" t="str">
        <x:v>COMMAND_DUELIST</x:v>
      </x:c>
      <x:c r="F16" s="177" t="n">
        <x:v>400</x:v>
      </x:c>
      <x:c r="G16" s="177" t="n">
        <x:v>31</x:v>
      </x:c>
      <x:c r="H16" s="177" t="n">
        <x:v>23</x:v>
      </x:c>
      <x:c r="I16" s="177" t="n">
        <x:v>13</x:v>
      </x:c>
      <x:c r="J16" s="178" t="n">
        <x:v>0.32</x:v>
      </x:c>
      <x:c r="K16" s="177" t="n">
        <x:v>75</x:v>
      </x:c>
      <x:c r="L16" s="177" t="n">
        <x:v>45</x:v>
      </x:c>
      <x:c r="M16" s="177" t="str">
        <x:v>SSR</x:v>
      </x:c>
      <x:c r="N16" s="168" t="str">
        <x:v>UNIQUE_WORLD_ENEMY_REWARD_SSR</x:v>
      </x:c>
    </x:row>
  </x:sheetData>
  <x:mergeCells>
    <x:mergeCell ref="A1:N1"/>
    <x:mergeCell ref="A2:N2"/>
  </x:mergeCells>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RowHeight="15"/>
  <x:cols>
    <x:col min="1" max="1" width="16" hidden="0" customWidth="1"/>
    <x:col min="2" max="2" width="10" hidden="0" customWidth="1"/>
    <x:col min="3" max="3" width="40" hidden="0" customWidth="1"/>
    <x:col min="4" max="4" width="32" hidden="0" customWidth="1"/>
    <x:col min="5" max="5" width="28" hidden="0" customWidth="1"/>
    <x:col min="6" max="6" width="20" hidden="0" customWidth="1"/>
    <x:col min="7" max="7" width="52" hidden="0" customWidth="1"/>
    <x:col min="8" max="8" width="52" hidden="0" customWidth="1"/>
    <x:col min="9" max="9" width="20" hidden="0" customWidth="1"/>
  </x:cols>
  <x:sheetData>
    <x:row r="1">
      <x:c r="A1" s="172" t="str">
        <x:v>Via Romae – Store-Definitionen v0.9</x:v>
      </x:c>
      <x:c r="B1" s="172" t="str">
        <x:v>Via Romae – Store-Definitionen v0.9</x:v>
      </x:c>
      <x:c r="C1" s="172" t="str">
        <x:v>Via Romae – Store-Definitionen v0.9</x:v>
      </x:c>
      <x:c r="D1" s="172" t="str">
        <x:v>Via Romae – Store-Definitionen v0.9</x:v>
      </x:c>
      <x:c r="E1" s="172" t="str">
        <x:v>Via Romae – Store-Definitionen v0.9</x:v>
      </x:c>
      <x:c r="F1" s="172" t="str">
        <x:v>Via Romae – Store-Definitionen v0.9</x:v>
      </x:c>
      <x:c r="G1" s="172" t="str">
        <x:v>Via Romae – Store-Definitionen v0.9</x:v>
      </x:c>
      <x:c r="H1" s="172" t="str">
        <x:v>Via Romae – Store-Definitionen v0.9</x:v>
      </x:c>
      <x:c r="I1" s="172" t="str">
        <x:v>Via Romae – Store-Definitionen v0.9</x:v>
      </x:c>
    </x:row>
    <x:row r="2">
      <x:c r="A2" s="176" t="str">
        <x:v>Ein kanonisches Store-Schema für GDD, Questarbeitsmappe und GeoJSON. Stores sind eigene Game-Objekte an den referenzierten Kandidaten; Inventar ist pro Team unbegrenzt, nicht global.</x:v>
      </x:c>
      <x:c r="B2" s="176" t="str">
        <x:v>Ein kanonisches Store-Schema für GDD, Questarbeitsmappe und GeoJSON. Stores sind eigene Game-Objekte an den referenzierten Kandidaten; Inventar ist pro Team unbegrenzt, nicht global.</x:v>
      </x:c>
      <x:c r="C2" s="176" t="str">
        <x:v>Ein kanonisches Store-Schema für GDD, Questarbeitsmappe und GeoJSON. Stores sind eigene Game-Objekte an den referenzierten Kandidaten; Inventar ist pro Team unbegrenzt, nicht global.</x:v>
      </x:c>
      <x:c r="D2" s="176" t="str">
        <x:v>Ein kanonisches Store-Schema für GDD, Questarbeitsmappe und GeoJSON. Stores sind eigene Game-Objekte an den referenzierten Kandidaten; Inventar ist pro Team unbegrenzt, nicht global.</x:v>
      </x:c>
      <x:c r="E2" s="176" t="str">
        <x:v>Ein kanonisches Store-Schema für GDD, Questarbeitsmappe und GeoJSON. Stores sind eigene Game-Objekte an den referenzierten Kandidaten; Inventar ist pro Team unbegrenzt, nicht global.</x:v>
      </x:c>
      <x:c r="F2" s="176" t="str">
        <x:v>Ein kanonisches Store-Schema für GDD, Questarbeitsmappe und GeoJSON. Stores sind eigene Game-Objekte an den referenzierten Kandidaten; Inventar ist pro Team unbegrenzt, nicht global.</x:v>
      </x:c>
      <x:c r="G2" s="176" t="str">
        <x:v>Ein kanonisches Store-Schema für GDD, Questarbeitsmappe und GeoJSON. Stores sind eigene Game-Objekte an den referenzierten Kandidaten; Inventar ist pro Team unbegrenzt, nicht global.</x:v>
      </x:c>
      <x:c r="H2" s="176" t="str">
        <x:v>Ein kanonisches Store-Schema für GDD, Questarbeitsmappe und GeoJSON. Stores sind eigene Game-Objekte an den referenzierten Kandidaten; Inventar ist pro Team unbegrenzt, nicht global.</x:v>
      </x:c>
      <x:c r="I2" s="176" t="str">
        <x:v>Ein kanonisches Store-Schema für GDD, Questarbeitsmappe und GeoJSON. Stores sind eigene Game-Objekte an den referenzierten Kandidaten; Inventar ist pro Team unbegrenzt, nicht global.</x:v>
      </x:c>
    </x:row>
    <x:row r="4" ht="26.399999618530273" hidden="0" customHeight="1">
      <x:c r="A4" s="165" t="str">
        <x:v>Store-ID</x:v>
      </x:c>
      <x:c r="B4" s="165" t="str">
        <x:v>Tag</x:v>
      </x:c>
      <x:c r="C4" s="165" t="str">
        <x:v>Kandidaten-ID</x:v>
      </x:c>
      <x:c r="D4" s="165" t="str">
        <x:v>Ort</x:v>
      </x:c>
      <x:c r="E4" s="165" t="str">
        <x:v>Zugang</x:v>
      </x:c>
      <x:c r="F4" s="165" t="str">
        <x:v>Inventar-Scope</x:v>
      </x:c>
      <x:c r="G4" s="165" t="str">
        <x:v>Sortiment</x:v>
      </x:c>
      <x:c r="H4" s="165" t="str">
        <x:v>Verkauf</x:v>
      </x:c>
      <x:c r="I4" s="165" t="str">
        <x:v>Content-Status</x:v>
      </x:c>
    </x:row>
    <x:row r="5" ht="132" hidden="0" customHeight="1">
      <x:c r="A5" s="168" t="str">
        <x:v>STORE-D1-01</x:v>
      </x:c>
      <x:c r="B5" s="168" t="str">
        <x:v>DAY_1</x:v>
      </x:c>
      <x:c r="C5" s="168" t="str">
        <x:v>place_day_1_castel_sant_angelo</x:v>
      </x:c>
      <x:c r="D5" s="168" t="str">
        <x:v>Engelsburg</x:v>
      </x:c>
      <x:c r="E5" s="168" t="str">
        <x:v>500 m sichtbar / 15 m interaktiv</x:v>
      </x:c>
      <x:c r="F5" s="168" t="str">
        <x:v>TEAM_UNLIMITED</x:v>
      </x:c>
      <x:c r="G5" s="168" t="str">
        <x:v>N/R allgemein; SR spezialisiert; SSR Tag 2; E/L nicht kaufbar</x:v>
      </x:c>
      <x:c r="H5" s="168" t="str">
        <x:v>15 % Referenzpreis, auf 5 Denare gerundet; questLocked/gebunden/ausgerüstet geschützt</x:v>
      </x:c>
      <x:c r="I5" s="168" t="str">
        <x:v>EDITORIAL_REVIEW</x:v>
      </x:c>
    </x:row>
    <x:row r="6" ht="132" hidden="0" customHeight="1">
      <x:c r="A6" s="168" t="str">
        <x:v>STORE-D1-02</x:v>
      </x:c>
      <x:c r="B6" s="168" t="str">
        <x:v>DAY_1</x:v>
      </x:c>
      <x:c r="C6" s="168" t="str">
        <x:v>place_day_1_piazza_navona</x:v>
      </x:c>
      <x:c r="D6" s="168" t="str">
        <x:v>Piazza Navona</x:v>
      </x:c>
      <x:c r="E6" s="168" t="str">
        <x:v>500 m sichtbar / 15 m interaktiv</x:v>
      </x:c>
      <x:c r="F6" s="168" t="str">
        <x:v>TEAM_UNLIMITED</x:v>
      </x:c>
      <x:c r="G6" s="168" t="str">
        <x:v>N/R allgemein; SR spezialisiert; SSR Tag 2; E/L nicht kaufbar</x:v>
      </x:c>
      <x:c r="H6" s="168" t="str">
        <x:v>15 % Referenzpreis, auf 5 Denare gerundet; questLocked/gebunden/ausgerüstet geschützt</x:v>
      </x:c>
      <x:c r="I6" s="168" t="str">
        <x:v>EDITORIAL_REVIEW</x:v>
      </x:c>
    </x:row>
    <x:row r="7" ht="132" hidden="0" customHeight="1">
      <x:c r="A7" s="168" t="str">
        <x:v>STORE-D1-03</x:v>
      </x:c>
      <x:c r="B7" s="168" t="str">
        <x:v>DAY_1</x:v>
      </x:c>
      <x:c r="C7" s="168" t="str">
        <x:v>place_day_1_campo_de_fiori</x:v>
      </x:c>
      <x:c r="D7" s="168" t="str">
        <x:v>Campo de' Fiori</x:v>
      </x:c>
      <x:c r="E7" s="168" t="str">
        <x:v>500 m sichtbar / 15 m interaktiv</x:v>
      </x:c>
      <x:c r="F7" s="168" t="str">
        <x:v>TEAM_UNLIMITED</x:v>
      </x:c>
      <x:c r="G7" s="168" t="str">
        <x:v>N/R allgemein; SR spezialisiert; SSR Tag 2; E/L nicht kaufbar</x:v>
      </x:c>
      <x:c r="H7" s="168" t="str">
        <x:v>15 % Referenzpreis, auf 5 Denare gerundet; questLocked/gebunden/ausgerüstet geschützt</x:v>
      </x:c>
      <x:c r="I7" s="168" t="str">
        <x:v>EDITORIAL_REVIEW</x:v>
      </x:c>
    </x:row>
    <x:row r="8" ht="132" hidden="0" customHeight="1">
      <x:c r="A8" s="168" t="str">
        <x:v>STORE-D2-01</x:v>
      </x:c>
      <x:c r="B8" s="168" t="str">
        <x:v>DAY_2</x:v>
      </x:c>
      <x:c r="C8" s="168" t="str">
        <x:v>place_day_2_colosseo</x:v>
      </x:c>
      <x:c r="D8" s="168" t="str">
        <x:v>Kolosseum</x:v>
      </x:c>
      <x:c r="E8" s="168" t="str">
        <x:v>500 m sichtbar / 15 m interaktiv</x:v>
      </x:c>
      <x:c r="F8" s="168" t="str">
        <x:v>TEAM_UNLIMITED</x:v>
      </x:c>
      <x:c r="G8" s="168" t="str">
        <x:v>N/R allgemein; SR spezialisiert; SSR Tag 2; E/L nicht kaufbar</x:v>
      </x:c>
      <x:c r="H8" s="168" t="str">
        <x:v>15 % Referenzpreis, auf 5 Denare gerundet; questLocked/gebunden/ausgerüstet geschützt</x:v>
      </x:c>
      <x:c r="I8" s="168" t="str">
        <x:v>EDITORIAL_REVIEW</x:v>
      </x:c>
    </x:row>
    <x:row r="9" ht="132" hidden="0" customHeight="1">
      <x:c r="A9" s="168" t="str">
        <x:v>STORE-D2-02</x:v>
      </x:c>
      <x:c r="B9" s="168" t="str">
        <x:v>DAY_2</x:v>
      </x:c>
      <x:c r="C9" s="168" t="str">
        <x:v>place_day_2_piazza_vittorio_emanuele_secondo</x:v>
      </x:c>
      <x:c r="D9" s="168" t="str">
        <x:v>Piazza Vittorio Emanuele Secondo</x:v>
      </x:c>
      <x:c r="E9" s="168" t="str">
        <x:v>500 m sichtbar / 15 m interaktiv</x:v>
      </x:c>
      <x:c r="F9" s="168" t="str">
        <x:v>TEAM_UNLIMITED</x:v>
      </x:c>
      <x:c r="G9" s="168" t="str">
        <x:v>N/R allgemein; SR spezialisiert; SSR Tag 2; E/L nicht kaufbar</x:v>
      </x:c>
      <x:c r="H9" s="168" t="str">
        <x:v>15 % Referenzpreis, auf 5 Denare gerundet; questLocked/gebunden/ausgerüstet geschützt</x:v>
      </x:c>
      <x:c r="I9" s="168" t="str">
        <x:v>FIELD_CHECK_REQUIRED</x:v>
      </x:c>
    </x:row>
  </x:sheetData>
  <x:mergeCells>
    <x:mergeCell ref="A1:I1"/>
    <x:mergeCell ref="A2:I2"/>
  </x:mergeCells>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30" hidden="0" customWidth="1"/>
    <x:col min="2" max="2" width="24" hidden="0" customWidth="1"/>
    <x:col min="3" max="3" width="22" hidden="0" customWidth="1"/>
    <x:col min="4" max="4" width="30" hidden="0" customWidth="1"/>
    <x:col min="5" max="5" width="32" hidden="0" customWidth="1"/>
    <x:col min="6" max="6" width="22" hidden="0" customWidth="1"/>
    <x:col min="7" max="7" width="90" hidden="0" customWidth="1"/>
    <x:col min="8" max="8" width="75" hidden="0" customWidth="1"/>
    <x:col min="9" max="9" width="72" hidden="0" customWidth="1"/>
    <x:col min="10" max="10" width="12" hidden="0" customWidth="1"/>
    <x:col min="11" max="11" width="24" hidden="0" customWidth="1"/>
    <x:col min="12" max="12" width="22" hidden="0" customWidth="1"/>
    <x:col min="13" max="13" width="34" hidden="0" customWidth="1"/>
  </x:cols>
  <x:sheetData>
    <x:row r="1">
      <x:c r="A1" s="172" t="str">
        <x:v>Via Romae – Asset-Prompt-Register v0.9</x:v>
      </x:c>
      <x:c r="B1" s="172" t="str">
        <x:v>Via Romae – Asset-Prompt-Register v0.9</x:v>
      </x:c>
      <x:c r="C1" s="172" t="str">
        <x:v>Via Romae – Asset-Prompt-Register v0.9</x:v>
      </x:c>
      <x:c r="D1" s="172" t="str">
        <x:v>Via Romae – Asset-Prompt-Register v0.9</x:v>
      </x:c>
      <x:c r="E1" s="172" t="str">
        <x:v>Via Romae – Asset-Prompt-Register v0.9</x:v>
      </x:c>
      <x:c r="F1" s="172" t="str">
        <x:v>Via Romae – Asset-Prompt-Register v0.9</x:v>
      </x:c>
      <x:c r="G1" s="172" t="str">
        <x:v>Via Romae – Asset-Prompt-Register v0.9</x:v>
      </x:c>
      <x:c r="H1" s="172" t="str">
        <x:v>Via Romae – Asset-Prompt-Register v0.9</x:v>
      </x:c>
      <x:c r="I1" s="172" t="str">
        <x:v>Via Romae – Asset-Prompt-Register v0.9</x:v>
      </x:c>
      <x:c r="J1" s="172" t="str">
        <x:v>Via Romae – Asset-Prompt-Register v0.9</x:v>
      </x:c>
      <x:c r="K1" s="172" t="str">
        <x:v>Via Romae – Asset-Prompt-Register v0.9</x:v>
      </x:c>
      <x:c r="L1" s="172" t="str">
        <x:v>Via Romae – Asset-Prompt-Register v0.9</x:v>
      </x:c>
      <x:c r="M1" s="172" t="str">
        <x:v>Via Romae – Asset-Prompt-Register v0.9</x:v>
      </x:c>
    </x:row>
    <x:row r="2">
      <x:c r="A2" s="176" t="str">
        <x:v>Jeder in GDD §42.8 oder der Questarbeitsmappe vorgesehene Bild-/Startframe-Asset besitzt hier eine reproduzierbare Beschreibung. Animierte Assets nutzen 2–4 Sekunden, 1280×720 (720p) und einen nahtlosen Loop.</x:v>
      </x:c>
      <x:c r="B2" s="176" t="str">
        <x:v>Jeder in GDD §42.8 oder der Questarbeitsmappe vorgesehene Bild-/Startframe-Asset besitzt hier eine reproduzierbare Beschreibung. Animierte Assets nutzen 2–4 Sekunden, 1280×720 (720p) und einen nahtlosen Loop.</x:v>
      </x:c>
      <x:c r="C2" s="176" t="str">
        <x:v>Jeder in GDD §42.8 oder der Questarbeitsmappe vorgesehene Bild-/Startframe-Asset besitzt hier eine reproduzierbare Beschreibung. Animierte Assets nutzen 2–4 Sekunden, 1280×720 (720p) und einen nahtlosen Loop.</x:v>
      </x:c>
      <x:c r="D2" s="176" t="str">
        <x:v>Jeder in GDD §42.8 oder der Questarbeitsmappe vorgesehene Bild-/Startframe-Asset besitzt hier eine reproduzierbare Beschreibung. Animierte Assets nutzen 2–4 Sekunden, 1280×720 (720p) und einen nahtlosen Loop.</x:v>
      </x:c>
      <x:c r="E2" s="176" t="str">
        <x:v>Jeder in GDD §42.8 oder der Questarbeitsmappe vorgesehene Bild-/Startframe-Asset besitzt hier eine reproduzierbare Beschreibung. Animierte Assets nutzen 2–4 Sekunden, 1280×720 (720p) und einen nahtlosen Loop.</x:v>
      </x:c>
      <x:c r="F2" s="176" t="str">
        <x:v>Jeder in GDD §42.8 oder der Questarbeitsmappe vorgesehene Bild-/Startframe-Asset besitzt hier eine reproduzierbare Beschreibung. Animierte Assets nutzen 2–4 Sekunden, 1280×720 (720p) und einen nahtlosen Loop.</x:v>
      </x:c>
      <x:c r="G2" s="176" t="str">
        <x:v>Jeder in GDD §42.8 oder der Questarbeitsmappe vorgesehene Bild-/Startframe-Asset besitzt hier eine reproduzierbare Beschreibung. Animierte Assets nutzen 2–4 Sekunden, 1280×720 (720p) und einen nahtlosen Loop.</x:v>
      </x:c>
      <x:c r="H2" s="176" t="str">
        <x:v>Jeder in GDD §42.8 oder der Questarbeitsmappe vorgesehene Bild-/Startframe-Asset besitzt hier eine reproduzierbare Beschreibung. Animierte Assets nutzen 2–4 Sekunden, 1280×720 (720p) und einen nahtlosen Loop.</x:v>
      </x:c>
      <x:c r="I2" s="176" t="str">
        <x:v>Jeder in GDD §42.8 oder der Questarbeitsmappe vorgesehene Bild-/Startframe-Asset besitzt hier eine reproduzierbare Beschreibung. Animierte Assets nutzen 2–4 Sekunden, 1280×720 (720p) und einen nahtlosen Loop.</x:v>
      </x:c>
      <x:c r="J2" s="176" t="str">
        <x:v>Jeder in GDD §42.8 oder der Questarbeitsmappe vorgesehene Bild-/Startframe-Asset besitzt hier eine reproduzierbare Beschreibung. Animierte Assets nutzen 2–4 Sekunden, 1280×720 (720p) und einen nahtlosen Loop.</x:v>
      </x:c>
      <x:c r="K2" s="176" t="str">
        <x:v>Jeder in GDD §42.8 oder der Questarbeitsmappe vorgesehene Bild-/Startframe-Asset besitzt hier eine reproduzierbare Beschreibung. Animierte Assets nutzen 2–4 Sekunden, 1280×720 (720p) und einen nahtlosen Loop.</x:v>
      </x:c>
      <x:c r="L2" s="176" t="str">
        <x:v>Jeder in GDD §42.8 oder der Questarbeitsmappe vorgesehene Bild-/Startframe-Asset besitzt hier eine reproduzierbare Beschreibung. Animierte Assets nutzen 2–4 Sekunden, 1280×720 (720p) und einen nahtlosen Loop.</x:v>
      </x:c>
      <x:c r="M2" s="176" t="str">
        <x:v>Jeder in GDD §42.8 oder der Questarbeitsmappe vorgesehene Bild-/Startframe-Asset besitzt hier eine reproduzierbare Beschreibung. Animierte Assets nutzen 2–4 Sekunden, 1280×720 (720p) und einen nahtlosen Loop.</x:v>
      </x:c>
    </x:row>
    <x:row r="4" ht="15" hidden="0" customHeight="1">
      <x:c r="A4" s="165" t="str">
        <x:v>Asset-ID</x:v>
      </x:c>
      <x:c r="B4" s="165" t="str">
        <x:v>Asset-Typ</x:v>
      </x:c>
      <x:c r="C4" s="165" t="str">
        <x:v>Quellenblatt</x:v>
      </x:c>
      <x:c r="D4" s="165" t="str">
        <x:v>Subject-ID</x:v>
      </x:c>
      <x:c r="E4" s="165" t="str">
        <x:v>Subject</x:v>
      </x:c>
      <x:c r="F4" s="165" t="str">
        <x:v>Variante / Stage</x:v>
      </x:c>
      <x:c r="G4" s="165" t="str">
        <x:v>Prompt-Beschreibung</x:v>
      </x:c>
      <x:c r="H4" s="165" t="str">
        <x:v>Stance / Pose</x:v>
      </x:c>
      <x:c r="I4" s="165" t="str">
        <x:v>Motion-/Loop-Instruktion</x:v>
      </x:c>
      <x:c r="J4" s="165" t="str">
        <x:v>Dauer (s)</x:v>
      </x:c>
      <x:c r="K4" s="165" t="str">
        <x:v>Ausgabe</x:v>
      </x:c>
      <x:c r="L4" s="165" t="str">
        <x:v>Content-Status</x:v>
      </x:c>
      <x:c r="M4" s="165" t="str">
        <x:v>Querverweis</x:v>
      </x:c>
    </x:row>
    <x:row r="5" ht="66" hidden="0" customHeight="1">
      <x:c r="A5" s="168" t="str">
        <x:v>CHAR-PORTRAIT:npc_konrad_schildwacht</x:v>
      </x:c>
      <x:c r="B5" s="168" t="str">
        <x:v>CHARACTER_PORTRAIT</x:v>
      </x:c>
      <x:c r="C5" s="168" t="str">
        <x:v>Charaktere!L</x:v>
      </x:c>
      <x:c r="D5" s="168" t="str">
        <x:v>npc_konrad_schildwacht</x:v>
      </x:c>
      <x:c r="E5" s="168" t="str">
        <x:v>Konrad von der letzten Schildwacht</x:v>
      </x:c>
      <x:c r="F5" s="168" t="str">
        <x:v>PORTRAIT</x:v>
      </x:c>
      <x:c r="G5" s="168" t="str">
        <x:v>Mobile-RPG-Charakterporträt, Ganzkörper oder Dreiviertelfigur, Renaissance-/Rom-Fantasy mit historisch plausiblen Materialien, junger Gardist in renaissancezeitlicher blau-gelb-roter Uniform, dunkler Brustharnisch, Hellebarde, staubiger Umhang, ruhiger konzentrierter Blick. Stimmung: angespannt und wachsam. Klare Silhouette, neutraler atmosphärischer Hintergrund, warmes Gold und dunkle Erdtöne, keine Schrift, kein Logo, keine moderne Kleidung, keine Fotokopie einer realen Person.</x:v>
      </x:c>
      <x:c r="H5" s="168" t="str">
        <x:v>Startframe für die zugehörigen Stances</x:v>
      </x:c>
      <x:c r="I5" s="168" t="str">
        <x:v>STATIC_STARTFRAME</x:v>
      </x:c>
      <x:c r="J5" s="168" t="str"/>
      <x:c r="K5" s="168" t="str">
        <x:v>1280×720 Master + mobile Crops</x:v>
      </x:c>
      <x:c r="L5" s="168" t="str">
        <x:v>EDITORIAL_REVIEW</x:v>
      </x:c>
      <x:c r="M5" s="168" t="str">
        <x:v>Charaktere!L5</x:v>
      </x:c>
    </x:row>
    <x:row r="6" ht="66" hidden="0" customHeight="1">
      <x:c r="A6" s="168" t="str">
        <x:v>STANCE:npc_konrad_schildwacht:IDLE_READY</x:v>
      </x:c>
      <x:c r="B6" s="168" t="str">
        <x:v>CHARACTER_STANCE</x:v>
      </x:c>
      <x:c r="C6" s="168" t="str">
        <x:v>Charaktere!P:S</x:v>
      </x:c>
      <x:c r="D6" s="168" t="str">
        <x:v>npc_konrad_schildwacht</x:v>
      </x:c>
      <x:c r="E6" s="168" t="str">
        <x:v>Konrad von der letzten Schildwacht</x:v>
      </x:c>
      <x:c r="F6" s="168" t="str">
        <x:v>IDLE_READY</x:v>
      </x:c>
      <x:c r="G6" s="168" t="str">
        <x:v>Mobile-RPG-Charakterporträt, Ganzkörper oder Dreiviertelfigur, Renaissance-/Rom-Fantasy mit historisch plausiblen Materialien, junger Gardist in renaissancezeitlicher blau-gelb-roter Uniform, dunkler Brustharnisch, Hellebarde, staubiger Umhang, ruhiger konzentrierter Blick. Stimmung: angespannt und wachsam. Klare Silhouette, neutraler atmosphärischer Hintergrund, warmes Gold und dunkle Erdtöne, keine Schrift, kein Logo, keine moderne Kleidung, keine Fotokopie einer realen Person.</x:v>
      </x:c>
      <x:c r="H6" s="168" t="str">
        <x:v>Ruhige Bereitschaft: aufrechter Stand, Gewicht leicht verlagert, Blick aufmerksam; junger Gardist in renaissancezeitlicher blau-gelb-roter Uniform, dunkler Brustharnisch, Hellebarde, staubiger Umhang, ruhiger konzentrierter Blick.</x:v>
      </x:c>
      <x:c r="I6" s="168" t="str">
        <x:v>Add a simple looping idle motion; 2–4 s; seamless loop; 1280×720 (720p); subtle breathing, cloth/light motion and preserved silhouette; no camera move, no text, no new objects.</x:v>
      </x:c>
      <x:c r="J6" s="168" t="str">
        <x:v>2–4</x:v>
      </x:c>
      <x:c r="K6" s="168" t="str">
        <x:v>1280×720 (720p)</x:v>
      </x:c>
      <x:c r="L6" s="168" t="str">
        <x:v>EDITORIAL_REVIEW</x:v>
      </x:c>
      <x:c r="M6" s="168" t="str">
        <x:v>Stances!A5</x:v>
      </x:c>
    </x:row>
    <x:row r="7" ht="66" hidden="0" customHeight="1">
      <x:c r="A7" s="168" t="str">
        <x:v>CHAR-PORTRAIT:npc_capitano_malatesta</x:v>
      </x:c>
      <x:c r="B7" s="168" t="str">
        <x:v>CHARACTER_PORTRAIT</x:v>
      </x:c>
      <x:c r="C7" s="168" t="str">
        <x:v>Charaktere!L</x:v>
      </x:c>
      <x:c r="D7" s="168" t="str">
        <x:v>npc_capitano_malatesta</x:v>
      </x:c>
      <x:c r="E7" s="168" t="str">
        <x:v>Capitano Malatesta</x:v>
      </x:c>
      <x:c r="F7" s="168" t="str">
        <x:v>PORTRAIT</x:v>
      </x:c>
      <x:c r="G7" s="168" t="str">
        <x:v>Mobile-RPG-Charakterporträt, Ganzkörper oder Dreiviertelfigur, Renaissance-/Rom-Fantasy mit historisch plausiblen Materialien, älterer italienischer Söldnerhauptmann, scharlachroter Mantel über dunkler Plattenrüstung, Federbarett, gepflegter Schnurrbart, Kartenrolle und Katzengrinsen. Stimmung: spöttisch gelangweilt. Klare Silhouette, neutraler atmosphärischer Hintergrund, warmes Gold und dunkle Erdtöne, keine Schrift, kein Logo, keine moderne Kleidung, keine Fotokopie einer realen Person.</x:v>
      </x:c>
      <x:c r="H7" s="168" t="str">
        <x:v>Startframe für die zugehörigen Stances</x:v>
      </x:c>
      <x:c r="I7" s="168" t="str">
        <x:v>STATIC_STARTFRAME</x:v>
      </x:c>
      <x:c r="J7" s="168" t="str"/>
      <x:c r="K7" s="168" t="str">
        <x:v>1280×720 Master + mobile Crops</x:v>
      </x:c>
      <x:c r="L7" s="168" t="str">
        <x:v>EDITORIAL_REVIEW</x:v>
      </x:c>
      <x:c r="M7" s="168" t="str">
        <x:v>Charaktere!L6</x:v>
      </x:c>
    </x:row>
    <x:row r="8" ht="66" hidden="0" customHeight="1">
      <x:c r="A8" s="168" t="str">
        <x:v>STANCE:npc_capitano_malatesta:IDLE_READY</x:v>
      </x:c>
      <x:c r="B8" s="168" t="str">
        <x:v>CHARACTER_STANCE</x:v>
      </x:c>
      <x:c r="C8" s="168" t="str">
        <x:v>Charaktere!P:S</x:v>
      </x:c>
      <x:c r="D8" s="168" t="str">
        <x:v>npc_capitano_malatesta</x:v>
      </x:c>
      <x:c r="E8" s="168" t="str">
        <x:v>Capitano Malatesta</x:v>
      </x:c>
      <x:c r="F8" s="168" t="str">
        <x:v>IDLE_READY</x:v>
      </x:c>
      <x:c r="G8" s="168" t="str">
        <x:v>Mobile-RPG-Charakterporträt, Ganzkörper oder Dreiviertelfigur, Renaissance-/Rom-Fantasy mit historisch plausiblen Materialien, älterer italienischer Söldnerhauptmann, scharlachroter Mantel über dunkler Plattenrüstung, Federbarett, gepflegter Schnurrbart, Kartenrolle und Katzengrinsen. Stimmung: spöttisch gelangweilt. Klare Silhouette, neutraler atmosphärischer Hintergrund, warmes Gold und dunkle Erdtöne, keine Schrift, kein Logo, keine moderne Kleidung, keine Fotokopie einer realen Person.</x:v>
      </x:c>
      <x:c r="H8" s="168" t="str">
        <x:v>Ruhige Bereitschaft: aufrechter Stand, Gewicht leicht verlagert, Blick aufmerksam; älterer italienischer Söldnerhauptmann, scharlachroter Mantel über dunkler Plattenrüstung, Federbarett, gepflegter Schnurrbart, Kartenrolle und Katzengrinsen.</x:v>
      </x:c>
      <x:c r="I8" s="168" t="str">
        <x:v>Add a simple looping idle motion; 2–4 s; seamless loop; 1280×720 (720p); subtle breathing, cloth/light motion and preserved silhouette; no camera move, no text, no new objects.</x:v>
      </x:c>
      <x:c r="J8" s="168" t="str">
        <x:v>2–4</x:v>
      </x:c>
      <x:c r="K8" s="168" t="str">
        <x:v>1280×720 (720p)</x:v>
      </x:c>
      <x:c r="L8" s="168" t="str">
        <x:v>EDITORIAL_REVIEW</x:v>
      </x:c>
      <x:c r="M8" s="168" t="str">
        <x:v>Stances!A6</x:v>
      </x:c>
    </x:row>
    <x:row r="9" ht="66" hidden="0" customHeight="1">
      <x:c r="A9" s="168" t="str">
        <x:v>CHAR-PORTRAIT:npc_flaminia_trivium</x:v>
      </x:c>
      <x:c r="B9" s="168" t="str">
        <x:v>CHARACTER_PORTRAIT</x:v>
      </x:c>
      <x:c r="C9" s="168" t="str">
        <x:v>Charaktere!L</x:v>
      </x:c>
      <x:c r="D9" s="168" t="str">
        <x:v>npc_flaminia_trivium</x:v>
      </x:c>
      <x:c r="E9" s="168" t="str">
        <x:v>Flaminia vom Dreizack</x:v>
      </x:c>
      <x:c r="F9" s="168" t="str">
        <x:v>PORTRAIT</x:v>
      </x:c>
      <x:c r="G9" s="168" t="str">
        <x:v>Mobile-RPG-Charakterporträt, Ganzkörper oder Dreiviertelfigur, Renaissance-/Rom-Fantasy mit historisch plausiblen Materialien, junge römische Stadtbotin, sandfarbener Reisemantel, drei bronzene Wegnadeln im Haar, kleine Kartenfragmente, wacher Blick, Wind bewegt den Stoff. Stimmung: spielerisch ungeduldig. Klare Silhouette, neutraler atmosphärischer Hintergrund, warmes Gold und dunkle Erdtöne, keine Schrift, kein Logo, keine moderne Kleidung, keine Fotokopie einer realen Person.</x:v>
      </x:c>
      <x:c r="H9" s="168" t="str">
        <x:v>Startframe für die zugehörigen Stances</x:v>
      </x:c>
      <x:c r="I9" s="168" t="str">
        <x:v>STATIC_STARTFRAME</x:v>
      </x:c>
      <x:c r="J9" s="168" t="str"/>
      <x:c r="K9" s="168" t="str">
        <x:v>1280×720 Master + mobile Crops</x:v>
      </x:c>
      <x:c r="L9" s="168" t="str">
        <x:v>EDITORIAL_REVIEW</x:v>
      </x:c>
      <x:c r="M9" s="168" t="str">
        <x:v>Charaktere!L7</x:v>
      </x:c>
    </x:row>
    <x:row r="10" ht="66" hidden="0" customHeight="1">
      <x:c r="A10" s="168" t="str">
        <x:v>STANCE:npc_flaminia_trivium:IDLE_READY</x:v>
      </x:c>
      <x:c r="B10" s="168" t="str">
        <x:v>CHARACTER_STANCE</x:v>
      </x:c>
      <x:c r="C10" s="168" t="str">
        <x:v>Charaktere!P:S</x:v>
      </x:c>
      <x:c r="D10" s="168" t="str">
        <x:v>npc_flaminia_trivium</x:v>
      </x:c>
      <x:c r="E10" s="168" t="str">
        <x:v>Flaminia vom Dreizack</x:v>
      </x:c>
      <x:c r="F10" s="168" t="str">
        <x:v>IDLE_READY</x:v>
      </x:c>
      <x:c r="G10" s="168" t="str">
        <x:v>Mobile-RPG-Charakterporträt, Ganzkörper oder Dreiviertelfigur, Renaissance-/Rom-Fantasy mit historisch plausiblen Materialien, junge römische Stadtbotin, sandfarbener Reisemantel, drei bronzene Wegnadeln im Haar, kleine Kartenfragmente, wacher Blick, Wind bewegt den Stoff. Stimmung: spielerisch ungeduldig. Klare Silhouette, neutraler atmosphärischer Hintergrund, warmes Gold und dunkle Erdtöne, keine Schrift, kein Logo, keine moderne Kleidung, keine Fotokopie einer realen Person.</x:v>
      </x:c>
      <x:c r="H10" s="168" t="str">
        <x:v>Ruhige Bereitschaft: aufrechter Stand, Gewicht leicht verlagert, Blick aufmerksam; junge römische Stadtbotin, sandfarbener Reisemantel, drei bronzene Wegnadeln im Haar, kleine Kartenfragmente, wacher Blick, Wind bewegt den Stoff.</x:v>
      </x:c>
      <x:c r="I10" s="168" t="str">
        <x:v>Add a simple looping idle motion; 2–4 s; seamless loop; 1280×720 (720p); subtle breathing, cloth/light motion and preserved silhouette; no camera move, no text, no new objects.</x:v>
      </x:c>
      <x:c r="J10" s="168" t="str">
        <x:v>2–4</x:v>
      </x:c>
      <x:c r="K10" s="168" t="str">
        <x:v>1280×720 (720p)</x:v>
      </x:c>
      <x:c r="L10" s="168" t="str">
        <x:v>EDITORIAL_REVIEW</x:v>
      </x:c>
      <x:c r="M10" s="168" t="str">
        <x:v>Stances!A7</x:v>
      </x:c>
    </x:row>
    <x:row r="11" ht="66" hidden="0" customHeight="1">
      <x:c r="A11" s="168" t="str">
        <x:v>CHAR-PORTRAIT:npc_seshat_pincio</x:v>
      </x:c>
      <x:c r="B11" s="168" t="str">
        <x:v>CHARACTER_PORTRAIT</x:v>
      </x:c>
      <x:c r="C11" s="168" t="str">
        <x:v>Charaktere!L</x:v>
      </x:c>
      <x:c r="D11" s="168" t="str">
        <x:v>npc_seshat_pincio</x:v>
      </x:c>
      <x:c r="E11" s="168" t="str">
        <x:v>Seshat vom Pincio</x:v>
      </x:c>
      <x:c r="F11" s="168" t="str">
        <x:v>PORTRAIT</x:v>
      </x:c>
      <x:c r="G11" s="168" t="str">
        <x:v>Mobile-RPG-Charakterporträt, Ganzkörper oder Dreiviertelfigur, Renaissance-/Rom-Fantasy mit historisch plausiblen Materialien, ägyptisch-römische Schreiberin als geisterhafte Steinfigur, Leinengewand, Schreibpalette, Sternsymbol im Haar, blassgoldene Hieroglyphen leuchten auf Armen. Stimmung: kühl besorgt. Klare Silhouette, neutraler atmosphärischer Hintergrund, warmes Gold und dunkle Erdtöne, keine Schrift, kein Logo, keine moderne Kleidung, keine Fotokopie einer realen Person.</x:v>
      </x:c>
      <x:c r="H11" s="168" t="str">
        <x:v>Startframe für die zugehörigen Stances</x:v>
      </x:c>
      <x:c r="I11" s="168" t="str">
        <x:v>STATIC_STARTFRAME</x:v>
      </x:c>
      <x:c r="J11" s="168" t="str"/>
      <x:c r="K11" s="168" t="str">
        <x:v>1280×720 Master + mobile Crops</x:v>
      </x:c>
      <x:c r="L11" s="168" t="str">
        <x:v>EDITORIAL_REVIEW</x:v>
      </x:c>
      <x:c r="M11" s="168" t="str">
        <x:v>Charaktere!L8</x:v>
      </x:c>
    </x:row>
    <x:row r="12" ht="66" hidden="0" customHeight="1">
      <x:c r="A12" s="168" t="str">
        <x:v>STANCE:npc_seshat_pincio:IDLE_READY</x:v>
      </x:c>
      <x:c r="B12" s="168" t="str">
        <x:v>CHARACTER_STANCE</x:v>
      </x:c>
      <x:c r="C12" s="168" t="str">
        <x:v>Charaktere!P:S</x:v>
      </x:c>
      <x:c r="D12" s="168" t="str">
        <x:v>npc_seshat_pincio</x:v>
      </x:c>
      <x:c r="E12" s="168" t="str">
        <x:v>Seshat vom Pincio</x:v>
      </x:c>
      <x:c r="F12" s="168" t="str">
        <x:v>IDLE_READY</x:v>
      </x:c>
      <x:c r="G12" s="168" t="str">
        <x:v>Mobile-RPG-Charakterporträt, Ganzkörper oder Dreiviertelfigur, Renaissance-/Rom-Fantasy mit historisch plausiblen Materialien, ägyptisch-römische Schreiberin als geisterhafte Steinfigur, Leinengewand, Schreibpalette, Sternsymbol im Haar, blassgoldene Hieroglyphen leuchten auf Armen. Stimmung: kühl besorgt. Klare Silhouette, neutraler atmosphärischer Hintergrund, warmes Gold und dunkle Erdtöne, keine Schrift, kein Logo, keine moderne Kleidung, keine Fotokopie einer realen Person.</x:v>
      </x:c>
      <x:c r="H12" s="168" t="str">
        <x:v>Schreiberhaltung: Schreibpalette oder Pergament vor dem Körper, Kopf leicht geneigt, konzentrierte Hände; ägyptisch-römische Schreiberin als geisterhafte Steinfigur, Leinengewand, Schreibpalette, Sternsymbol im Haar, blassgoldene Hieroglyphen leuchten auf Armen.</x:v>
      </x:c>
      <x:c r="I12" s="168" t="str">
        <x:v>Add a simple looping idle motion; 2–4 s; seamless loop; 1280×720 (720p); subtle breathing, cloth/light motion and preserved silhouette; no camera move, no text, no new objects.</x:v>
      </x:c>
      <x:c r="J12" s="168" t="str">
        <x:v>2–4</x:v>
      </x:c>
      <x:c r="K12" s="168" t="str">
        <x:v>1280×720 (720p)</x:v>
      </x:c>
      <x:c r="L12" s="168" t="str">
        <x:v>EDITORIAL_REVIEW</x:v>
      </x:c>
      <x:c r="M12" s="168" t="str">
        <x:v>Stances!A8</x:v>
      </x:c>
    </x:row>
    <x:row r="13" ht="66" hidden="0" customHeight="1">
      <x:c r="A13" s="168" t="str">
        <x:v>CHAR-PORTRAIT:npc_barcaccia</x:v>
      </x:c>
      <x:c r="B13" s="168" t="str">
        <x:v>CHARACTER_PORTRAIT</x:v>
      </x:c>
      <x:c r="C13" s="168" t="str">
        <x:v>Charaktere!L</x:v>
      </x:c>
      <x:c r="D13" s="168" t="str">
        <x:v>npc_barcaccia</x:v>
      </x:c>
      <x:c r="E13" s="168" t="str">
        <x:v>La Barcaccia</x:v>
      </x:c>
      <x:c r="F13" s="168" t="str">
        <x:v>PORTRAIT</x:v>
      </x:c>
      <x:c r="G13" s="168" t="str">
        <x:v>Mobile-RPG-Charakterporträt, Ganzkörper oder Dreiviertelfigur, Renaissance-/Rom-Fantasy mit historisch plausiblen Materialien, kleiner Wassergeist in Form eines halb im Becken liegenden steinernen Boots, Gesicht aus Wasserreflexen, winziger Kapitänshut, barocke Ornamente. Stimmung: theatralisch gekränkt. Klare Silhouette, neutraler atmosphärischer Hintergrund, warmes Gold und dunkle Erdtöne, keine Schrift, kein Logo, keine moderne Kleidung, keine Fotokopie einer realen Person.</x:v>
      </x:c>
      <x:c r="H13" s="168" t="str">
        <x:v>Startframe für die zugehörigen Stances</x:v>
      </x:c>
      <x:c r="I13" s="168" t="str">
        <x:v>STATIC_STARTFRAME</x:v>
      </x:c>
      <x:c r="J13" s="168" t="str"/>
      <x:c r="K13" s="168" t="str">
        <x:v>1280×720 Master + mobile Crops</x:v>
      </x:c>
      <x:c r="L13" s="168" t="str">
        <x:v>EDITORIAL_REVIEW</x:v>
      </x:c>
      <x:c r="M13" s="168" t="str">
        <x:v>Charaktere!L9</x:v>
      </x:c>
    </x:row>
    <x:row r="14" ht="66" hidden="0" customHeight="1">
      <x:c r="A14" s="168" t="str">
        <x:v>STANCE:npc_barcaccia:IDLE_READY</x:v>
      </x:c>
      <x:c r="B14" s="168" t="str">
        <x:v>CHARACTER_STANCE</x:v>
      </x:c>
      <x:c r="C14" s="168" t="str">
        <x:v>Charaktere!P:S</x:v>
      </x:c>
      <x:c r="D14" s="168" t="str">
        <x:v>npc_barcaccia</x:v>
      </x:c>
      <x:c r="E14" s="168" t="str">
        <x:v>La Barcaccia</x:v>
      </x:c>
      <x:c r="F14" s="168" t="str">
        <x:v>IDLE_READY</x:v>
      </x:c>
      <x:c r="G14" s="168" t="str">
        <x:v>Mobile-RPG-Charakterporträt, Ganzkörper oder Dreiviertelfigur, Renaissance-/Rom-Fantasy mit historisch plausiblen Materialien, kleiner Wassergeist in Form eines halb im Becken liegenden steinernen Boots, Gesicht aus Wasserreflexen, winziger Kapitänshut, barocke Ornamente. Stimmung: theatralisch gekränkt. Klare Silhouette, neutraler atmosphärischer Hintergrund, warmes Gold und dunkle Erdtöne, keine Schrift, kein Logo, keine moderne Kleidung, keine Fotokopie einer realen Person.</x:v>
      </x:c>
      <x:c r="H14" s="168" t="str">
        <x:v>Wasserwacht: ruhige, fliessende Haltung, Wasser- oder Schiffsanker deutlich sichtbar, leichte Wellenbewegung; kleiner Wassergeist in Form eines halb im Becken liegenden steinernen Boots, Gesicht aus Wasserreflexen, winziger Kapitänshut, barocke Ornamente.</x:v>
      </x:c>
      <x:c r="I14" s="168" t="str">
        <x:v>Add a simple looping idle motion; 2–4 s; seamless loop; 1280×720 (720p); subtle breathing, cloth/light motion and preserved silhouette; no camera move, no text, no new objects.</x:v>
      </x:c>
      <x:c r="J14" s="168" t="str">
        <x:v>2–4</x:v>
      </x:c>
      <x:c r="K14" s="168" t="str">
        <x:v>1280×720 (720p)</x:v>
      </x:c>
      <x:c r="L14" s="168" t="str">
        <x:v>EDITORIAL_REVIEW</x:v>
      </x:c>
      <x:c r="M14" s="168" t="str">
        <x:v>Stances!A9</x:v>
      </x:c>
    </x:row>
    <x:row r="15" ht="66" hidden="0" customHeight="1">
      <x:c r="A15" s="168" t="str">
        <x:v>CHAR-PORTRAIT:npc_bernini_echo</x:v>
      </x:c>
      <x:c r="B15" s="168" t="str">
        <x:v>CHARACTER_PORTRAIT</x:v>
      </x:c>
      <x:c r="C15" s="168" t="str">
        <x:v>Charaktere!L</x:v>
      </x:c>
      <x:c r="D15" s="168" t="str">
        <x:v>npc_bernini_echo</x:v>
      </x:c>
      <x:c r="E15" s="168" t="str">
        <x:v>Gian Lorenzo Bernini – Werkstattecho</x:v>
      </x:c>
      <x:c r="F15" s="168" t="str">
        <x:v>PORTRAIT</x:v>
      </x:c>
      <x:c r="G15" s="168" t="str">
        <x:v>Mobile-RPG-Charakterporträt, Ganzkörper oder Dreiviertelfigur, Renaissance-/Rom-Fantasy mit historisch plausiblen Materialien, italienischer Barockbildhauer mittleren Alters, lockiges dunkles Haar, feiner Bart, weißes Hemd mit hochgekrempelten Ärmeln, dunkle Weste, Meißel und Skizzenbuch, lebhafte Hände. Stimmung: kreativ gereizt. Klare Silhouette, neutraler atmosphärischer Hintergrund, warmes Gold und dunkle Erdtöne, keine Schrift, kein Logo, keine moderne Kleidung, keine Fotokopie einer realen Person.</x:v>
      </x:c>
      <x:c r="H15" s="168" t="str">
        <x:v>Startframe für die zugehörigen Stances</x:v>
      </x:c>
      <x:c r="I15" s="168" t="str">
        <x:v>STATIC_STARTFRAME</x:v>
      </x:c>
      <x:c r="J15" s="168" t="str"/>
      <x:c r="K15" s="168" t="str">
        <x:v>1280×720 Master + mobile Crops</x:v>
      </x:c>
      <x:c r="L15" s="168" t="str">
        <x:v>EDITORIAL_REVIEW</x:v>
      </x:c>
      <x:c r="M15" s="168" t="str">
        <x:v>Charaktere!L10</x:v>
      </x:c>
    </x:row>
    <x:row r="16" ht="66" hidden="0" customHeight="1">
      <x:c r="A16" s="168" t="str">
        <x:v>STANCE:npc_bernini_echo:IDLE_READY</x:v>
      </x:c>
      <x:c r="B16" s="168" t="str">
        <x:v>CHARACTER_STANCE</x:v>
      </x:c>
      <x:c r="C16" s="168" t="str">
        <x:v>Charaktere!P:S</x:v>
      </x:c>
      <x:c r="D16" s="168" t="str">
        <x:v>npc_bernini_echo</x:v>
      </x:c>
      <x:c r="E16" s="168" t="str">
        <x:v>Gian Lorenzo Bernini – Werkstattecho</x:v>
      </x:c>
      <x:c r="F16" s="168" t="str">
        <x:v>IDLE_READY</x:v>
      </x:c>
      <x:c r="G16" s="168" t="str">
        <x:v>Mobile-RPG-Charakterporträt, Ganzkörper oder Dreiviertelfigur, Renaissance-/Rom-Fantasy mit historisch plausiblen Materialien, italienischer Barockbildhauer mittleren Alters, lockiges dunkles Haar, feiner Bart, weißes Hemd mit hochgekrempelten Ärmeln, dunkle Weste, Meißel und Skizzenbuch, lebhafte Hände. Stimmung: kreativ gereizt. Klare Silhouette, neutraler atmosphärischer Hintergrund, warmes Gold und dunkle Erdtöne, keine Schrift, kein Logo, keine moderne Kleidung, keine Fotokopie einer realen Person.</x:v>
      </x:c>
      <x:c r="H16" s="168" t="str">
        <x:v>Ruhige Bereitschaft: aufrechter Stand, Gewicht leicht verlagert, Blick aufmerksam; italienischer Barockbildhauer mittleren Alters, lockiges dunkles Haar, feiner Bart, weißes Hemd mit hochgekrempelten Ärmeln, dunkle Weste, Meißel und Skizzenbuch, lebhafte Hände.</x:v>
      </x:c>
      <x:c r="I16" s="168" t="str">
        <x:v>Add a simple looping idle motion; 2–4 s; seamless loop; 1280×720 (720p); subtle breathing, cloth/light motion and preserved silhouette; no camera move, no text, no new objects.</x:v>
      </x:c>
      <x:c r="J16" s="168" t="str">
        <x:v>2–4</x:v>
      </x:c>
      <x:c r="K16" s="168" t="str">
        <x:v>1280×720 (720p)</x:v>
      </x:c>
      <x:c r="L16" s="168" t="str">
        <x:v>EDITORIAL_REVIEW</x:v>
      </x:c>
      <x:c r="M16" s="168" t="str">
        <x:v>Stances!A10</x:v>
      </x:c>
    </x:row>
    <x:row r="17" ht="52.79999923706055" hidden="0" customHeight="1">
      <x:c r="A17" s="168" t="str">
        <x:v>CHAR-PORTRAIT:npc_agrippa_echo</x:v>
      </x:c>
      <x:c r="B17" s="168" t="str">
        <x:v>CHARACTER_PORTRAIT</x:v>
      </x:c>
      <x:c r="C17" s="168" t="str">
        <x:v>Charaktere!L</x:v>
      </x:c>
      <x:c r="D17" s="168" t="str">
        <x:v>npc_agrippa_echo</x:v>
      </x:c>
      <x:c r="E17" s="168" t="str">
        <x:v>Marcus Agrippa – Echo der Inschrift</x:v>
      </x:c>
      <x:c r="F17" s="168" t="str">
        <x:v>PORTRAIT</x:v>
      </x:c>
      <x:c r="G17" s="168" t="str">
        <x:v>Mobile-RPG-Charakterporträt, Ganzkörper oder Dreiviertelfigur, Renaissance-/Rom-Fantasy mit historisch plausiblen Materialien, römischer Staatsmann in schlichter Toga, kantiges Gesicht, Wachstafel, bronzene Messschnur, Buchstaben AGRIPPA als schwaches Licht hinter ihm. Stimmung: skeptisch. Klare Silhouette, neutraler atmosphärischer Hintergrund, warmes Gold und dunkle Erdtöne, keine Schrift, kein Logo, keine moderne Kleidung, keine Fotokopie einer realen Person.</x:v>
      </x:c>
      <x:c r="H17" s="168" t="str">
        <x:v>Startframe für die zugehörigen Stances</x:v>
      </x:c>
      <x:c r="I17" s="168" t="str">
        <x:v>STATIC_STARTFRAME</x:v>
      </x:c>
      <x:c r="J17" s="168" t="str"/>
      <x:c r="K17" s="168" t="str">
        <x:v>1280×720 Master + mobile Crops</x:v>
      </x:c>
      <x:c r="L17" s="168" t="str">
        <x:v>EDITORIAL_REVIEW</x:v>
      </x:c>
      <x:c r="M17" s="168" t="str">
        <x:v>Charaktere!L11</x:v>
      </x:c>
    </x:row>
    <x:row r="18" ht="52.79999923706055" hidden="0" customHeight="1">
      <x:c r="A18" s="168" t="str">
        <x:v>STANCE:npc_agrippa_echo:IDLE_READY</x:v>
      </x:c>
      <x:c r="B18" s="168" t="str">
        <x:v>CHARACTER_STANCE</x:v>
      </x:c>
      <x:c r="C18" s="168" t="str">
        <x:v>Charaktere!P:S</x:v>
      </x:c>
      <x:c r="D18" s="168" t="str">
        <x:v>npc_agrippa_echo</x:v>
      </x:c>
      <x:c r="E18" s="168" t="str">
        <x:v>Marcus Agrippa – Echo der Inschrift</x:v>
      </x:c>
      <x:c r="F18" s="168" t="str">
        <x:v>IDLE_READY</x:v>
      </x:c>
      <x:c r="G18" s="168" t="str">
        <x:v>Mobile-RPG-Charakterporträt, Ganzkörper oder Dreiviertelfigur, Renaissance-/Rom-Fantasy mit historisch plausiblen Materialien, römischer Staatsmann in schlichter Toga, kantiges Gesicht, Wachstafel, bronzene Messschnur, Buchstaben AGRIPPA als schwaches Licht hinter ihm. Stimmung: skeptisch. Klare Silhouette, neutraler atmosphärischer Hintergrund, warmes Gold und dunkle Erdtöne, keine Schrift, kein Logo, keine moderne Kleidung, keine Fotokopie einer realen Person.</x:v>
      </x:c>
      <x:c r="H18" s="168" t="str">
        <x:v>Ruhige Bereitschaft: aufrechter Stand, Gewicht leicht verlagert, Blick aufmerksam; römischer Staatsmann in schlichter Toga, kantiges Gesicht, Wachstafel, bronzene Messschnur, Buchstaben AGRIPPA als schwaches Licht hinter ihm.</x:v>
      </x:c>
      <x:c r="I18" s="168" t="str">
        <x:v>Add a simple looping idle motion; 2–4 s; seamless loop; 1280×720 (720p); subtle breathing, cloth/light motion and preserved silhouette; no camera move, no text, no new objects.</x:v>
      </x:c>
      <x:c r="J18" s="168" t="str">
        <x:v>2–4</x:v>
      </x:c>
      <x:c r="K18" s="168" t="str">
        <x:v>1280×720 (720p)</x:v>
      </x:c>
      <x:c r="L18" s="168" t="str">
        <x:v>EDITORIAL_REVIEW</x:v>
      </x:c>
      <x:c r="M18" s="168" t="str">
        <x:v>Stances!A11</x:v>
      </x:c>
    </x:row>
    <x:row r="19" ht="66" hidden="0" customHeight="1">
      <x:c r="A19" s="168" t="str">
        <x:v>CHAR-PORTRAIT:npc_cassius_archivar</x:v>
      </x:c>
      <x:c r="B19" s="168" t="str">
        <x:v>CHARACTER_PORTRAIT</x:v>
      </x:c>
      <x:c r="C19" s="168" t="str">
        <x:v>Charaktere!L</x:v>
      </x:c>
      <x:c r="D19" s="168" t="str">
        <x:v>npc_cassius_archivar</x:v>
      </x:c>
      <x:c r="E19" s="168" t="str">
        <x:v>Cassius Spiralis</x:v>
      </x:c>
      <x:c r="F19" s="168" t="str">
        <x:v>PORTRAIT</x:v>
      </x:c>
      <x:c r="G19" s="168" t="str">
        <x:v>Mobile-RPG-Charakterporträt, Ganzkörper oder Dreiviertelfigur, Renaissance-/Rom-Fantasy mit historisch plausiblen Materialien, römischer Archivar mit ockerfarbener Tunika, Lederrollenbehälter, zwei Pergamente – eines mit Hieroglyphen, eines mit Spiralzeichnung –, Tintenflecken an den Fingern. Stimmung: überarbeitet. Klare Silhouette, neutraler atmosphärischer Hintergrund, warmes Gold und dunkle Erdtöne, keine Schrift, kein Logo, keine moderne Kleidung, keine Fotokopie einer realen Person.</x:v>
      </x:c>
      <x:c r="H19" s="168" t="str">
        <x:v>Startframe für die zugehörigen Stances</x:v>
      </x:c>
      <x:c r="I19" s="168" t="str">
        <x:v>STATIC_STARTFRAME</x:v>
      </x:c>
      <x:c r="J19" s="168" t="str"/>
      <x:c r="K19" s="168" t="str">
        <x:v>1280×720 Master + mobile Crops</x:v>
      </x:c>
      <x:c r="L19" s="168" t="str">
        <x:v>EDITORIAL_REVIEW</x:v>
      </x:c>
      <x:c r="M19" s="168" t="str">
        <x:v>Charaktere!L12</x:v>
      </x:c>
    </x:row>
    <x:row r="20" ht="66" hidden="0" customHeight="1">
      <x:c r="A20" s="168" t="str">
        <x:v>STANCE:npc_cassius_archivar:IDLE_READY</x:v>
      </x:c>
      <x:c r="B20" s="168" t="str">
        <x:v>CHARACTER_STANCE</x:v>
      </x:c>
      <x:c r="C20" s="168" t="str">
        <x:v>Charaktere!P:S</x:v>
      </x:c>
      <x:c r="D20" s="168" t="str">
        <x:v>npc_cassius_archivar</x:v>
      </x:c>
      <x:c r="E20" s="168" t="str">
        <x:v>Cassius Spiralis</x:v>
      </x:c>
      <x:c r="F20" s="168" t="str">
        <x:v>IDLE_READY</x:v>
      </x:c>
      <x:c r="G20" s="168" t="str">
        <x:v>Mobile-RPG-Charakterporträt, Ganzkörper oder Dreiviertelfigur, Renaissance-/Rom-Fantasy mit historisch plausiblen Materialien, römischer Archivar mit ockerfarbener Tunika, Lederrollenbehälter, zwei Pergamente – eines mit Hieroglyphen, eines mit Spiralzeichnung –, Tintenflecken an den Fingern. Stimmung: überarbeitet. Klare Silhouette, neutraler atmosphärischer Hintergrund, warmes Gold und dunkle Erdtöne, keine Schrift, kein Logo, keine moderne Kleidung, keine Fotokopie einer realen Person.</x:v>
      </x:c>
      <x:c r="H20" s="168" t="str">
        <x:v>Schreiberhaltung: Schreibpalette oder Pergament vor dem Körper, Kopf leicht geneigt, konzentrierte Hände; römischer Archivar mit ockerfarbener Tunika, Lederrollenbehälter, zwei Pergamente – eines mit Hieroglyphen, eines mit Spiralzeichnung –, Tintenflecken an den Fingern.</x:v>
      </x:c>
      <x:c r="I20" s="168" t="str">
        <x:v>Add a simple looping idle motion; 2–4 s; seamless loop; 1280×720 (720p); subtle breathing, cloth/light motion and preserved silhouette; no camera move, no text, no new objects.</x:v>
      </x:c>
      <x:c r="J20" s="168" t="str">
        <x:v>2–4</x:v>
      </x:c>
      <x:c r="K20" s="168" t="str">
        <x:v>1280×720 (720p)</x:v>
      </x:c>
      <x:c r="L20" s="168" t="str">
        <x:v>EDITORIAL_REVIEW</x:v>
      </x:c>
      <x:c r="M20" s="168" t="str">
        <x:v>Stances!A12</x:v>
      </x:c>
    </x:row>
    <x:row r="21" ht="66" hidden="0" customHeight="1">
      <x:c r="A21" s="168" t="str">
        <x:v>CHAR-PORTRAIT:npc_aqua_virgo</x:v>
      </x:c>
      <x:c r="B21" s="168" t="str">
        <x:v>CHARACTER_PORTRAIT</x:v>
      </x:c>
      <x:c r="C21" s="168" t="str">
        <x:v>Charaktere!L</x:v>
      </x:c>
      <x:c r="D21" s="168" t="str">
        <x:v>npc_aqua_virgo</x:v>
      </x:c>
      <x:c r="E21" s="168" t="str">
        <x:v>Aqua Virgo</x:v>
      </x:c>
      <x:c r="F21" s="168" t="str">
        <x:v>PORTRAIT</x:v>
      </x:c>
      <x:c r="G21" s="168" t="str">
        <x:v>Mobile-RPG-Charakterporträt, Ganzkörper oder Dreiviertelfigur, Renaissance-/Rom-Fantasy mit historisch plausiblen Materialien, römische Wasserhüterin aus klarem blaugrünem Wasser, Travertin-Schulterplatten, Muschelschmuck, Amphore, Lichtlinien wie Aquäduktkanäle im Gewand. Stimmung: empört und alarmiert. Klare Silhouette, neutraler atmosphärischer Hintergrund, warmes Gold und dunkle Erdtöne, keine Schrift, kein Logo, keine moderne Kleidung, keine Fotokopie einer realen Person.</x:v>
      </x:c>
      <x:c r="H21" s="168" t="str">
        <x:v>Startframe für die zugehörigen Stances</x:v>
      </x:c>
      <x:c r="I21" s="168" t="str">
        <x:v>STATIC_STARTFRAME</x:v>
      </x:c>
      <x:c r="J21" s="168" t="str"/>
      <x:c r="K21" s="168" t="str">
        <x:v>1280×720 Master + mobile Crops</x:v>
      </x:c>
      <x:c r="L21" s="168" t="str">
        <x:v>EDITORIAL_REVIEW</x:v>
      </x:c>
      <x:c r="M21" s="168" t="str">
        <x:v>Charaktere!L13</x:v>
      </x:c>
    </x:row>
    <x:row r="22" ht="66" hidden="0" customHeight="1">
      <x:c r="A22" s="168" t="str">
        <x:v>STANCE:npc_aqua_virgo:IDLE_READY</x:v>
      </x:c>
      <x:c r="B22" s="168" t="str">
        <x:v>CHARACTER_STANCE</x:v>
      </x:c>
      <x:c r="C22" s="168" t="str">
        <x:v>Charaktere!P:S</x:v>
      </x:c>
      <x:c r="D22" s="168" t="str">
        <x:v>npc_aqua_virgo</x:v>
      </x:c>
      <x:c r="E22" s="168" t="str">
        <x:v>Aqua Virgo</x:v>
      </x:c>
      <x:c r="F22" s="168" t="str">
        <x:v>IDLE_READY</x:v>
      </x:c>
      <x:c r="G22" s="168" t="str">
        <x:v>Mobile-RPG-Charakterporträt, Ganzkörper oder Dreiviertelfigur, Renaissance-/Rom-Fantasy mit historisch plausiblen Materialien, römische Wasserhüterin aus klarem blaugrünem Wasser, Travertin-Schulterplatten, Muschelschmuck, Amphore, Lichtlinien wie Aquäduktkanäle im Gewand. Stimmung: empört und alarmiert. Klare Silhouette, neutraler atmosphärischer Hintergrund, warmes Gold und dunkle Erdtöne, keine Schrift, kein Logo, keine moderne Kleidung, keine Fotokopie einer realen Person.</x:v>
      </x:c>
      <x:c r="H22" s="168" t="str">
        <x:v>Wasserwacht: ruhige, fliessende Haltung, Wasser- oder Schiffsanker deutlich sichtbar, leichte Wellenbewegung; römische Wasserhüterin aus klarem blaugrünem Wasser, Travertin-Schulterplatten, Muschelschmuck, Amphore, Lichtlinien wie Aquäduktkanäle im Gewand.</x:v>
      </x:c>
      <x:c r="I22" s="168" t="str">
        <x:v>Add a simple looping idle motion; 2–4 s; seamless loop; 1280×720 (720p); subtle breathing, cloth/light motion and preserved silhouette; no camera move, no text, no new objects.</x:v>
      </x:c>
      <x:c r="J22" s="168" t="str">
        <x:v>2–4</x:v>
      </x:c>
      <x:c r="K22" s="168" t="str">
        <x:v>1280×720 (720p)</x:v>
      </x:c>
      <x:c r="L22" s="168" t="str">
        <x:v>EDITORIAL_REVIEW</x:v>
      </x:c>
      <x:c r="M22" s="168" t="str">
        <x:v>Stances!A13</x:v>
      </x:c>
    </x:row>
    <x:row r="23" ht="66" hidden="0" customHeight="1">
      <x:c r="A23" s="168" t="str">
        <x:v>CHAR-PORTRAIT:npc_skanderbeg_echo</x:v>
      </x:c>
      <x:c r="B23" s="168" t="str">
        <x:v>CHARACTER_PORTRAIT</x:v>
      </x:c>
      <x:c r="C23" s="168" t="str">
        <x:v>Charaktere!L</x:v>
      </x:c>
      <x:c r="D23" s="168" t="str">
        <x:v>npc_skanderbeg_echo</x:v>
      </x:c>
      <x:c r="E23" s="168" t="str">
        <x:v>Skanderbeg – steinernes Echo</x:v>
      </x:c>
      <x:c r="F23" s="168" t="str">
        <x:v>PORTRAIT</x:v>
      </x:c>
      <x:c r="G23" s="168" t="str">
        <x:v>Mobile-RPG-Charakterporträt, Ganzkörper oder Dreiviertelfigur, Renaissance-/Rom-Fantasy mit historisch plausiblen Materialien, albanischer Renaissancefeldherr, dunkler Mantel, verzierter Helm mit Ziegenkopf-Silhouette, Schwertgurt, markantes Profil, steinerne Textur an einer Gesichtshälfte. Stimmung: misstrauisch. Klare Silhouette, neutraler atmosphärischer Hintergrund, warmes Gold und dunkle Erdtöne, keine Schrift, kein Logo, keine moderne Kleidung, keine Fotokopie einer realen Person.</x:v>
      </x:c>
      <x:c r="H23" s="168" t="str">
        <x:v>Startframe für die zugehörigen Stances</x:v>
      </x:c>
      <x:c r="I23" s="168" t="str">
        <x:v>STATIC_STARTFRAME</x:v>
      </x:c>
      <x:c r="J23" s="168" t="str"/>
      <x:c r="K23" s="168" t="str">
        <x:v>1280×720 Master + mobile Crops</x:v>
      </x:c>
      <x:c r="L23" s="168" t="str">
        <x:v>EDITORIAL_REVIEW</x:v>
      </x:c>
      <x:c r="M23" s="168" t="str">
        <x:v>Charaktere!L14</x:v>
      </x:c>
    </x:row>
    <x:row r="24" ht="66" hidden="0" customHeight="1">
      <x:c r="A24" s="168" t="str">
        <x:v>STANCE:npc_skanderbeg_echo:IDLE_READY</x:v>
      </x:c>
      <x:c r="B24" s="168" t="str">
        <x:v>CHARACTER_STANCE</x:v>
      </x:c>
      <x:c r="C24" s="168" t="str">
        <x:v>Charaktere!P:S</x:v>
      </x:c>
      <x:c r="D24" s="168" t="str">
        <x:v>npc_skanderbeg_echo</x:v>
      </x:c>
      <x:c r="E24" s="168" t="str">
        <x:v>Skanderbeg – steinernes Echo</x:v>
      </x:c>
      <x:c r="F24" s="168" t="str">
        <x:v>IDLE_READY</x:v>
      </x:c>
      <x:c r="G24" s="168" t="str">
        <x:v>Mobile-RPG-Charakterporträt, Ganzkörper oder Dreiviertelfigur, Renaissance-/Rom-Fantasy mit historisch plausiblen Materialien, albanischer Renaissancefeldherr, dunkler Mantel, verzierter Helm mit Ziegenkopf-Silhouette, Schwertgurt, markantes Profil, steinerne Textur an einer Gesichtshälfte. Stimmung: misstrauisch. Klare Silhouette, neutraler atmosphärischer Hintergrund, warmes Gold und dunkle Erdtöne, keine Schrift, kein Logo, keine moderne Kleidung, keine Fotokopie einer realen Person.</x:v>
      </x:c>
      <x:c r="H24" s="168" t="str">
        <x:v>Kommandopose: eine Hand weist die Route, die andere hält das Rollenobjekt, fester sichernder Stand; albanischer Renaissancefeldherr, dunkler Mantel, verzierter Helm mit Ziegenkopf-Silhouette, Schwertgurt, markantes Profil, steinerne Textur an einer Gesichtshälfte.</x:v>
      </x:c>
      <x:c r="I24" s="168" t="str">
        <x:v>Add a simple looping idle motion; 2–4 s; seamless loop; 1280×720 (720p); subtle breathing, cloth/light motion and preserved silhouette; no camera move, no text, no new objects.</x:v>
      </x:c>
      <x:c r="J24" s="168" t="str">
        <x:v>2–4</x:v>
      </x:c>
      <x:c r="K24" s="168" t="str">
        <x:v>1280×720 (720p)</x:v>
      </x:c>
      <x:c r="L24" s="168" t="str">
        <x:v>EDITORIAL_REVIEW</x:v>
      </x:c>
      <x:c r="M24" s="168" t="str">
        <x:v>Stances!A14</x:v>
      </x:c>
    </x:row>
    <x:row r="25" ht="52.79999923706055" hidden="0" customHeight="1">
      <x:c r="A25" s="168" t="str">
        <x:v>CHAR-PORTRAIT:npc_lucia_laternenhueterin</x:v>
      </x:c>
      <x:c r="B25" s="168" t="str">
        <x:v>CHARACTER_PORTRAIT</x:v>
      </x:c>
      <x:c r="C25" s="168" t="str">
        <x:v>Charaktere!L</x:v>
      </x:c>
      <x:c r="D25" s="168" t="str">
        <x:v>npc_lucia_laternenhueterin</x:v>
      </x:c>
      <x:c r="E25" s="168" t="str">
        <x:v>Lucia, Laternenhüterin der Säule</x:v>
      </x:c>
      <x:c r="F25" s="168" t="str">
        <x:v>PORTRAIT</x:v>
      </x:c>
      <x:c r="G25" s="168" t="str">
        <x:v>Mobile-RPG-Charakterporträt, Ganzkörper oder Dreiviertelfigur, Renaissance-/Rom-Fantasy mit historisch plausiblen Materialien, römische Frau in schlichtem dunkelblauem Mantel, kleine Messinglaterne, vier geschnitzte Figuren am Gürtel, warmes Licht, ruhiges offenes Gesicht. Stimmung: ruhig prüfend. Klare Silhouette, neutraler atmosphärischer Hintergrund, warmes Gold und dunkle Erdtöne, keine Schrift, kein Logo, keine moderne Kleidung, keine Fotokopie einer realen Person.</x:v>
      </x:c>
      <x:c r="H25" s="168" t="str">
        <x:v>Startframe für die zugehörigen Stances</x:v>
      </x:c>
      <x:c r="I25" s="168" t="str">
        <x:v>STATIC_STARTFRAME</x:v>
      </x:c>
      <x:c r="J25" s="168" t="str"/>
      <x:c r="K25" s="168" t="str">
        <x:v>1280×720 Master + mobile Crops</x:v>
      </x:c>
      <x:c r="L25" s="168" t="str">
        <x:v>EDITORIAL_REVIEW</x:v>
      </x:c>
      <x:c r="M25" s="168" t="str">
        <x:v>Charaktere!L15</x:v>
      </x:c>
    </x:row>
    <x:row r="26" ht="52.79999923706055" hidden="0" customHeight="1">
      <x:c r="A26" s="168" t="str">
        <x:v>STANCE:npc_lucia_laternenhueterin:IDLE_READY</x:v>
      </x:c>
      <x:c r="B26" s="168" t="str">
        <x:v>CHARACTER_STANCE</x:v>
      </x:c>
      <x:c r="C26" s="168" t="str">
        <x:v>Charaktere!P:S</x:v>
      </x:c>
      <x:c r="D26" s="168" t="str">
        <x:v>npc_lucia_laternenhueterin</x:v>
      </x:c>
      <x:c r="E26" s="168" t="str">
        <x:v>Lucia, Laternenhüterin der Säule</x:v>
      </x:c>
      <x:c r="F26" s="168" t="str">
        <x:v>IDLE_READY</x:v>
      </x:c>
      <x:c r="G26" s="168" t="str">
        <x:v>Mobile-RPG-Charakterporträt, Ganzkörper oder Dreiviertelfigur, Renaissance-/Rom-Fantasy mit historisch plausiblen Materialien, römische Frau in schlichtem dunkelblauem Mantel, kleine Messinglaterne, vier geschnitzte Figuren am Gürtel, warmes Licht, ruhiges offenes Gesicht. Stimmung: ruhig prüfend. Klare Silhouette, neutraler atmosphärischer Hintergrund, warmes Gold und dunkle Erdtöne, keine Schrift, kein Logo, keine moderne Kleidung, keine Fotokopie einer realen Person.</x:v>
      </x:c>
      <x:c r="H26" s="168" t="str">
        <x:v>Ruhige Bereitschaft: aufrechter Stand, Gewicht leicht verlagert, Blick aufmerksam; römische Frau in schlichtem dunkelblauem Mantel, kleine Messinglaterne, vier geschnitzte Figuren am Gürtel, warmes Licht, ruhiges offenes Gesicht.</x:v>
      </x:c>
      <x:c r="I26" s="168" t="str">
        <x:v>Add a simple looping idle motion; 2–4 s; seamless loop; 1280×720 (720p); subtle breathing, cloth/light motion and preserved silhouette; no camera move, no text, no new objects.</x:v>
      </x:c>
      <x:c r="J26" s="168" t="str">
        <x:v>2–4</x:v>
      </x:c>
      <x:c r="K26" s="168" t="str">
        <x:v>1280×720 (720p)</x:v>
      </x:c>
      <x:c r="L26" s="168" t="str">
        <x:v>EDITORIAL_REVIEW</x:v>
      </x:c>
      <x:c r="M26" s="168" t="str">
        <x:v>Stances!A15</x:v>
      </x:c>
    </x:row>
    <x:row r="27" ht="52.79999923706055" hidden="0" customHeight="1">
      <x:c r="A27" s="168" t="str">
        <x:v>CHAR-PORTRAIT:npc_giordano_bruno_echo</x:v>
      </x:c>
      <x:c r="B27" s="168" t="str">
        <x:v>CHARACTER_PORTRAIT</x:v>
      </x:c>
      <x:c r="C27" s="168" t="str">
        <x:v>Charaktere!L</x:v>
      </x:c>
      <x:c r="D27" s="168" t="str">
        <x:v>npc_giordano_bruno_echo</x:v>
      </x:c>
      <x:c r="E27" s="168" t="str">
        <x:v>Giordano Bruno – dunkles Echo</x:v>
      </x:c>
      <x:c r="F27" s="168" t="str">
        <x:v>PORTRAIT</x:v>
      </x:c>
      <x:c r="G27" s="168" t="str">
        <x:v>Mobile-RPG-Charakterporträt, Ganzkörper oder Dreiviertelfigur, Renaissance-/Rom-Fantasy mit historisch plausiblen Materialien, dunkle bronzene Renaissancefigur mit Kapuze, geschlossenes Buch unter gekreuzten Händen, glimmende rote Reflexe, ernster Blick, Mantel im Wind. Stimmung: finster amüsiert. Klare Silhouette, neutraler atmosphärischer Hintergrund, warmes Gold und dunkle Erdtöne, keine Schrift, kein Logo, keine moderne Kleidung, keine Fotokopie einer realen Person.</x:v>
      </x:c>
      <x:c r="H27" s="168" t="str">
        <x:v>Startframe für die zugehörigen Stances</x:v>
      </x:c>
      <x:c r="I27" s="168" t="str">
        <x:v>STATIC_STARTFRAME</x:v>
      </x:c>
      <x:c r="J27" s="168" t="str"/>
      <x:c r="K27" s="168" t="str">
        <x:v>1280×720 Master + mobile Crops</x:v>
      </x:c>
      <x:c r="L27" s="168" t="str">
        <x:v>EDITORIAL_REVIEW</x:v>
      </x:c>
      <x:c r="M27" s="168" t="str">
        <x:v>Charaktere!L16</x:v>
      </x:c>
    </x:row>
    <x:row r="28" ht="52.79999923706055" hidden="0" customHeight="1">
      <x:c r="A28" s="168" t="str">
        <x:v>STANCE:npc_giordano_bruno_echo:IDLE_READY</x:v>
      </x:c>
      <x:c r="B28" s="168" t="str">
        <x:v>CHARACTER_STANCE</x:v>
      </x:c>
      <x:c r="C28" s="168" t="str">
        <x:v>Charaktere!P:S</x:v>
      </x:c>
      <x:c r="D28" s="168" t="str">
        <x:v>npc_giordano_bruno_echo</x:v>
      </x:c>
      <x:c r="E28" s="168" t="str">
        <x:v>Giordano Bruno – dunkles Echo</x:v>
      </x:c>
      <x:c r="F28" s="168" t="str">
        <x:v>IDLE_READY</x:v>
      </x:c>
      <x:c r="G28" s="168" t="str">
        <x:v>Mobile-RPG-Charakterporträt, Ganzkörper oder Dreiviertelfigur, Renaissance-/Rom-Fantasy mit historisch plausiblen Materialien, dunkle bronzene Renaissancefigur mit Kapuze, geschlossenes Buch unter gekreuzten Händen, glimmende rote Reflexe, ernster Blick, Mantel im Wind. Stimmung: finster amüsiert. Klare Silhouette, neutraler atmosphärischer Hintergrund, warmes Gold und dunkle Erdtöne, keine Schrift, kein Logo, keine moderne Kleidung, keine Fotokopie einer realen Person.</x:v>
      </x:c>
      <x:c r="H28" s="168" t="str">
        <x:v>Kontemplative Haltung: geschlossenes Buch an die Brust, Kopf leicht zur Seite, dunkler Mantel bewegt sich minimal; dunkle bronzene Renaissancefigur mit Kapuze, geschlossenes Buch unter gekreuzten Händen, glimmende rote Reflexe, ernster Blick, Mantel im Wind.</x:v>
      </x:c>
      <x:c r="I28" s="168" t="str">
        <x:v>Add a simple looping idle motion; 2–4 s; seamless loop; 1280×720 (720p); subtle breathing, cloth/light motion and preserved silhouette; no camera move, no text, no new objects.</x:v>
      </x:c>
      <x:c r="J28" s="168" t="str">
        <x:v>2–4</x:v>
      </x:c>
      <x:c r="K28" s="168" t="str">
        <x:v>1280×720 (720p)</x:v>
      </x:c>
      <x:c r="L28" s="168" t="str">
        <x:v>EDITORIAL_REVIEW</x:v>
      </x:c>
      <x:c r="M28" s="168" t="str">
        <x:v>Stances!A16</x:v>
      </x:c>
    </x:row>
    <x:row r="29" ht="66" hidden="0" customHeight="1">
      <x:c r="A29" s="168" t="str">
        <x:v>CHAR-PORTRAIT:npc_marcella_scaena</x:v>
      </x:c>
      <x:c r="B29" s="168" t="str">
        <x:v>CHARACTER_PORTRAIT</x:v>
      </x:c>
      <x:c r="C29" s="168" t="str">
        <x:v>Charaktere!L</x:v>
      </x:c>
      <x:c r="D29" s="168" t="str">
        <x:v>npc_marcella_scaena</x:v>
      </x:c>
      <x:c r="E29" s="168" t="str">
        <x:v>Marcella Scaena</x:v>
      </x:c>
      <x:c r="F29" s="168" t="str">
        <x:v>PORTRAIT</x:v>
      </x:c>
      <x:c r="G29" s="168" t="str">
        <x:v>Mobile-RPG-Charakterporträt, Ganzkörper oder Dreiviertelfigur, Renaissance-/Rom-Fantasy mit historisch plausiblen Materialien, römisch-barocke Bühnenmeisterin, schwarzes Kleid mit goldenen Nähten, Halbmaske am Gürtel, Pergament-Spielplan, Kreidestaub, entschlossener Blick. Stimmung: hektisch begeistert. Klare Silhouette, neutraler atmosphärischer Hintergrund, warmes Gold und dunkle Erdtöne, keine Schrift, kein Logo, keine moderne Kleidung, keine Fotokopie einer realen Person.</x:v>
      </x:c>
      <x:c r="H29" s="168" t="str">
        <x:v>Startframe für die zugehörigen Stances</x:v>
      </x:c>
      <x:c r="I29" s="168" t="str">
        <x:v>STATIC_STARTFRAME</x:v>
      </x:c>
      <x:c r="J29" s="168" t="str"/>
      <x:c r="K29" s="168" t="str">
        <x:v>1280×720 Master + mobile Crops</x:v>
      </x:c>
      <x:c r="L29" s="168" t="str">
        <x:v>EDITORIAL_REVIEW</x:v>
      </x:c>
      <x:c r="M29" s="168" t="str">
        <x:v>Charaktere!L17</x:v>
      </x:c>
    </x:row>
    <x:row r="30" ht="66" hidden="0" customHeight="1">
      <x:c r="A30" s="168" t="str">
        <x:v>STANCE:npc_marcella_scaena:IDLE_READY</x:v>
      </x:c>
      <x:c r="B30" s="168" t="str">
        <x:v>CHARACTER_STANCE</x:v>
      </x:c>
      <x:c r="C30" s="168" t="str">
        <x:v>Charaktere!P:S</x:v>
      </x:c>
      <x:c r="D30" s="168" t="str">
        <x:v>npc_marcella_scaena</x:v>
      </x:c>
      <x:c r="E30" s="168" t="str">
        <x:v>Marcella Scaena</x:v>
      </x:c>
      <x:c r="F30" s="168" t="str">
        <x:v>IDLE_READY</x:v>
      </x:c>
      <x:c r="G30" s="168" t="str">
        <x:v>Mobile-RPG-Charakterporträt, Ganzkörper oder Dreiviertelfigur, Renaissance-/Rom-Fantasy mit historisch plausiblen Materialien, römisch-barocke Bühnenmeisterin, schwarzes Kleid mit goldenen Nähten, Halbmaske am Gürtel, Pergament-Spielplan, Kreidestaub, entschlossener Blick. Stimmung: hektisch begeistert. Klare Silhouette, neutraler atmosphärischer Hintergrund, warmes Gold und dunkle Erdtöne, keine Schrift, kein Logo, keine moderne Kleidung, keine Fotokopie einer realen Person.</x:v>
      </x:c>
      <x:c r="H30" s="168" t="str">
        <x:v>Regiehaltung: ein Arm gibt eine knappe Regieanweisung, der andere hält den Spielplan, dynamischer Stand; römisch-barocke Bühnenmeisterin, schwarzes Kleid mit goldenen Nähten, Halbmaske am Gürtel, Pergament-Spielplan, Kreidestaub, entschlossener Blick.</x:v>
      </x:c>
      <x:c r="I30" s="168" t="str">
        <x:v>Add a simple looping idle motion; 2–4 s; seamless loop; 1280×720 (720p); subtle breathing, cloth/light motion and preserved silhouette; no camera move, no text, no new objects.</x:v>
      </x:c>
      <x:c r="J30" s="168" t="str">
        <x:v>2–4</x:v>
      </x:c>
      <x:c r="K30" s="168" t="str">
        <x:v>1280×720 (720p)</x:v>
      </x:c>
      <x:c r="L30" s="168" t="str">
        <x:v>EDITORIAL_REVIEW</x:v>
      </x:c>
      <x:c r="M30" s="168" t="str">
        <x:v>Stances!A17</x:v>
      </x:c>
    </x:row>
    <x:row r="31" ht="66" hidden="0" customHeight="1">
      <x:c r="A31" s="168" t="str">
        <x:v>CHAR-PORTRAIT:npc_tiberinus_medicus</x:v>
      </x:c>
      <x:c r="B31" s="168" t="str">
        <x:v>CHARACTER_PORTRAIT</x:v>
      </x:c>
      <x:c r="C31" s="168" t="str">
        <x:v>Charaktere!L</x:v>
      </x:c>
      <x:c r="D31" s="168" t="str">
        <x:v>npc_tiberinus_medicus</x:v>
      </x:c>
      <x:c r="E31" s="168" t="str">
        <x:v>Tiberinus Medicus</x:v>
      </x:c>
      <x:c r="F31" s="168" t="str">
        <x:v>PORTRAIT</x:v>
      </x:c>
      <x:c r="G31" s="168" t="str">
        <x:v>Mobile-RPG-Charakterporträt, Ganzkörper oder Dreiviertelfigur, Renaissance-/Rom-Fantasy mit historisch plausiblen Materialien, antiker römischer Arzt, helles Leinengewand, Ledertasche, Stab mit einzelner Schlange, feuchte Travertinfragmente, freundliche müde Augen. Stimmung: besorgt, aber kontrolliert. Klare Silhouette, neutraler atmosphärischer Hintergrund, warmes Gold und dunkle Erdtöne, keine Schrift, kein Logo, keine moderne Kleidung, keine Fotokopie einer realen Person.</x:v>
      </x:c>
      <x:c r="H31" s="168" t="str">
        <x:v>Startframe für die zugehörigen Stances</x:v>
      </x:c>
      <x:c r="I31" s="168" t="str">
        <x:v>STATIC_STARTFRAME</x:v>
      </x:c>
      <x:c r="J31" s="168" t="str"/>
      <x:c r="K31" s="168" t="str">
        <x:v>1280×720 Master + mobile Crops</x:v>
      </x:c>
      <x:c r="L31" s="168" t="str">
        <x:v>EDITORIAL_REVIEW</x:v>
      </x:c>
      <x:c r="M31" s="168" t="str">
        <x:v>Charaktere!L18</x:v>
      </x:c>
    </x:row>
    <x:row r="32" ht="66" hidden="0" customHeight="1">
      <x:c r="A32" s="168" t="str">
        <x:v>STANCE:npc_tiberinus_medicus:IDLE_READY</x:v>
      </x:c>
      <x:c r="B32" s="168" t="str">
        <x:v>CHARACTER_STANCE</x:v>
      </x:c>
      <x:c r="C32" s="168" t="str">
        <x:v>Charaktere!P:S</x:v>
      </x:c>
      <x:c r="D32" s="168" t="str">
        <x:v>npc_tiberinus_medicus</x:v>
      </x:c>
      <x:c r="E32" s="168" t="str">
        <x:v>Tiberinus Medicus</x:v>
      </x:c>
      <x:c r="F32" s="168" t="str">
        <x:v>IDLE_READY</x:v>
      </x:c>
      <x:c r="G32" s="168" t="str">
        <x:v>Mobile-RPG-Charakterporträt, Ganzkörper oder Dreiviertelfigur, Renaissance-/Rom-Fantasy mit historisch plausiblen Materialien, antiker römischer Arzt, helles Leinengewand, Ledertasche, Stab mit einzelner Schlange, feuchte Travertinfragmente, freundliche müde Augen. Stimmung: besorgt, aber kontrolliert. Klare Silhouette, neutraler atmosphärischer Hintergrund, warmes Gold und dunkle Erdtöne, keine Schrift, kein Logo, keine moderne Kleidung, keine Fotokopie einer realen Person.</x:v>
      </x:c>
      <x:c r="H32" s="168" t="str">
        <x:v>Heilerhaltung: eine Hand schützend über der Amphore beziehungsweise dem Stab, ruhiger prüfender Blick; antiker römischer Arzt, helles Leinengewand, Ledertasche, Stab mit einzelner Schlange, feuchte Travertinfragmente, freundliche müde Augen.</x:v>
      </x:c>
      <x:c r="I32" s="168" t="str">
        <x:v>Add a simple looping idle motion; 2–4 s; seamless loop; 1280×720 (720p); subtle breathing, cloth/light motion and preserved silhouette; no camera move, no text, no new objects.</x:v>
      </x:c>
      <x:c r="J32" s="168" t="str">
        <x:v>2–4</x:v>
      </x:c>
      <x:c r="K32" s="168" t="str">
        <x:v>1280×720 (720p)</x:v>
      </x:c>
      <x:c r="L32" s="168" t="str">
        <x:v>EDITORIAL_REVIEW</x:v>
      </x:c>
      <x:c r="M32" s="168" t="str">
        <x:v>Stances!A18</x:v>
      </x:c>
    </x:row>
    <x:row r="33" ht="66" hidden="0" customHeight="1">
      <x:c r="A33" s="168" t="str">
        <x:v>CHAR-PORTRAIT:npc_cecilia_vox</x:v>
      </x:c>
      <x:c r="B33" s="168" t="str">
        <x:v>CHARACTER_PORTRAIT</x:v>
      </x:c>
      <x:c r="C33" s="168" t="str">
        <x:v>Charaktere!L</x:v>
      </x:c>
      <x:c r="D33" s="168" t="str">
        <x:v>npc_cecilia_vox</x:v>
      </x:c>
      <x:c r="E33" s="168" t="str">
        <x:v>Cecilia – Stimme im Mosaik</x:v>
      </x:c>
      <x:c r="F33" s="168" t="str">
        <x:v>PORTRAIT</x:v>
      </x:c>
      <x:c r="G33" s="168" t="str">
        <x:v>Mobile-RPG-Charakterporträt, Ganzkörper oder Dreiviertelfigur, Renaissance-/Rom-Fantasy mit historisch plausiblen Materialien, junge frühchristliche Frau, cremefarbenes Gewand, dunkelroter Mantel, kleine tragbare Leier, goldene Mosaiklichtpunkte, ernster freundlicher Blick. Stimmung: nachdenklich. Klare Silhouette, neutraler atmosphärischer Hintergrund, warmes Gold und dunkle Erdtöne, keine Schrift, kein Logo, keine moderne Kleidung, keine Fotokopie einer realen Person.</x:v>
      </x:c>
      <x:c r="H33" s="168" t="str">
        <x:v>Startframe für die zugehörigen Stances</x:v>
      </x:c>
      <x:c r="I33" s="168" t="str">
        <x:v>STATIC_STARTFRAME</x:v>
      </x:c>
      <x:c r="J33" s="168" t="str"/>
      <x:c r="K33" s="168" t="str">
        <x:v>1280×720 Master + mobile Crops</x:v>
      </x:c>
      <x:c r="L33" s="168" t="str">
        <x:v>EDITORIAL_REVIEW</x:v>
      </x:c>
      <x:c r="M33" s="168" t="str">
        <x:v>Charaktere!L19</x:v>
      </x:c>
    </x:row>
    <x:row r="34" ht="66" hidden="0" customHeight="1">
      <x:c r="A34" s="168" t="str">
        <x:v>STANCE:npc_cecilia_vox:IDLE_READY</x:v>
      </x:c>
      <x:c r="B34" s="168" t="str">
        <x:v>CHARACTER_STANCE</x:v>
      </x:c>
      <x:c r="C34" s="168" t="str">
        <x:v>Charaktere!P:S</x:v>
      </x:c>
      <x:c r="D34" s="168" t="str">
        <x:v>npc_cecilia_vox</x:v>
      </x:c>
      <x:c r="E34" s="168" t="str">
        <x:v>Cecilia – Stimme im Mosaik</x:v>
      </x:c>
      <x:c r="F34" s="168" t="str">
        <x:v>IDLE_READY</x:v>
      </x:c>
      <x:c r="G34" s="168" t="str">
        <x:v>Mobile-RPG-Charakterporträt, Ganzkörper oder Dreiviertelfigur, Renaissance-/Rom-Fantasy mit historisch plausiblen Materialien, junge frühchristliche Frau, cremefarbenes Gewand, dunkelroter Mantel, kleine tragbare Leier, goldene Mosaiklichtpunkte, ernster freundlicher Blick. Stimmung: nachdenklich. Klare Silhouette, neutraler atmosphärischer Hintergrund, warmes Gold und dunkle Erdtöne, keine Schrift, kein Logo, keine moderne Kleidung, keine Fotokopie einer realen Person.</x:v>
      </x:c>
      <x:c r="H34" s="168" t="str">
        <x:v>Ruhige Bereitschaft: aufrechter Stand, Gewicht leicht verlagert, Blick aufmerksam; junge frühchristliche Frau, cremefarbenes Gewand, dunkelroter Mantel, kleine tragbare Leier, goldene Mosaiklichtpunkte, ernster freundlicher Blick.</x:v>
      </x:c>
      <x:c r="I34" s="168" t="str">
        <x:v>Add a simple looping idle motion; 2–4 s; seamless loop; 1280×720 (720p); subtle breathing, cloth/light motion and preserved silhouette; no camera move, no text, no new objects.</x:v>
      </x:c>
      <x:c r="J34" s="168" t="str">
        <x:v>2–4</x:v>
      </x:c>
      <x:c r="K34" s="168" t="str">
        <x:v>1280×720 (720p)</x:v>
      </x:c>
      <x:c r="L34" s="168" t="str">
        <x:v>EDITORIAL_REVIEW</x:v>
      </x:c>
      <x:c r="M34" s="168" t="str">
        <x:v>Stances!A19</x:v>
      </x:c>
    </x:row>
    <x:row r="35" ht="66" hidden="0" customHeight="1">
      <x:c r="A35" s="168" t="str">
        <x:v>CHAR-PORTRAIT:npc_anita_garibaldi</x:v>
      </x:c>
      <x:c r="B35" s="168" t="str">
        <x:v>CHARACTER_PORTRAIT</x:v>
      </x:c>
      <x:c r="C35" s="168" t="str">
        <x:v>Charaktere!L</x:v>
      </x:c>
      <x:c r="D35" s="168" t="str">
        <x:v>npc_anita_garibaldi</x:v>
      </x:c>
      <x:c r="E35" s="168" t="str">
        <x:v>Anita Garibaldi – Reiterecho</x:v>
      </x:c>
      <x:c r="F35" s="168" t="str">
        <x:v>PORTRAIT</x:v>
      </x:c>
      <x:c r="G35" s="168" t="str">
        <x:v>Mobile-RPG-Charakterporträt, Ganzkörper oder Dreiviertelfigur, Renaissance-/Rom-Fantasy mit historisch plausiblen Materialien, brasilianisch-italienische Freiheitskämpferin zu Pferd, dunkles Reitkleid, rotes Halstuch, Wind im Haar, Pistole gesenkt, heroisch aber menschlich. Stimmung: entschlossen unter Druck. Klare Silhouette, neutraler atmosphärischer Hintergrund, warmes Gold und dunkle Erdtöne, keine Schrift, kein Logo, keine moderne Kleidung, keine Fotokopie einer realen Person.</x:v>
      </x:c>
      <x:c r="H35" s="168" t="str">
        <x:v>Startframe für die zugehörigen Stances</x:v>
      </x:c>
      <x:c r="I35" s="168" t="str">
        <x:v>STATIC_STARTFRAME</x:v>
      </x:c>
      <x:c r="J35" s="168" t="str"/>
      <x:c r="K35" s="168" t="str">
        <x:v>1280×720 Master + mobile Crops</x:v>
      </x:c>
      <x:c r="L35" s="168" t="str">
        <x:v>EDITORIAL_REVIEW</x:v>
      </x:c>
      <x:c r="M35" s="168" t="str">
        <x:v>Charaktere!L20</x:v>
      </x:c>
    </x:row>
    <x:row r="36" ht="66" hidden="0" customHeight="1">
      <x:c r="A36" s="168" t="str">
        <x:v>STANCE:npc_anita_garibaldi:IDLE_READY</x:v>
      </x:c>
      <x:c r="B36" s="168" t="str">
        <x:v>CHARACTER_STANCE</x:v>
      </x:c>
      <x:c r="C36" s="168" t="str">
        <x:v>Charaktere!P:S</x:v>
      </x:c>
      <x:c r="D36" s="168" t="str">
        <x:v>npc_anita_garibaldi</x:v>
      </x:c>
      <x:c r="E36" s="168" t="str">
        <x:v>Anita Garibaldi – Reiterecho</x:v>
      </x:c>
      <x:c r="F36" s="168" t="str">
        <x:v>IDLE_READY</x:v>
      </x:c>
      <x:c r="G36" s="168" t="str">
        <x:v>Mobile-RPG-Charakterporträt, Ganzkörper oder Dreiviertelfigur, Renaissance-/Rom-Fantasy mit historisch plausiblen Materialien, brasilianisch-italienische Freiheitskämpferin zu Pferd, dunkles Reitkleid, rotes Halstuch, Wind im Haar, Pistole gesenkt, heroisch aber menschlich. Stimmung: entschlossen unter Druck. Klare Silhouette, neutraler atmosphärischer Hintergrund, warmes Gold und dunkle Erdtöne, keine Schrift, kein Logo, keine moderne Kleidung, keine Fotokopie einer realen Person.</x:v>
      </x:c>
      <x:c r="H36" s="168" t="str">
        <x:v>Ruhige Bereitschaft: aufrechter Stand, Gewicht leicht verlagert, Blick aufmerksam; brasilianisch-italienische Freiheitskämpferin zu Pferd, dunkles Reitkleid, rotes Halstuch, Wind im Haar, Pistole gesenkt, heroisch aber menschlich.</x:v>
      </x:c>
      <x:c r="I36" s="168" t="str">
        <x:v>Add a simple looping idle motion; 2–4 s; seamless loop; 1280×720 (720p); subtle breathing, cloth/light motion and preserved silhouette; no camera move, no text, no new objects.</x:v>
      </x:c>
      <x:c r="J36" s="168" t="str">
        <x:v>2–4</x:v>
      </x:c>
      <x:c r="K36" s="168" t="str">
        <x:v>1280×720 (720p)</x:v>
      </x:c>
      <x:c r="L36" s="168" t="str">
        <x:v>EDITORIAL_REVIEW</x:v>
      </x:c>
      <x:c r="M36" s="168" t="str">
        <x:v>Stances!A20</x:v>
      </x:c>
    </x:row>
    <x:row r="37" ht="52.79999923706055" hidden="0" customHeight="1">
      <x:c r="A37" s="168" t="str">
        <x:v>CHAR-PORTRAIT:npc_michelangelo_campidoglio</x:v>
      </x:c>
      <x:c r="B37" s="168" t="str">
        <x:v>CHARACTER_PORTRAIT</x:v>
      </x:c>
      <x:c r="C37" s="168" t="str">
        <x:v>Charaktere!L</x:v>
      </x:c>
      <x:c r="D37" s="168" t="str">
        <x:v>npc_michelangelo_campidoglio</x:v>
      </x:c>
      <x:c r="E37" s="168" t="str">
        <x:v>Michelangelo – missmutiger Platzgeist</x:v>
      </x:c>
      <x:c r="F37" s="168" t="str">
        <x:v>PORTRAIT</x:v>
      </x:c>
      <x:c r="G37" s="168" t="str">
        <x:v>Mobile-RPG-Charakterporträt, Ganzkörper oder Dreiviertelfigur, Renaissance-/Rom-Fantasy mit historisch plausiblen Materialien, älterer Renaissancekünstler mit grauem Bart, dunkler Kappe, staubigem schwarzem Gewand, Zirkel und Platzskizze, strenger Blick. Stimmung: mürrisch konzentriert. Klare Silhouette, neutraler atmosphärischer Hintergrund, warmes Gold und dunkle Erdtöne, keine Schrift, kein Logo, keine moderne Kleidung, keine Fotokopie einer realen Person.</x:v>
      </x:c>
      <x:c r="H37" s="168" t="str">
        <x:v>Startframe für die zugehörigen Stances</x:v>
      </x:c>
      <x:c r="I37" s="168" t="str">
        <x:v>STATIC_STARTFRAME</x:v>
      </x:c>
      <x:c r="J37" s="168" t="str"/>
      <x:c r="K37" s="168" t="str">
        <x:v>1280×720 Master + mobile Crops</x:v>
      </x:c>
      <x:c r="L37" s="168" t="str">
        <x:v>EDITORIAL_REVIEW</x:v>
      </x:c>
      <x:c r="M37" s="168" t="str">
        <x:v>Charaktere!L21</x:v>
      </x:c>
    </x:row>
    <x:row r="38" ht="52.79999923706055" hidden="0" customHeight="1">
      <x:c r="A38" s="168" t="str">
        <x:v>STANCE:npc_michelangelo_campidoglio:IDLE_READY</x:v>
      </x:c>
      <x:c r="B38" s="168" t="str">
        <x:v>CHARACTER_STANCE</x:v>
      </x:c>
      <x:c r="C38" s="168" t="str">
        <x:v>Charaktere!P:S</x:v>
      </x:c>
      <x:c r="D38" s="168" t="str">
        <x:v>npc_michelangelo_campidoglio</x:v>
      </x:c>
      <x:c r="E38" s="168" t="str">
        <x:v>Michelangelo – missmutiger Platzgeist</x:v>
      </x:c>
      <x:c r="F38" s="168" t="str">
        <x:v>IDLE_READY</x:v>
      </x:c>
      <x:c r="G38" s="168" t="str">
        <x:v>Mobile-RPG-Charakterporträt, Ganzkörper oder Dreiviertelfigur, Renaissance-/Rom-Fantasy mit historisch plausiblen Materialien, älterer Renaissancekünstler mit grauem Bart, dunkler Kappe, staubigem schwarzem Gewand, Zirkel und Platzskizze, strenger Blick. Stimmung: mürrisch konzentriert. Klare Silhouette, neutraler atmosphärischer Hintergrund, warmes Gold und dunkle Erdtöne, keine Schrift, kein Logo, keine moderne Kleidung, keine Fotokopie einer realen Person.</x:v>
      </x:c>
      <x:c r="H38" s="168" t="str">
        <x:v>Meisterpose: Werkzeug und Skizzenobjekt werden vor der Brust gehalten, prüfender Blick über die Schulter; älterer Renaissancekünstler mit grauem Bart, dunkler Kappe, staubigem schwarzem Gewand, Zirkel und Platzskizze, strenger Blick.</x:v>
      </x:c>
      <x:c r="I38" s="168" t="str">
        <x:v>Add a simple looping idle motion; 2–4 s; seamless loop; 1280×720 (720p); subtle breathing, cloth/light motion and preserved silhouette; no camera move, no text, no new objects.</x:v>
      </x:c>
      <x:c r="J38" s="168" t="str">
        <x:v>2–4</x:v>
      </x:c>
      <x:c r="K38" s="168" t="str">
        <x:v>1280×720 (720p)</x:v>
      </x:c>
      <x:c r="L38" s="168" t="str">
        <x:v>EDITORIAL_REVIEW</x:v>
      </x:c>
      <x:c r="M38" s="168" t="str">
        <x:v>Stances!A21</x:v>
      </x:c>
    </x:row>
    <x:row r="39" ht="66" hidden="0" customHeight="1">
      <x:c r="A39" s="168" t="str">
        <x:v>CHAR-PORTRAIT:npc_vittoria_alata</x:v>
      </x:c>
      <x:c r="B39" s="168" t="str">
        <x:v>CHARACTER_PORTRAIT</x:v>
      </x:c>
      <x:c r="C39" s="168" t="str">
        <x:v>Charaktere!L</x:v>
      </x:c>
      <x:c r="D39" s="168" t="str">
        <x:v>npc_vittoria_alata</x:v>
      </x:c>
      <x:c r="E39" s="168" t="str">
        <x:v>Vittoria Alata</x:v>
      </x:c>
      <x:c r="F39" s="168" t="str">
        <x:v>PORTRAIT</x:v>
      </x:c>
      <x:c r="G39" s="168" t="str">
        <x:v>Mobile-RPG-Charakterporträt, Ganzkörper oder Dreiviertelfigur, Renaissance-/Rom-Fantasy mit historisch plausiblen Materialien, allegorische geflügelte Frau in weiß-goldenem Gewand, bronzene Flügel, Lorbeerkranz, zwei kleine Quadriga-Silhouetten als Licht hinter ihr. Stimmung: triumphal, aber gelangweilt. Klare Silhouette, neutraler atmosphärischer Hintergrund, warmes Gold und dunkle Erdtöne, keine Schrift, kein Logo, keine moderne Kleidung, keine Fotokopie einer realen Person.</x:v>
      </x:c>
      <x:c r="H39" s="168" t="str">
        <x:v>Startframe für die zugehörigen Stances</x:v>
      </x:c>
      <x:c r="I39" s="168" t="str">
        <x:v>STATIC_STARTFRAME</x:v>
      </x:c>
      <x:c r="J39" s="168" t="str"/>
      <x:c r="K39" s="168" t="str">
        <x:v>1280×720 Master + mobile Crops</x:v>
      </x:c>
      <x:c r="L39" s="168" t="str">
        <x:v>EDITORIAL_REVIEW</x:v>
      </x:c>
      <x:c r="M39" s="168" t="str">
        <x:v>Charaktere!L22</x:v>
      </x:c>
    </x:row>
    <x:row r="40" ht="66" hidden="0" customHeight="1">
      <x:c r="A40" s="168" t="str">
        <x:v>STANCE:npc_vittoria_alata:IDLE_READY</x:v>
      </x:c>
      <x:c r="B40" s="168" t="str">
        <x:v>CHARACTER_STANCE</x:v>
      </x:c>
      <x:c r="C40" s="168" t="str">
        <x:v>Charaktere!P:S</x:v>
      </x:c>
      <x:c r="D40" s="168" t="str">
        <x:v>npc_vittoria_alata</x:v>
      </x:c>
      <x:c r="E40" s="168" t="str">
        <x:v>Vittoria Alata</x:v>
      </x:c>
      <x:c r="F40" s="168" t="str">
        <x:v>IDLE_READY</x:v>
      </x:c>
      <x:c r="G40" s="168" t="str">
        <x:v>Mobile-RPG-Charakterporträt, Ganzkörper oder Dreiviertelfigur, Renaissance-/Rom-Fantasy mit historisch plausiblen Materialien, allegorische geflügelte Frau in weiß-goldenem Gewand, bronzene Flügel, Lorbeerkranz, zwei kleine Quadriga-Silhouetten als Licht hinter ihr. Stimmung: triumphal, aber gelangweilt. Klare Silhouette, neutraler atmosphärischer Hintergrund, warmes Gold und dunkle Erdtöne, keine Schrift, kein Logo, keine moderne Kleidung, keine Fotokopie einer realen Person.</x:v>
      </x:c>
      <x:c r="H40" s="168" t="str">
        <x:v>Ruhige Bereitschaft: aufrechter Stand, Gewicht leicht verlagert, Blick aufmerksam; allegorische geflügelte Frau in weiß-goldenem Gewand, bronzene Flügel, Lorbeerkranz, zwei kleine Quadriga-Silhouetten als Licht hinter ihr.</x:v>
      </x:c>
      <x:c r="I40" s="168" t="str">
        <x:v>Add a simple looping idle motion; 2–4 s; seamless loop; 1280×720 (720p); subtle breathing, cloth/light motion and preserved silhouette; no camera move, no text, no new objects.</x:v>
      </x:c>
      <x:c r="J40" s="168" t="str">
        <x:v>2–4</x:v>
      </x:c>
      <x:c r="K40" s="168" t="str">
        <x:v>1280×720 (720p)</x:v>
      </x:c>
      <x:c r="L40" s="168" t="str">
        <x:v>EDITORIAL_REVIEW</x:v>
      </x:c>
      <x:c r="M40" s="168" t="str">
        <x:v>Stances!A22</x:v>
      </x:c>
    </x:row>
    <x:row r="41" ht="52.79999923706055" hidden="0" customHeight="1">
      <x:c r="A41" s="168" t="str">
        <x:v>CHAR-PORTRAIT:npc_lanista_felix</x:v>
      </x:c>
      <x:c r="B41" s="168" t="str">
        <x:v>CHARACTER_PORTRAIT</x:v>
      </x:c>
      <x:c r="C41" s="168" t="str">
        <x:v>Charaktere!L</x:v>
      </x:c>
      <x:c r="D41" s="168" t="str">
        <x:v>npc_lanista_felix</x:v>
      </x:c>
      <x:c r="E41" s="168" t="str">
        <x:v>Lanista Felix</x:v>
      </x:c>
      <x:c r="F41" s="168" t="str">
        <x:v>PORTRAIT</x:v>
      </x:c>
      <x:c r="G41" s="168" t="str">
        <x:v>Mobile-RPG-Charakterporträt, Ganzkörper oder Dreiviertelfigur, Renaissance-/Rom-Fantasy mit historisch plausiblen Materialien, kräftiger römischer Trainer in Lederharnisch, hölzerner Trainingsstab, rote Tunika, Narben, breites Grinsen, Sandstaub. Stimmung: kampflustig. Klare Silhouette, neutraler atmosphärischer Hintergrund, warmes Gold und dunkle Erdtöne, keine Schrift, kein Logo, keine moderne Kleidung, keine Fotokopie einer realen Person.</x:v>
      </x:c>
      <x:c r="H41" s="168" t="str">
        <x:v>Startframe für die zugehörigen Stances</x:v>
      </x:c>
      <x:c r="I41" s="168" t="str">
        <x:v>STATIC_STARTFRAME</x:v>
      </x:c>
      <x:c r="J41" s="168" t="str"/>
      <x:c r="K41" s="168" t="str">
        <x:v>1280×720 Master + mobile Crops</x:v>
      </x:c>
      <x:c r="L41" s="168" t="str">
        <x:v>EDITORIAL_REVIEW</x:v>
      </x:c>
      <x:c r="M41" s="168" t="str">
        <x:v>Charaktere!L23</x:v>
      </x:c>
    </x:row>
    <x:row r="42" ht="52.79999923706055" hidden="0" customHeight="1">
      <x:c r="A42" s="168" t="str">
        <x:v>STANCE:npc_lanista_felix:IDLE_READY</x:v>
      </x:c>
      <x:c r="B42" s="168" t="str">
        <x:v>CHARACTER_STANCE</x:v>
      </x:c>
      <x:c r="C42" s="168" t="str">
        <x:v>Charaktere!P:S</x:v>
      </x:c>
      <x:c r="D42" s="168" t="str">
        <x:v>npc_lanista_felix</x:v>
      </x:c>
      <x:c r="E42" s="168" t="str">
        <x:v>Lanista Felix</x:v>
      </x:c>
      <x:c r="F42" s="168" t="str">
        <x:v>IDLE_READY</x:v>
      </x:c>
      <x:c r="G42" s="168" t="str">
        <x:v>Mobile-RPG-Charakterporträt, Ganzkörper oder Dreiviertelfigur, Renaissance-/Rom-Fantasy mit historisch plausiblen Materialien, kräftiger römischer Trainer in Lederharnisch, hölzerner Trainingsstab, rote Tunika, Narben, breites Grinsen, Sandstaub. Stimmung: kampflustig. Klare Silhouette, neutraler atmosphärischer Hintergrund, warmes Gold und dunkle Erdtöne, keine Schrift, kein Logo, keine moderne Kleidung, keine Fotokopie einer realen Person.</x:v>
      </x:c>
      <x:c r="H42" s="168" t="str">
        <x:v>Ruhige Bereitschaft: aufrechter Stand, Gewicht leicht verlagert, Blick aufmerksam; kräftiger römischer Trainer in Lederharnisch, hölzerner Trainingsstab, rote Tunika, Narben, breites Grinsen, Sandstaub.</x:v>
      </x:c>
      <x:c r="I42" s="168" t="str">
        <x:v>Add a simple looping idle motion; 2–4 s; seamless loop; 1280×720 (720p); subtle breathing, cloth/light motion and preserved silhouette; no camera move, no text, no new objects.</x:v>
      </x:c>
      <x:c r="J42" s="168" t="str">
        <x:v>2–4</x:v>
      </x:c>
      <x:c r="K42" s="168" t="str">
        <x:v>1280×720 (720p)</x:v>
      </x:c>
      <x:c r="L42" s="168" t="str">
        <x:v>EDITORIAL_REVIEW</x:v>
      </x:c>
      <x:c r="M42" s="168" t="str">
        <x:v>Stances!A23</x:v>
      </x:c>
    </x:row>
    <x:row r="43" ht="66" hidden="0" customHeight="1">
      <x:c r="A43" s="168" t="str">
        <x:v>CHAR-PORTRAIT:npc_mercator_gaius</x:v>
      </x:c>
      <x:c r="B43" s="168" t="str">
        <x:v>CHARACTER_PORTRAIT</x:v>
      </x:c>
      <x:c r="C43" s="168" t="str">
        <x:v>Charaktere!L</x:v>
      </x:c>
      <x:c r="D43" s="168" t="str">
        <x:v>npc_mercator_gaius</x:v>
      </x:c>
      <x:c r="E43" s="168" t="str">
        <x:v>Gaius Quattuorportus</x:v>
      </x:c>
      <x:c r="F43" s="168" t="str">
        <x:v>PORTRAIT</x:v>
      </x:c>
      <x:c r="G43" s="168" t="str">
        <x:v>Mobile-RPG-Charakterporträt, Ganzkörper oder Dreiviertelfigur, Renaissance-/Rom-Fantasy mit historisch plausiblen Materialien, antiker römischer Händler in gestreifter Tunika, Lederbeutel, bronzene Waage, vier kleine Tormarken am Gürtel, listiges freundliches Gesicht. Stimmung: geschäftig und misstrauisch. Klare Silhouette, neutraler atmosphärischer Hintergrund, warmes Gold und dunkle Erdtöne, keine Schrift, kein Logo, keine moderne Kleidung, keine Fotokopie einer realen Person.</x:v>
      </x:c>
      <x:c r="H43" s="168" t="str">
        <x:v>Startframe für die zugehörigen Stances</x:v>
      </x:c>
      <x:c r="I43" s="168" t="str">
        <x:v>STATIC_STARTFRAME</x:v>
      </x:c>
      <x:c r="J43" s="168" t="str"/>
      <x:c r="K43" s="168" t="str">
        <x:v>1280×720 Master + mobile Crops</x:v>
      </x:c>
      <x:c r="L43" s="168" t="str">
        <x:v>EDITORIAL_REVIEW</x:v>
      </x:c>
      <x:c r="M43" s="168" t="str">
        <x:v>Charaktere!L24</x:v>
      </x:c>
    </x:row>
    <x:row r="44" ht="66" hidden="0" customHeight="1">
      <x:c r="A44" s="168" t="str">
        <x:v>STANCE:npc_mercator_gaius:IDLE_READY</x:v>
      </x:c>
      <x:c r="B44" s="168" t="str">
        <x:v>CHARACTER_STANCE</x:v>
      </x:c>
      <x:c r="C44" s="168" t="str">
        <x:v>Charaktere!P:S</x:v>
      </x:c>
      <x:c r="D44" s="168" t="str">
        <x:v>npc_mercator_gaius</x:v>
      </x:c>
      <x:c r="E44" s="168" t="str">
        <x:v>Gaius Quattuorportus</x:v>
      </x:c>
      <x:c r="F44" s="168" t="str">
        <x:v>IDLE_READY</x:v>
      </x:c>
      <x:c r="G44" s="168" t="str">
        <x:v>Mobile-RPG-Charakterporträt, Ganzkörper oder Dreiviertelfigur, Renaissance-/Rom-Fantasy mit historisch plausiblen Materialien, antiker römischer Händler in gestreifter Tunika, Lederbeutel, bronzene Waage, vier kleine Tormarken am Gürtel, listiges freundliches Gesicht. Stimmung: geschäftig und misstrauisch. Klare Silhouette, neutraler atmosphärischer Hintergrund, warmes Gold und dunkle Erdtöne, keine Schrift, kein Logo, keine moderne Kleidung, keine Fotokopie einer realen Person.</x:v>
      </x:c>
      <x:c r="H44" s="168" t="str">
        <x:v>Offene Händlerhaltung: offene Hand zum Angebot, die andere nahe am Warenbeutel, geschäftiger aber kontrollierter Blick; antiker römischer Händler in gestreifter Tunika, Lederbeutel, bronzene Waage, vier kleine Tormarken am Gürtel, listiges freundliches Gesicht.</x:v>
      </x:c>
      <x:c r="I44" s="168" t="str">
        <x:v>Add a simple looping idle motion; 2–4 s; seamless loop; 1280×720 (720p); subtle breathing, cloth/light motion and preserved silhouette; no camera move, no text, no new objects.</x:v>
      </x:c>
      <x:c r="J44" s="168" t="str">
        <x:v>2–4</x:v>
      </x:c>
      <x:c r="K44" s="168" t="str">
        <x:v>1280×720 (720p)</x:v>
      </x:c>
      <x:c r="L44" s="168" t="str">
        <x:v>EDITORIAL_REVIEW</x:v>
      </x:c>
      <x:c r="M44" s="168" t="str">
        <x:v>Stances!A24</x:v>
      </x:c>
    </x:row>
    <x:row r="45" ht="52.79999923706055" hidden="0" customHeight="1">
      <x:c r="A45" s="168" t="str">
        <x:v>CHAR-PORTRAIT:npc_triton_callidus</x:v>
      </x:c>
      <x:c r="B45" s="168" t="str">
        <x:v>CHARACTER_PORTRAIT</x:v>
      </x:c>
      <x:c r="C45" s="168" t="str">
        <x:v>Charaktere!L</x:v>
      </x:c>
      <x:c r="D45" s="168" t="str">
        <x:v>npc_triton_callidus</x:v>
      </x:c>
      <x:c r="E45" s="168" t="str">
        <x:v>Triton Callidus</x:v>
      </x:c>
      <x:c r="F45" s="168" t="str">
        <x:v>PORTRAIT</x:v>
      </x:c>
      <x:c r="G45" s="168" t="str">
        <x:v>Mobile-RPG-Charakterporträt, Ganzkörper oder Dreiviertelfigur, Renaissance-/Rom-Fantasy mit historisch plausiblen Materialien, muskulöser Triton mit bronzener Muschelschale, blaugrüne Schuppen, steinerne Patina, breites Lachen, Wasserwirbel um die Schultern. Stimmung: laut begeistert. Klare Silhouette, neutraler atmosphärischer Hintergrund, warmes Gold und dunkle Erdtöne, keine Schrift, kein Logo, keine moderne Kleidung, keine Fotokopie einer realen Person.</x:v>
      </x:c>
      <x:c r="H45" s="168" t="str">
        <x:v>Startframe für die zugehörigen Stances</x:v>
      </x:c>
      <x:c r="I45" s="168" t="str">
        <x:v>STATIC_STARTFRAME</x:v>
      </x:c>
      <x:c r="J45" s="168" t="str"/>
      <x:c r="K45" s="168" t="str">
        <x:v>1280×720 Master + mobile Crops</x:v>
      </x:c>
      <x:c r="L45" s="168" t="str">
        <x:v>EDITORIAL_REVIEW</x:v>
      </x:c>
      <x:c r="M45" s="168" t="str">
        <x:v>Charaktere!L25</x:v>
      </x:c>
    </x:row>
    <x:row r="46" ht="52.79999923706055" hidden="0" customHeight="1">
      <x:c r="A46" s="168" t="str">
        <x:v>STANCE:npc_triton_callidus:IDLE_READY</x:v>
      </x:c>
      <x:c r="B46" s="168" t="str">
        <x:v>CHARACTER_STANCE</x:v>
      </x:c>
      <x:c r="C46" s="168" t="str">
        <x:v>Charaktere!P:S</x:v>
      </x:c>
      <x:c r="D46" s="168" t="str">
        <x:v>npc_triton_callidus</x:v>
      </x:c>
      <x:c r="E46" s="168" t="str">
        <x:v>Triton Callidus</x:v>
      </x:c>
      <x:c r="F46" s="168" t="str">
        <x:v>IDLE_READY</x:v>
      </x:c>
      <x:c r="G46" s="168" t="str">
        <x:v>Mobile-RPG-Charakterporträt, Ganzkörper oder Dreiviertelfigur, Renaissance-/Rom-Fantasy mit historisch plausiblen Materialien, muskulöser Triton mit bronzener Muschelschale, blaugrüne Schuppen, steinerne Patina, breites Lachen, Wasserwirbel um die Schultern. Stimmung: laut begeistert. Klare Silhouette, neutraler atmosphärischer Hintergrund, warmes Gold und dunkle Erdtöne, keine Schrift, kein Logo, keine moderne Kleidung, keine Fotokopie einer realen Person.</x:v>
      </x:c>
      <x:c r="H46" s="168" t="str">
        <x:v>Wasserwacht: ruhige, fliessende Haltung, Wasser- oder Schiffsanker deutlich sichtbar, leichte Wellenbewegung; muskulöser Triton mit bronzener Muschelschale, blaugrüne Schuppen, steinerne Patina, breites Lachen, Wasserwirbel um die Schultern.</x:v>
      </x:c>
      <x:c r="I46" s="168" t="str">
        <x:v>Add a simple looping idle motion; 2–4 s; seamless loop; 1280×720 (720p); subtle breathing, cloth/light motion and preserved silhouette; no camera move, no text, no new objects.</x:v>
      </x:c>
      <x:c r="J46" s="168" t="str">
        <x:v>2–4</x:v>
      </x:c>
      <x:c r="K46" s="168" t="str">
        <x:v>1280×720 (720p)</x:v>
      </x:c>
      <x:c r="L46" s="168" t="str">
        <x:v>EDITORIAL_REVIEW</x:v>
      </x:c>
      <x:c r="M46" s="168" t="str">
        <x:v>Stances!A25</x:v>
      </x:c>
    </x:row>
    <x:row r="47" ht="52.79999923706055" hidden="0" customHeight="1">
      <x:c r="A47" s="168" t="str">
        <x:v>CHAR-PORTRAIT:npc_nauta_celimontanus</x:v>
      </x:c>
      <x:c r="B47" s="168" t="str">
        <x:v>CHARACTER_PORTRAIT</x:v>
      </x:c>
      <x:c r="C47" s="168" t="str">
        <x:v>Charaktere!L</x:v>
      </x:c>
      <x:c r="D47" s="168" t="str">
        <x:v>npc_nauta_celimontanus</x:v>
      </x:c>
      <x:c r="E47" s="168" t="str">
        <x:v>Nauta Celimontanus</x:v>
      </x:c>
      <x:c r="F47" s="168" t="str">
        <x:v>PORTRAIT</x:v>
      </x:c>
      <x:c r="G47" s="168" t="str">
        <x:v>Mobile-RPG-Charakterporträt, Ganzkörper oder Dreiviertelfigur, Renaissance-/Rom-Fantasy mit historisch plausiblen Materialien, kleiner römischer Steuermann in wettergegerbtem Umhang, bronzenes Ruder, steinerne Schiffssilhouette hinter ihm, Salz- und Moosspuren. Stimmung: gelangweilt vor Anker. Klare Silhouette, neutraler atmosphärischer Hintergrund, warmes Gold und dunkle Erdtöne, keine Schrift, kein Logo, keine moderne Kleidung, keine Fotokopie einer realen Person.</x:v>
      </x:c>
      <x:c r="H47" s="168" t="str">
        <x:v>Startframe für die zugehörigen Stances</x:v>
      </x:c>
      <x:c r="I47" s="168" t="str">
        <x:v>STATIC_STARTFRAME</x:v>
      </x:c>
      <x:c r="J47" s="168" t="str"/>
      <x:c r="K47" s="168" t="str">
        <x:v>1280×720 Master + mobile Crops</x:v>
      </x:c>
      <x:c r="L47" s="168" t="str">
        <x:v>EDITORIAL_REVIEW</x:v>
      </x:c>
      <x:c r="M47" s="168" t="str">
        <x:v>Charaktere!L26</x:v>
      </x:c>
    </x:row>
    <x:row r="48" ht="52.79999923706055" hidden="0" customHeight="1">
      <x:c r="A48" s="168" t="str">
        <x:v>STANCE:npc_nauta_celimontanus:IDLE_READY</x:v>
      </x:c>
      <x:c r="B48" s="168" t="str">
        <x:v>CHARACTER_STANCE</x:v>
      </x:c>
      <x:c r="C48" s="168" t="str">
        <x:v>Charaktere!P:S</x:v>
      </x:c>
      <x:c r="D48" s="168" t="str">
        <x:v>npc_nauta_celimontanus</x:v>
      </x:c>
      <x:c r="E48" s="168" t="str">
        <x:v>Nauta Celimontanus</x:v>
      </x:c>
      <x:c r="F48" s="168" t="str">
        <x:v>IDLE_READY</x:v>
      </x:c>
      <x:c r="G48" s="168" t="str">
        <x:v>Mobile-RPG-Charakterporträt, Ganzkörper oder Dreiviertelfigur, Renaissance-/Rom-Fantasy mit historisch plausiblen Materialien, kleiner römischer Steuermann in wettergegerbtem Umhang, bronzenes Ruder, steinerne Schiffssilhouette hinter ihm, Salz- und Moosspuren. Stimmung: gelangweilt vor Anker. Klare Silhouette, neutraler atmosphärischer Hintergrund, warmes Gold und dunkle Erdtöne, keine Schrift, kein Logo, keine moderne Kleidung, keine Fotokopie einer realen Person.</x:v>
      </x:c>
      <x:c r="H48" s="168" t="str">
        <x:v>Ruhige Bereitschaft: aufrechter Stand, Gewicht leicht verlagert, Blick aufmerksam; kleiner römischer Steuermann in wettergegerbtem Umhang, bronzenes Ruder, steinerne Schiffssilhouette hinter ihm, Salz- und Moosspuren.</x:v>
      </x:c>
      <x:c r="I48" s="168" t="str">
        <x:v>Add a simple looping idle motion; 2–4 s; seamless loop; 1280×720 (720p); subtle breathing, cloth/light motion and preserved silhouette; no camera move, no text, no new objects.</x:v>
      </x:c>
      <x:c r="J48" s="168" t="str">
        <x:v>2–4</x:v>
      </x:c>
      <x:c r="K48" s="168" t="str">
        <x:v>1280×720 (720p)</x:v>
      </x:c>
      <x:c r="L48" s="168" t="str">
        <x:v>EDITORIAL_REVIEW</x:v>
      </x:c>
      <x:c r="M48" s="168" t="str">
        <x:v>Stances!A26</x:v>
      </x:c>
    </x:row>
    <x:row r="49" ht="52.79999923706055" hidden="0" customHeight="1">
      <x:c r="A49" s="168" t="str">
        <x:v>CHAR-PORTRAIT:npc_sixtus_vermesser</x:v>
      </x:c>
      <x:c r="B49" s="168" t="str">
        <x:v>CHARACTER_PORTRAIT</x:v>
      </x:c>
      <x:c r="C49" s="168" t="str">
        <x:v>Charaktere!L</x:v>
      </x:c>
      <x:c r="D49" s="168" t="str">
        <x:v>npc_sixtus_vermesser</x:v>
      </x:c>
      <x:c r="E49" s="168" t="str">
        <x:v>Sixtus, Vermesser der Achsen</x:v>
      </x:c>
      <x:c r="F49" s="168" t="str">
        <x:v>PORTRAIT</x:v>
      </x:c>
      <x:c r="G49" s="168" t="str">
        <x:v>Mobile-RPG-Charakterporträt, Ganzkörper oder Dreiviertelfigur, Renaissance-/Rom-Fantasy mit historisch plausiblen Materialien, päpstlicher Renaissance-Verwalter in weiß-rotem Gewand, Messstab, Pergamentplan, scharfe Augen, schlichter Ring, keine moderne Insignie. Stimmung: streng. Klare Silhouette, neutraler atmosphärischer Hintergrund, warmes Gold und dunkle Erdtöne, keine Schrift, kein Logo, keine moderne Kleidung, keine Fotokopie einer realen Person.</x:v>
      </x:c>
      <x:c r="H49" s="168" t="str">
        <x:v>Startframe für die zugehörigen Stances</x:v>
      </x:c>
      <x:c r="I49" s="168" t="str">
        <x:v>STATIC_STARTFRAME</x:v>
      </x:c>
      <x:c r="J49" s="168" t="str"/>
      <x:c r="K49" s="168" t="str">
        <x:v>1280×720 Master + mobile Crops</x:v>
      </x:c>
      <x:c r="L49" s="168" t="str">
        <x:v>EDITORIAL_REVIEW</x:v>
      </x:c>
      <x:c r="M49" s="168" t="str">
        <x:v>Charaktere!L27</x:v>
      </x:c>
    </x:row>
    <x:row r="50" ht="52.79999923706055" hidden="0" customHeight="1">
      <x:c r="A50" s="168" t="str">
        <x:v>STANCE:npc_sixtus_vermesser:IDLE_READY</x:v>
      </x:c>
      <x:c r="B50" s="168" t="str">
        <x:v>CHARACTER_STANCE</x:v>
      </x:c>
      <x:c r="C50" s="168" t="str">
        <x:v>Charaktere!P:S</x:v>
      </x:c>
      <x:c r="D50" s="168" t="str">
        <x:v>npc_sixtus_vermesser</x:v>
      </x:c>
      <x:c r="E50" s="168" t="str">
        <x:v>Sixtus, Vermesser der Achsen</x:v>
      </x:c>
      <x:c r="F50" s="168" t="str">
        <x:v>IDLE_READY</x:v>
      </x:c>
      <x:c r="G50" s="168" t="str">
        <x:v>Mobile-RPG-Charakterporträt, Ganzkörper oder Dreiviertelfigur, Renaissance-/Rom-Fantasy mit historisch plausiblen Materialien, päpstlicher Renaissance-Verwalter in weiß-rotem Gewand, Messstab, Pergamentplan, scharfe Augen, schlichter Ring, keine moderne Insignie. Stimmung: streng. Klare Silhouette, neutraler atmosphärischer Hintergrund, warmes Gold und dunkle Erdtöne, keine Schrift, kein Logo, keine moderne Kleidung, keine Fotokopie einer realen Person.</x:v>
      </x:c>
      <x:c r="H50" s="168" t="str">
        <x:v>Ruhige Bereitschaft: aufrechter Stand, Gewicht leicht verlagert, Blick aufmerksam; päpstlicher Renaissance-Verwalter in weiß-rotem Gewand, Messstab, Pergamentplan, scharfe Augen, schlichter Ring, keine moderne Insignie.</x:v>
      </x:c>
      <x:c r="I50" s="168" t="str">
        <x:v>Add a simple looping idle motion; 2–4 s; seamless loop; 1280×720 (720p); subtle breathing, cloth/light motion and preserved silhouette; no camera move, no text, no new objects.</x:v>
      </x:c>
      <x:c r="J50" s="168" t="str">
        <x:v>2–4</x:v>
      </x:c>
      <x:c r="K50" s="168" t="str">
        <x:v>1280×720 (720p)</x:v>
      </x:c>
      <x:c r="L50" s="168" t="str">
        <x:v>EDITORIAL_REVIEW</x:v>
      </x:c>
      <x:c r="M50" s="168" t="str">
        <x:v>Stances!A27</x:v>
      </x:c>
    </x:row>
    <x:row r="51" ht="52.79999923706055" hidden="0" customHeight="1">
      <x:c r="A51" s="168" t="str">
        <x:v>CHAR-PORTRAIT:npc_aurelian_murus</x:v>
      </x:c>
      <x:c r="B51" s="168" t="str">
        <x:v>CHARACTER_PORTRAIT</x:v>
      </x:c>
      <x:c r="C51" s="168" t="str">
        <x:v>Charaktere!L</x:v>
      </x:c>
      <x:c r="D51" s="168" t="str">
        <x:v>npc_aurelian_murus</x:v>
      </x:c>
      <x:c r="E51" s="168" t="str">
        <x:v>Aurelianus Murus</x:v>
      </x:c>
      <x:c r="F51" s="168" t="str">
        <x:v>PORTRAIT</x:v>
      </x:c>
      <x:c r="G51" s="168" t="str">
        <x:v>Mobile-RPG-Charakterporträt, Ganzkörper oder Dreiviertelfigur, Renaissance-/Rom-Fantasy mit historisch plausiblen Materialien, spätrömischer Offizier in Schuppenpanzer, roter Mantel, rechteckiger Schild, Ziegelstaub, Wachstafel mit Mauerlinie. Stimmung: alarmiert. Klare Silhouette, neutraler atmosphärischer Hintergrund, warmes Gold und dunkle Erdtöne, keine Schrift, kein Logo, keine moderne Kleidung, keine Fotokopie einer realen Person.</x:v>
      </x:c>
      <x:c r="H51" s="168" t="str">
        <x:v>Startframe für die zugehörigen Stances</x:v>
      </x:c>
      <x:c r="I51" s="168" t="str">
        <x:v>STATIC_STARTFRAME</x:v>
      </x:c>
      <x:c r="J51" s="168" t="str"/>
      <x:c r="K51" s="168" t="str">
        <x:v>1280×720 Master + mobile Crops</x:v>
      </x:c>
      <x:c r="L51" s="168" t="str">
        <x:v>EDITORIAL_REVIEW</x:v>
      </x:c>
      <x:c r="M51" s="168" t="str">
        <x:v>Charaktere!L28</x:v>
      </x:c>
    </x:row>
    <x:row r="52" ht="52.79999923706055" hidden="0" customHeight="1">
      <x:c r="A52" s="168" t="str">
        <x:v>STANCE:npc_aurelian_murus:IDLE_READY</x:v>
      </x:c>
      <x:c r="B52" s="168" t="str">
        <x:v>CHARACTER_STANCE</x:v>
      </x:c>
      <x:c r="C52" s="168" t="str">
        <x:v>Charaktere!P:S</x:v>
      </x:c>
      <x:c r="D52" s="168" t="str">
        <x:v>npc_aurelian_murus</x:v>
      </x:c>
      <x:c r="E52" s="168" t="str">
        <x:v>Aurelianus Murus</x:v>
      </x:c>
      <x:c r="F52" s="168" t="str">
        <x:v>IDLE_READY</x:v>
      </x:c>
      <x:c r="G52" s="168" t="str">
        <x:v>Mobile-RPG-Charakterporträt, Ganzkörper oder Dreiviertelfigur, Renaissance-/Rom-Fantasy mit historisch plausiblen Materialien, spätrömischer Offizier in Schuppenpanzer, roter Mantel, rechteckiger Schild, Ziegelstaub, Wachstafel mit Mauerlinie. Stimmung: alarmiert. Klare Silhouette, neutraler atmosphärischer Hintergrund, warmes Gold und dunkle Erdtöne, keine Schrift, kein Logo, keine moderne Kleidung, keine Fotokopie einer realen Person.</x:v>
      </x:c>
      <x:c r="H52" s="168" t="str">
        <x:v>Kommandopose: eine Hand weist die Route, die andere hält das Rollenobjekt, fester sichernder Stand; spätrömischer Offizier in Schuppenpanzer, roter Mantel, rechteckiger Schild, Ziegelstaub, Wachstafel mit Mauerlinie.</x:v>
      </x:c>
      <x:c r="I52" s="168" t="str">
        <x:v>Add a simple looping idle motion; 2–4 s; seamless loop; 1280×720 (720p); subtle breathing, cloth/light motion and preserved silhouette; no camera move, no text, no new objects.</x:v>
      </x:c>
      <x:c r="J52" s="168" t="str">
        <x:v>2–4</x:v>
      </x:c>
      <x:c r="K52" s="168" t="str">
        <x:v>1280×720 (720p)</x:v>
      </x:c>
      <x:c r="L52" s="168" t="str">
        <x:v>EDITORIAL_REVIEW</x:v>
      </x:c>
      <x:c r="M52" s="168" t="str">
        <x:v>Stances!A28</x:v>
      </x:c>
    </x:row>
    <x:row r="53" ht="66" hidden="0" customHeight="1">
      <x:c r="A53" s="168" t="str">
        <x:v>CHAR-PORTRAIT:npc_livia_strata</x:v>
      </x:c>
      <x:c r="B53" s="168" t="str">
        <x:v>CHARACTER_PORTRAIT</x:v>
      </x:c>
      <x:c r="C53" s="168" t="str">
        <x:v>Charaktere!L</x:v>
      </x:c>
      <x:c r="D53" s="168" t="str">
        <x:v>npc_livia_strata</x:v>
      </x:c>
      <x:c r="E53" s="168" t="str">
        <x:v>Livia Strata</x:v>
      </x:c>
      <x:c r="F53" s="168" t="str">
        <x:v>PORTRAIT</x:v>
      </x:c>
      <x:c r="G53" s="168" t="str">
        <x:v>Mobile-RPG-Charakterporträt, Ganzkörper oder Dreiviertelfigur, Renaissance-/Rom-Fantasy mit historisch plausiblen Materialien, römische Feldarchäologin im staubigen braunen Mantel, Ledertasche, Pinsel, drei Materialproben – Marmor, Granit, Ziegel –, leuchtende Notizzettel. Stimmung: aufgeregt und besorgt. Klare Silhouette, neutraler atmosphärischer Hintergrund, warmes Gold und dunkle Erdtöne, keine Schrift, kein Logo, keine moderne Kleidung, keine Fotokopie einer realen Person.</x:v>
      </x:c>
      <x:c r="H53" s="168" t="str">
        <x:v>Startframe für die zugehörigen Stances</x:v>
      </x:c>
      <x:c r="I53" s="168" t="str">
        <x:v>STATIC_STARTFRAME</x:v>
      </x:c>
      <x:c r="J53" s="168" t="str"/>
      <x:c r="K53" s="168" t="str">
        <x:v>1280×720 Master + mobile Crops</x:v>
      </x:c>
      <x:c r="L53" s="168" t="str">
        <x:v>EDITORIAL_REVIEW</x:v>
      </x:c>
      <x:c r="M53" s="168" t="str">
        <x:v>Charaktere!L29</x:v>
      </x:c>
    </x:row>
    <x:row r="54" ht="66" hidden="0" customHeight="1">
      <x:c r="A54" s="168" t="str">
        <x:v>STANCE:npc_livia_strata:IDLE_READY</x:v>
      </x:c>
      <x:c r="B54" s="168" t="str">
        <x:v>CHARACTER_STANCE</x:v>
      </x:c>
      <x:c r="C54" s="168" t="str">
        <x:v>Charaktere!P:S</x:v>
      </x:c>
      <x:c r="D54" s="168" t="str">
        <x:v>npc_livia_strata</x:v>
      </x:c>
      <x:c r="E54" s="168" t="str">
        <x:v>Livia Strata</x:v>
      </x:c>
      <x:c r="F54" s="168" t="str">
        <x:v>IDLE_READY</x:v>
      </x:c>
      <x:c r="G54" s="168" t="str">
        <x:v>Mobile-RPG-Charakterporträt, Ganzkörper oder Dreiviertelfigur, Renaissance-/Rom-Fantasy mit historisch plausiblen Materialien, römische Feldarchäologin im staubigen braunen Mantel, Ledertasche, Pinsel, drei Materialproben – Marmor, Granit, Ziegel –, leuchtende Notizzettel. Stimmung: aufgeregt und besorgt. Klare Silhouette, neutraler atmosphärischer Hintergrund, warmes Gold und dunkle Erdtöne, keine Schrift, kein Logo, keine moderne Kleidung, keine Fotokopie einer realen Person.</x:v>
      </x:c>
      <x:c r="H54" s="168" t="str">
        <x:v>Ruhige Bereitschaft: aufrechter Stand, Gewicht leicht verlagert, Blick aufmerksam; römische Feldarchäologin im staubigen braunen Mantel, Ledertasche, Pinsel, drei Materialproben – Marmor, Granit, Ziegel –, leuchtende Notizzettel.</x:v>
      </x:c>
      <x:c r="I54" s="168" t="str">
        <x:v>Add a simple looping idle motion; 2–4 s; seamless loop; 1280×720 (720p); subtle breathing, cloth/light motion and preserved silhouette; no camera move, no text, no new objects.</x:v>
      </x:c>
      <x:c r="J54" s="168" t="str">
        <x:v>2–4</x:v>
      </x:c>
      <x:c r="K54" s="168" t="str">
        <x:v>1280×720 (720p)</x:v>
      </x:c>
      <x:c r="L54" s="168" t="str">
        <x:v>EDITORIAL_REVIEW</x:v>
      </x:c>
      <x:c r="M54" s="168" t="str">
        <x:v>Stances!A29</x:v>
      </x:c>
    </x:row>
    <x:row r="55" ht="52.79999923706055" hidden="0" customHeight="1">
      <x:c r="A55" s="168" t="str">
        <x:v>CHAR-PORTRAIT:npc_frontinus_aquarius</x:v>
      </x:c>
      <x:c r="B55" s="168" t="str">
        <x:v>CHARACTER_PORTRAIT</x:v>
      </x:c>
      <x:c r="C55" s="168" t="str">
        <x:v>Charaktere!L</x:v>
      </x:c>
      <x:c r="D55" s="168" t="str">
        <x:v>npc_frontinus_aquarius</x:v>
      </x:c>
      <x:c r="E55" s="168" t="str">
        <x:v>Frontinus, Curator Aquarum</x:v>
      </x:c>
      <x:c r="F55" s="168" t="str">
        <x:v>PORTRAIT</x:v>
      </x:c>
      <x:c r="G55" s="168" t="str">
        <x:v>Mobile-RPG-Charakterporträt, Ganzkörper oder Dreiviertelfigur, Renaissance-/Rom-Fantasy mit historisch plausiblen Materialien, römischer Ingenieur in kurzer Tunika und Mantel, Messstab, Bleiplombe, Wachstafel mit Aquäduktquerschnitt, graues Haar, prüfender Blick. Stimmung: dringlich genervt. Klare Silhouette, neutraler atmosphärischer Hintergrund, warmes Gold und dunkle Erdtöne, keine Schrift, kein Logo, keine moderne Kleidung, keine Fotokopie einer realen Person.</x:v>
      </x:c>
      <x:c r="H55" s="168" t="str">
        <x:v>Startframe für die zugehörigen Stances</x:v>
      </x:c>
      <x:c r="I55" s="168" t="str">
        <x:v>STATIC_STARTFRAME</x:v>
      </x:c>
      <x:c r="J55" s="168" t="str"/>
      <x:c r="K55" s="168" t="str">
        <x:v>1280×720 Master + mobile Crops</x:v>
      </x:c>
      <x:c r="L55" s="168" t="str">
        <x:v>EDITORIAL_REVIEW</x:v>
      </x:c>
      <x:c r="M55" s="168" t="str">
        <x:v>Charaktere!L30</x:v>
      </x:c>
    </x:row>
    <x:row r="56" ht="52.79999923706055" hidden="0" customHeight="1">
      <x:c r="A56" s="168" t="str">
        <x:v>STANCE:npc_frontinus_aquarius:IDLE_READY</x:v>
      </x:c>
      <x:c r="B56" s="168" t="str">
        <x:v>CHARACTER_STANCE</x:v>
      </x:c>
      <x:c r="C56" s="168" t="str">
        <x:v>Charaktere!P:S</x:v>
      </x:c>
      <x:c r="D56" s="168" t="str">
        <x:v>npc_frontinus_aquarius</x:v>
      </x:c>
      <x:c r="E56" s="168" t="str">
        <x:v>Frontinus, Curator Aquarum</x:v>
      </x:c>
      <x:c r="F56" s="168" t="str">
        <x:v>IDLE_READY</x:v>
      </x:c>
      <x:c r="G56" s="168" t="str">
        <x:v>Mobile-RPG-Charakterporträt, Ganzkörper oder Dreiviertelfigur, Renaissance-/Rom-Fantasy mit historisch plausiblen Materialien, römischer Ingenieur in kurzer Tunika und Mantel, Messstab, Bleiplombe, Wachstafel mit Aquäduktquerschnitt, graues Haar, prüfender Blick. Stimmung: dringlich genervt. Klare Silhouette, neutraler atmosphärischer Hintergrund, warmes Gold und dunkle Erdtöne, keine Schrift, kein Logo, keine moderne Kleidung, keine Fotokopie einer realen Person.</x:v>
      </x:c>
      <x:c r="H56" s="168" t="str">
        <x:v>Wasserwacht: ruhige, fliessende Haltung, Wasser- oder Schiffsanker deutlich sichtbar, leichte Wellenbewegung; römischer Ingenieur in kurzer Tunika und Mantel, Messstab, Bleiplombe, Wachstafel mit Aquäduktquerschnitt, graues Haar, prüfender Blick.</x:v>
      </x:c>
      <x:c r="I56" s="168" t="str">
        <x:v>Add a simple looping idle motion; 2–4 s; seamless loop; 1280×720 (720p); subtle breathing, cloth/light motion and preserved silhouette; no camera move, no text, no new objects.</x:v>
      </x:c>
      <x:c r="J56" s="168" t="str">
        <x:v>2–4</x:v>
      </x:c>
      <x:c r="K56" s="168" t="str">
        <x:v>1280×720 (720p)</x:v>
      </x:c>
      <x:c r="L56" s="168" t="str">
        <x:v>EDITORIAL_REVIEW</x:v>
      </x:c>
      <x:c r="M56" s="168" t="str">
        <x:v>Stances!A30</x:v>
      </x:c>
    </x:row>
    <x:row r="57" ht="66" hidden="0" customHeight="1">
      <x:c r="A57" s="168" t="str">
        <x:v>CHAR-PORTRAIT:npc_livia_lens</x:v>
      </x:c>
      <x:c r="B57" s="168" t="str">
        <x:v>CHARACTER_PORTRAIT</x:v>
      </x:c>
      <x:c r="C57" s="168" t="str">
        <x:v>Charaktere!L</x:v>
      </x:c>
      <x:c r="D57" s="168" t="str">
        <x:v>npc_livia_lens</x:v>
      </x:c>
      <x:c r="E57" s="168" t="str">
        <x:v>Livia Lens</x:v>
      </x:c>
      <x:c r="F57" s="168" t="str">
        <x:v>PORTRAIT</x:v>
      </x:c>
      <x:c r="G57" s="168" t="str">
        <x:v>Mobile-RPG-Charakterporträt, Ganzkörper oder Dreiviertelfigur, Renaissance-/Rom-Fantasy mit historisch plausiblen Materialien, junge römische Chronistin im Renaissance-Reisemantel, kleine Messingkamera als magisches Artefakt, zwölf leere Bildrahmen am Gürtel, lebhafte braune Augen. Stimmung: begeistert unter Zeitdruck. Klare Silhouette, neutraler atmosphärischer Hintergrund, warmes Gold und dunkle Erdtöne, keine Schrift, kein Logo, keine moderne Kleidung, keine Fotokopie einer realen Person.</x:v>
      </x:c>
      <x:c r="H57" s="168" t="str">
        <x:v>Startframe für die zugehörigen Stances</x:v>
      </x:c>
      <x:c r="I57" s="168" t="str">
        <x:v>STATIC_STARTFRAME</x:v>
      </x:c>
      <x:c r="J57" s="168" t="str"/>
      <x:c r="K57" s="168" t="str">
        <x:v>1280×720 Master + mobile Crops</x:v>
      </x:c>
      <x:c r="L57" s="168" t="str">
        <x:v>EDITORIAL_REVIEW</x:v>
      </x:c>
      <x:c r="M57" s="168" t="str">
        <x:v>Charaktere!L31</x:v>
      </x:c>
    </x:row>
    <x:row r="58" ht="66" hidden="0" customHeight="1">
      <x:c r="A58" s="168" t="str">
        <x:v>STANCE:npc_livia_lens:IDLE_READY</x:v>
      </x:c>
      <x:c r="B58" s="168" t="str">
        <x:v>CHARACTER_STANCE</x:v>
      </x:c>
      <x:c r="C58" s="168" t="str">
        <x:v>Charaktere!P:S</x:v>
      </x:c>
      <x:c r="D58" s="168" t="str">
        <x:v>npc_livia_lens</x:v>
      </x:c>
      <x:c r="E58" s="168" t="str">
        <x:v>Livia Lens</x:v>
      </x:c>
      <x:c r="F58" s="168" t="str">
        <x:v>IDLE_READY</x:v>
      </x:c>
      <x:c r="G58" s="168" t="str">
        <x:v>Mobile-RPG-Charakterporträt, Ganzkörper oder Dreiviertelfigur, Renaissance-/Rom-Fantasy mit historisch plausiblen Materialien, junge römische Chronistin im Renaissance-Reisemantel, kleine Messingkamera als magisches Artefakt, zwölf leere Bildrahmen am Gürtel, lebhafte braune Augen. Stimmung: begeistert unter Zeitdruck. Klare Silhouette, neutraler atmosphärischer Hintergrund, warmes Gold und dunkle Erdtöne, keine Schrift, kein Logo, keine moderne Kleidung, keine Fotokopie einer realen Person.</x:v>
      </x:c>
      <x:c r="H58" s="168" t="str">
        <x:v>Ruhige Bereitschaft: aufrechter Stand, Gewicht leicht verlagert, Blick aufmerksam; junge römische Chronistin im Renaissance-Reisemantel, kleine Messingkamera als magisches Artefakt, zwölf leere Bildrahmen am Gürtel, lebhafte braune Augen.</x:v>
      </x:c>
      <x:c r="I58" s="168" t="str">
        <x:v>Add a simple looping idle motion; 2–4 s; seamless loop; 1280×720 (720p); subtle breathing, cloth/light motion and preserved silhouette; no camera move, no text, no new objects.</x:v>
      </x:c>
      <x:c r="J58" s="168" t="str">
        <x:v>2–4</x:v>
      </x:c>
      <x:c r="K58" s="168" t="str">
        <x:v>1280×720 (720p)</x:v>
      </x:c>
      <x:c r="L58" s="168" t="str">
        <x:v>EDITORIAL_REVIEW</x:v>
      </x:c>
      <x:c r="M58" s="168" t="str">
        <x:v>Stances!A31</x:v>
      </x:c>
    </x:row>
    <x:row r="59" ht="52.79999923706055" hidden="0" customHeight="1">
      <x:c r="A59" s="168" t="str">
        <x:v>CHAR-PORTRAIT:npc_auriga_quinta</x:v>
      </x:c>
      <x:c r="B59" s="168" t="str">
        <x:v>CHARACTER_PORTRAIT</x:v>
      </x:c>
      <x:c r="C59" s="168" t="str">
        <x:v>Charaktere!L</x:v>
      </x:c>
      <x:c r="D59" s="168" t="str">
        <x:v>npc_auriga_quinta</x:v>
      </x:c>
      <x:c r="E59" s="168" t="str">
        <x:v>Quinta Fulvia</x:v>
      </x:c>
      <x:c r="F59" s="168" t="str">
        <x:v>PORTRAIT</x:v>
      </x:c>
      <x:c r="G59" s="168" t="str">
        <x:v>Mobile-RPG-Charakterporträt, Ganzkörper oder Dreiviertelfigur, Renaissance-/Rom-Fantasy mit historisch plausiblen Materialien, römische Wagenlenkerin in grüner Tunika, Lederhelm, Zügel um die Schulter, Staub, selbstbewusstes Grinsen. Stimmung: startbereit. Klare Silhouette, neutraler atmosphärischer Hintergrund, warmes Gold und dunkle Erdtöne, keine Schrift, kein Logo, keine moderne Kleidung, keine Fotokopie einer realen Person.</x:v>
      </x:c>
      <x:c r="H59" s="168" t="str">
        <x:v>Startframe für die zugehörigen Stances</x:v>
      </x:c>
      <x:c r="I59" s="168" t="str">
        <x:v>STATIC_STARTFRAME</x:v>
      </x:c>
      <x:c r="J59" s="168" t="str"/>
      <x:c r="K59" s="168" t="str">
        <x:v>1280×720 Master + mobile Crops</x:v>
      </x:c>
      <x:c r="L59" s="168" t="str">
        <x:v>EDITORIAL_REVIEW</x:v>
      </x:c>
      <x:c r="M59" s="168" t="str">
        <x:v>Charaktere!L32</x:v>
      </x:c>
    </x:row>
    <x:row r="60" ht="52.79999923706055" hidden="0" customHeight="1">
      <x:c r="A60" s="168" t="str">
        <x:v>STANCE:npc_auriga_quinta:IDLE_READY</x:v>
      </x:c>
      <x:c r="B60" s="168" t="str">
        <x:v>CHARACTER_STANCE</x:v>
      </x:c>
      <x:c r="C60" s="168" t="str">
        <x:v>Charaktere!P:S</x:v>
      </x:c>
      <x:c r="D60" s="168" t="str">
        <x:v>npc_auriga_quinta</x:v>
      </x:c>
      <x:c r="E60" s="168" t="str">
        <x:v>Quinta Fulvia</x:v>
      </x:c>
      <x:c r="F60" s="168" t="str">
        <x:v>IDLE_READY</x:v>
      </x:c>
      <x:c r="G60" s="168" t="str">
        <x:v>Mobile-RPG-Charakterporträt, Ganzkörper oder Dreiviertelfigur, Renaissance-/Rom-Fantasy mit historisch plausiblen Materialien, römische Wagenlenkerin in grüner Tunika, Lederhelm, Zügel um die Schulter, Staub, selbstbewusstes Grinsen. Stimmung: startbereit. Klare Silhouette, neutraler atmosphärischer Hintergrund, warmes Gold und dunkle Erdtöne, keine Schrift, kein Logo, keine moderne Kleidung, keine Fotokopie einer realen Person.</x:v>
      </x:c>
      <x:c r="H60" s="168" t="str">
        <x:v>Ruhige Bereitschaft: aufrechter Stand, Gewicht leicht verlagert, Blick aufmerksam; römische Wagenlenkerin in grüner Tunika, Lederhelm, Zügel um die Schulter, Staub, selbstbewusstes Grinsen.</x:v>
      </x:c>
      <x:c r="I60" s="168" t="str">
        <x:v>Add a simple looping idle motion; 2–4 s; seamless loop; 1280×720 (720p); subtle breathing, cloth/light motion and preserved silhouette; no camera move, no text, no new objects.</x:v>
      </x:c>
      <x:c r="J60" s="168" t="str">
        <x:v>2–4</x:v>
      </x:c>
      <x:c r="K60" s="168" t="str">
        <x:v>1280×720 (720p)</x:v>
      </x:c>
      <x:c r="L60" s="168" t="str">
        <x:v>EDITORIAL_REVIEW</x:v>
      </x:c>
      <x:c r="M60" s="168" t="str">
        <x:v>Stances!A32</x:v>
      </x:c>
    </x:row>
    <x:row r="61" ht="52.79999923706055" hidden="0" customHeight="1">
      <x:c r="A61" s="168" t="str">
        <x:v>CHAR-PORTRAIT:npc_mercator_minimus</x:v>
      </x:c>
      <x:c r="B61" s="168" t="str">
        <x:v>CHARACTER_PORTRAIT</x:v>
      </x:c>
      <x:c r="C61" s="168" t="str">
        <x:v>Charaktere!L</x:v>
      </x:c>
      <x:c r="D61" s="168" t="str">
        <x:v>npc_mercator_minimus</x:v>
      </x:c>
      <x:c r="E61" s="168" t="str">
        <x:v>Mercator Minimus</x:v>
      </x:c>
      <x:c r="F61" s="168" t="str">
        <x:v>PORTRAIT</x:v>
      </x:c>
      <x:c r="G61" s="168" t="str">
        <x:v>Mobile-RPG-Charakterporträt, Ganzkörper oder Dreiviertelfigur, Renaissance-/Rom-Fantasy mit historisch plausiblen Materialien, kleiner römischer Händler hinter übergroßer Wachstafel, violette Tunika, Münzwaage, winzige Preisschilder, hochgezogene Augenbraue. Stimmung: skeptisch neugierig. Klare Silhouette, neutraler atmosphärischer Hintergrund, warmes Gold und dunkle Erdtöne, keine Schrift, kein Logo, keine moderne Kleidung, keine Fotokopie einer realen Person.</x:v>
      </x:c>
      <x:c r="H61" s="168" t="str">
        <x:v>Startframe für die zugehörigen Stances</x:v>
      </x:c>
      <x:c r="I61" s="168" t="str">
        <x:v>STATIC_STARTFRAME</x:v>
      </x:c>
      <x:c r="J61" s="168" t="str"/>
      <x:c r="K61" s="168" t="str">
        <x:v>1280×720 Master + mobile Crops</x:v>
      </x:c>
      <x:c r="L61" s="168" t="str">
        <x:v>EDITORIAL_REVIEW</x:v>
      </x:c>
      <x:c r="M61" s="168" t="str">
        <x:v>Charaktere!L33</x:v>
      </x:c>
    </x:row>
    <x:row r="62" ht="52.79999923706055" hidden="0" customHeight="1">
      <x:c r="A62" s="168" t="str">
        <x:v>STANCE:npc_mercator_minimus:IDLE_READY</x:v>
      </x:c>
      <x:c r="B62" s="168" t="str">
        <x:v>CHARACTER_STANCE</x:v>
      </x:c>
      <x:c r="C62" s="168" t="str">
        <x:v>Charaktere!P:S</x:v>
      </x:c>
      <x:c r="D62" s="168" t="str">
        <x:v>npc_mercator_minimus</x:v>
      </x:c>
      <x:c r="E62" s="168" t="str">
        <x:v>Mercator Minimus</x:v>
      </x:c>
      <x:c r="F62" s="168" t="str">
        <x:v>IDLE_READY</x:v>
      </x:c>
      <x:c r="G62" s="168" t="str">
        <x:v>Mobile-RPG-Charakterporträt, Ganzkörper oder Dreiviertelfigur, Renaissance-/Rom-Fantasy mit historisch plausiblen Materialien, kleiner römischer Händler hinter übergroßer Wachstafel, violette Tunika, Münzwaage, winzige Preisschilder, hochgezogene Augenbraue. Stimmung: skeptisch neugierig. Klare Silhouette, neutraler atmosphärischer Hintergrund, warmes Gold und dunkle Erdtöne, keine Schrift, kein Logo, keine moderne Kleidung, keine Fotokopie einer realen Person.</x:v>
      </x:c>
      <x:c r="H62" s="168" t="str">
        <x:v>Ruhige Bereitschaft: aufrechter Stand, Gewicht leicht verlagert, Blick aufmerksam; kleiner römischer Händler hinter übergroßer Wachstafel, violette Tunika, Münzwaage, winzige Preisschilder, hochgezogene Augenbraue.</x:v>
      </x:c>
      <x:c r="I62" s="168" t="str">
        <x:v>Add a simple looping idle motion; 2–4 s; seamless loop; 1280×720 (720p); subtle breathing, cloth/light motion and preserved silhouette; no camera move, no text, no new objects.</x:v>
      </x:c>
      <x:c r="J62" s="168" t="str">
        <x:v>2–4</x:v>
      </x:c>
      <x:c r="K62" s="168" t="str">
        <x:v>1280×720 (720p)</x:v>
      </x:c>
      <x:c r="L62" s="168" t="str">
        <x:v>EDITORIAL_REVIEW</x:v>
      </x:c>
      <x:c r="M62" s="168" t="str">
        <x:v>Stances!A33</x:v>
      </x:c>
    </x:row>
    <x:row r="63" ht="52.79999923706055" hidden="0" customHeight="1">
      <x:c r="A63" s="168" t="str">
        <x:v>CHAR-PORTRAIT:npc_tartaruga_quarta</x:v>
      </x:c>
      <x:c r="B63" s="168" t="str">
        <x:v>CHARACTER_PORTRAIT</x:v>
      </x:c>
      <x:c r="C63" s="168" t="str">
        <x:v>Charaktere!L</x:v>
      </x:c>
      <x:c r="D63" s="168" t="str">
        <x:v>npc_tartaruga_quarta</x:v>
      </x:c>
      <x:c r="E63" s="168" t="str">
        <x:v>Die vierte Schildkröte</x:v>
      </x:c>
      <x:c r="F63" s="168" t="str">
        <x:v>PORTRAIT</x:v>
      </x:c>
      <x:c r="G63" s="168" t="str">
        <x:v>Mobile-RPG-Charakterporträt, Ganzkörper oder Dreiviertelfigur, Renaissance-/Rom-Fantasy mit historisch plausiblen Materialien, kleine bronzene Schildkröte mit grüner Patina, winziger Wächterhelm, leuchtende Augen, Wassertropfen. Stimmung: misstrauisch verschlafen. Klare Silhouette, neutraler atmosphärischer Hintergrund, warmes Gold und dunkle Erdtöne, keine Schrift, kein Logo, keine moderne Kleidung, keine Fotokopie einer realen Person.</x:v>
      </x:c>
      <x:c r="H63" s="168" t="str">
        <x:v>Startframe für die zugehörigen Stances</x:v>
      </x:c>
      <x:c r="I63" s="168" t="str">
        <x:v>STATIC_STARTFRAME</x:v>
      </x:c>
      <x:c r="J63" s="168" t="str"/>
      <x:c r="K63" s="168" t="str">
        <x:v>1280×720 Master + mobile Crops</x:v>
      </x:c>
      <x:c r="L63" s="168" t="str">
        <x:v>EDITORIAL_REVIEW</x:v>
      </x:c>
      <x:c r="M63" s="168" t="str">
        <x:v>Charaktere!L34</x:v>
      </x:c>
    </x:row>
    <x:row r="64" ht="52.79999923706055" hidden="0" customHeight="1">
      <x:c r="A64" s="168" t="str">
        <x:v>STANCE:npc_tartaruga_quarta:IDLE_READY</x:v>
      </x:c>
      <x:c r="B64" s="168" t="str">
        <x:v>CHARACTER_STANCE</x:v>
      </x:c>
      <x:c r="C64" s="168" t="str">
        <x:v>Charaktere!P:S</x:v>
      </x:c>
      <x:c r="D64" s="168" t="str">
        <x:v>npc_tartaruga_quarta</x:v>
      </x:c>
      <x:c r="E64" s="168" t="str">
        <x:v>Die vierte Schildkröte</x:v>
      </x:c>
      <x:c r="F64" s="168" t="str">
        <x:v>IDLE_READY</x:v>
      </x:c>
      <x:c r="G64" s="168" t="str">
        <x:v>Mobile-RPG-Charakterporträt, Ganzkörper oder Dreiviertelfigur, Renaissance-/Rom-Fantasy mit historisch plausiblen Materialien, kleine bronzene Schildkröte mit grüner Patina, winziger Wächterhelm, leuchtende Augen, Wassertropfen. Stimmung: misstrauisch verschlafen. Klare Silhouette, neutraler atmosphärischer Hintergrund, warmes Gold und dunkle Erdtöne, keine Schrift, kein Logo, keine moderne Kleidung, keine Fotokopie einer realen Person.</x:v>
      </x:c>
      <x:c r="H64" s="168" t="str">
        <x:v>Wasserwacht: ruhige, fliessende Haltung, Wasser- oder Schiffsanker deutlich sichtbar, leichte Wellenbewegung; kleine bronzene Schildkröte mit grüner Patina, winziger Wächterhelm, leuchtende Augen, Wassertropfen.</x:v>
      </x:c>
      <x:c r="I64" s="168" t="str">
        <x:v>Add a simple looping idle motion; 2–4 s; seamless loop; 1280×720 (720p); subtle breathing, cloth/light motion and preserved silhouette; no camera move, no text, no new objects.</x:v>
      </x:c>
      <x:c r="J64" s="168" t="str">
        <x:v>2–4</x:v>
      </x:c>
      <x:c r="K64" s="168" t="str">
        <x:v>1280×720 (720p)</x:v>
      </x:c>
      <x:c r="L64" s="168" t="str">
        <x:v>EDITORIAL_REVIEW</x:v>
      </x:c>
      <x:c r="M64" s="168" t="str">
        <x:v>Stances!A34</x:v>
      </x:c>
    </x:row>
    <x:row r="65" ht="52.79999923706055" hidden="0" customHeight="1">
      <x:c r="A65" s="168" t="str">
        <x:v>CHAR-PORTRAIT:npc_rattus_virgo</x:v>
      </x:c>
      <x:c r="B65" s="168" t="str">
        <x:v>CHARACTER_PORTRAIT</x:v>
      </x:c>
      <x:c r="C65" s="168" t="str">
        <x:v>Charaktere!L</x:v>
      </x:c>
      <x:c r="D65" s="168" t="str">
        <x:v>npc_rattus_virgo</x:v>
      </x:c>
      <x:c r="E65" s="168" t="str">
        <x:v>Rattus Virgo</x:v>
      </x:c>
      <x:c r="F65" s="168" t="str">
        <x:v>PORTRAIT</x:v>
      </x:c>
      <x:c r="G65" s="168" t="str">
        <x:v>Mobile-RPG-Charakterporträt, Ganzkörper oder Dreiviertelfigur, Renaissance-/Rom-Fantasy mit historisch plausiblen Materialien, große nasse Kanalratte mit zerfetzter römischer Schärpe, kleine gestohlene Münzen, Travertinstaub, wacher listiger Blick. Stimmung: ertappt und angriffslustig. Klare Silhouette, neutraler atmosphärischer Hintergrund, warmes Gold und dunkle Erdtöne, keine Schrift, kein Logo, keine moderne Kleidung, keine Fotokopie einer realen Person.</x:v>
      </x:c>
      <x:c r="H65" s="168" t="str">
        <x:v>Startframe für die zugehörigen Stances</x:v>
      </x:c>
      <x:c r="I65" s="168" t="str">
        <x:v>STATIC_STARTFRAME</x:v>
      </x:c>
      <x:c r="J65" s="168" t="str"/>
      <x:c r="K65" s="168" t="str">
        <x:v>1280×720 Master + mobile Crops</x:v>
      </x:c>
      <x:c r="L65" s="168" t="str">
        <x:v>EDITORIAL_REVIEW</x:v>
      </x:c>
      <x:c r="M65" s="168" t="str">
        <x:v>Charaktere!L35</x:v>
      </x:c>
    </x:row>
    <x:row r="66" ht="52.79999923706055" hidden="0" customHeight="1">
      <x:c r="A66" s="168" t="str">
        <x:v>STANCE:npc_rattus_virgo:IDLE_READY</x:v>
      </x:c>
      <x:c r="B66" s="168" t="str">
        <x:v>CHARACTER_STANCE</x:v>
      </x:c>
      <x:c r="C66" s="168" t="str">
        <x:v>Charaktere!P:S</x:v>
      </x:c>
      <x:c r="D66" s="168" t="str">
        <x:v>npc_rattus_virgo</x:v>
      </x:c>
      <x:c r="E66" s="168" t="str">
        <x:v>Rattus Virgo</x:v>
      </x:c>
      <x:c r="F66" s="168" t="str">
        <x:v>IDLE_READY</x:v>
      </x:c>
      <x:c r="G66" s="168" t="str">
        <x:v>Mobile-RPG-Charakterporträt, Ganzkörper oder Dreiviertelfigur, Renaissance-/Rom-Fantasy mit historisch plausiblen Materialien, große nasse Kanalratte mit zerfetzter römischer Schärpe, kleine gestohlene Münzen, Travertinstaub, wacher listiger Blick. Stimmung: ertappt und angriffslustig. Klare Silhouette, neutraler atmosphärischer Hintergrund, warmes Gold und dunkle Erdtöne, keine Schrift, kein Logo, keine moderne Kleidung, keine Fotokopie einer realen Person.</x:v>
      </x:c>
      <x:c r="H66" s="168" t="str">
        <x:v>Ruhige Bereitschaft: aufrechter Stand, Gewicht leicht verlagert, Blick aufmerksam; große nasse Kanalratte mit zerfetzter römischer Schärpe, kleine gestohlene Münzen, Travertinstaub, wacher listiger Blick.</x:v>
      </x:c>
      <x:c r="I66" s="168" t="str">
        <x:v>Add a simple looping idle motion; 2–4 s; seamless loop; 1280×720 (720p); subtle breathing, cloth/light motion and preserved silhouette; no camera move, no text, no new objects.</x:v>
      </x:c>
      <x:c r="J66" s="168" t="str">
        <x:v>2–4</x:v>
      </x:c>
      <x:c r="K66" s="168" t="str">
        <x:v>1280×720 (720p)</x:v>
      </x:c>
      <x:c r="L66" s="168" t="str">
        <x:v>EDITORIAL_REVIEW</x:v>
      </x:c>
      <x:c r="M66" s="168" t="str">
        <x:v>Stances!A35</x:v>
      </x:c>
    </x:row>
    <x:row r="67" ht="52.79999923706055" hidden="0" customHeight="1">
      <x:c r="A67" s="168" t="str">
        <x:v>CHAR-PORTRAIT:npc_satirelli_gemelli</x:v>
      </x:c>
      <x:c r="B67" s="168" t="str">
        <x:v>CHARACTER_PORTRAIT</x:v>
      </x:c>
      <x:c r="C67" s="168" t="str">
        <x:v>Charaktere!L</x:v>
      </x:c>
      <x:c r="D67" s="168" t="str">
        <x:v>npc_satirelli_gemelli</x:v>
      </x:c>
      <x:c r="E67" s="168" t="str">
        <x:v>I Satirelli Gemelli</x:v>
      </x:c>
      <x:c r="F67" s="168" t="str">
        <x:v>PORTRAIT</x:v>
      </x:c>
      <x:c r="G67" s="168" t="str">
        <x:v>Mobile-RPG-Charakterporträt, Ganzkörper oder Dreiviertelfigur, Renaissance-/Rom-Fantasy mit historisch plausiblen Materialien, zwei kleine Satyrwesen aus dunklem Stein, lockiges Haar, kleine Hörner, einer mit Panflöte, einer mit Traubenranke, lebendige Augen. Stimmung: kichernd streitsüchtig. Klare Silhouette, neutraler atmosphärischer Hintergrund, warmes Gold und dunkle Erdtöne, keine Schrift, kein Logo, keine moderne Kleidung, keine Fotokopie einer realen Person.</x:v>
      </x:c>
      <x:c r="H67" s="168" t="str">
        <x:v>Startframe für die zugehörigen Stances</x:v>
      </x:c>
      <x:c r="I67" s="168" t="str">
        <x:v>STATIC_STARTFRAME</x:v>
      </x:c>
      <x:c r="J67" s="168" t="str"/>
      <x:c r="K67" s="168" t="str">
        <x:v>1280×720 Master + mobile Crops</x:v>
      </x:c>
      <x:c r="L67" s="168" t="str">
        <x:v>EDITORIAL_REVIEW</x:v>
      </x:c>
      <x:c r="M67" s="168" t="str">
        <x:v>Charaktere!L36</x:v>
      </x:c>
    </x:row>
    <x:row r="68" ht="52.79999923706055" hidden="0" customHeight="1">
      <x:c r="A68" s="168" t="str">
        <x:v>STANCE:npc_satirelli_gemelli:IDLE_READY</x:v>
      </x:c>
      <x:c r="B68" s="168" t="str">
        <x:v>CHARACTER_STANCE</x:v>
      </x:c>
      <x:c r="C68" s="168" t="str">
        <x:v>Charaktere!P:S</x:v>
      </x:c>
      <x:c r="D68" s="168" t="str">
        <x:v>npc_satirelli_gemelli</x:v>
      </x:c>
      <x:c r="E68" s="168" t="str">
        <x:v>I Satirelli Gemelli</x:v>
      </x:c>
      <x:c r="F68" s="168" t="str">
        <x:v>IDLE_READY</x:v>
      </x:c>
      <x:c r="G68" s="168" t="str">
        <x:v>Mobile-RPG-Charakterporträt, Ganzkörper oder Dreiviertelfigur, Renaissance-/Rom-Fantasy mit historisch plausiblen Materialien, zwei kleine Satyrwesen aus dunklem Stein, lockiges Haar, kleine Hörner, einer mit Panflöte, einer mit Traubenranke, lebendige Augen. Stimmung: kichernd streitsüchtig. Klare Silhouette, neutraler atmosphärischer Hintergrund, warmes Gold und dunkle Erdtöne, keine Schrift, kein Logo, keine moderne Kleidung, keine Fotokopie einer realen Person.</x:v>
      </x:c>
      <x:c r="H68" s="168" t="str">
        <x:v>Listige Bereitschaft: leicht versetzter Stand, Hände bereit für die nächste Täuschung, wacher seitlicher Blick; zwei kleine Satyrwesen aus dunklem Stein, lockiges Haar, kleine Hörner, einer mit Panflöte, einer mit Traubenranke, lebendige Augen.</x:v>
      </x:c>
      <x:c r="I68" s="168" t="str">
        <x:v>Add a simple looping idle motion; 2–4 s; seamless loop; 1280×720 (720p); subtle breathing, cloth/light motion and preserved silhouette; no camera move, no text, no new objects.</x:v>
      </x:c>
      <x:c r="J68" s="168" t="str">
        <x:v>2–4</x:v>
      </x:c>
      <x:c r="K68" s="168" t="str">
        <x:v>1280×720 (720p)</x:v>
      </x:c>
      <x:c r="L68" s="168" t="str">
        <x:v>EDITORIAL_REVIEW</x:v>
      </x:c>
      <x:c r="M68" s="168" t="str">
        <x:v>Stances!A36</x:v>
      </x:c>
    </x:row>
    <x:row r="69" ht="52.79999923706055" hidden="0" customHeight="1">
      <x:c r="A69" s="168" t="str">
        <x:v>CHAR-PORTRAIT:npc_porta_alchemica</x:v>
      </x:c>
      <x:c r="B69" s="168" t="str">
        <x:v>CHARACTER_PORTRAIT</x:v>
      </x:c>
      <x:c r="C69" s="168" t="str">
        <x:v>Charaktere!L</x:v>
      </x:c>
      <x:c r="D69" s="168" t="str">
        <x:v>npc_porta_alchemica</x:v>
      </x:c>
      <x:c r="E69" s="168" t="str">
        <x:v>Alchemilla der Porta Magica</x:v>
      </x:c>
      <x:c r="F69" s="168" t="str">
        <x:v>PORTRAIT</x:v>
      </x:c>
      <x:c r="G69" s="168" t="str">
        <x:v>Mobile-RPG-Charakterporträt, Ganzkörper oder Dreiviertelfigur, Renaissance-/Rom-Fantasy mit historisch plausiblen Materialien, Renaissance-Alchemistin in dunkelgrünem Mantel, Messingzirkel, kleine Glasphiolen, zwei steinerne Wächter hinter ihr, goldene Symbole. Stimmung: vorsichtig hoffnungsvoll. Klare Silhouette, neutraler atmosphärischer Hintergrund, warmes Gold und dunkle Erdtöne, keine Schrift, kein Logo, keine moderne Kleidung, keine Fotokopie einer realen Person.</x:v>
      </x:c>
      <x:c r="H69" s="168" t="str">
        <x:v>Startframe für die zugehörigen Stances</x:v>
      </x:c>
      <x:c r="I69" s="168" t="str">
        <x:v>STATIC_STARTFRAME</x:v>
      </x:c>
      <x:c r="J69" s="168" t="str"/>
      <x:c r="K69" s="168" t="str">
        <x:v>1280×720 Master + mobile Crops</x:v>
      </x:c>
      <x:c r="L69" s="168" t="str">
        <x:v>EDITORIAL_REVIEW</x:v>
      </x:c>
      <x:c r="M69" s="168" t="str">
        <x:v>Charaktere!L37</x:v>
      </x:c>
    </x:row>
    <x:row r="70" ht="52.79999923706055" hidden="0" customHeight="1">
      <x:c r="A70" s="168" t="str">
        <x:v>STANCE:npc_porta_alchemica:IDLE_READY</x:v>
      </x:c>
      <x:c r="B70" s="168" t="str">
        <x:v>CHARACTER_STANCE</x:v>
      </x:c>
      <x:c r="C70" s="168" t="str">
        <x:v>Charaktere!P:S</x:v>
      </x:c>
      <x:c r="D70" s="168" t="str">
        <x:v>npc_porta_alchemica</x:v>
      </x:c>
      <x:c r="E70" s="168" t="str">
        <x:v>Alchemilla der Porta Magica</x:v>
      </x:c>
      <x:c r="F70" s="168" t="str">
        <x:v>IDLE_READY</x:v>
      </x:c>
      <x:c r="G70" s="168" t="str">
        <x:v>Mobile-RPG-Charakterporträt, Ganzkörper oder Dreiviertelfigur, Renaissance-/Rom-Fantasy mit historisch plausiblen Materialien, Renaissance-Alchemistin in dunkelgrünem Mantel, Messingzirkel, kleine Glasphiolen, zwei steinerne Wächter hinter ihr, goldene Symbole. Stimmung: vorsichtig hoffnungsvoll. Klare Silhouette, neutraler atmosphärischer Hintergrund, warmes Gold und dunkle Erdtöne, keine Schrift, kein Logo, keine moderne Kleidung, keine Fotokopie einer realen Person.</x:v>
      </x:c>
      <x:c r="H70" s="168" t="str">
        <x:v>Listige Bereitschaft: leicht versetzter Stand, Hände bereit für die nächste Täuschung, wacher seitlicher Blick; Renaissance-Alchemistin in dunkelgrünem Mantel, Messingzirkel, kleine Glasphiolen, zwei steinerne Wächter hinter ihr, goldene Symbole.</x:v>
      </x:c>
      <x:c r="I70" s="168" t="str">
        <x:v>Add a simple looping idle motion; 2–4 s; seamless loop; 1280×720 (720p); subtle breathing, cloth/light motion and preserved silhouette; no camera move, no text, no new objects.</x:v>
      </x:c>
      <x:c r="J70" s="168" t="str">
        <x:v>2–4</x:v>
      </x:c>
      <x:c r="K70" s="168" t="str">
        <x:v>1280×720 (720p)</x:v>
      </x:c>
      <x:c r="L70" s="168" t="str">
        <x:v>EDITORIAL_REVIEW</x:v>
      </x:c>
      <x:c r="M70" s="168" t="str">
        <x:v>Stances!A37</x:v>
      </x:c>
    </x:row>
    <x:row r="71" ht="52.79999923706055" hidden="0" customHeight="1">
      <x:c r="A71" s="168" t="str">
        <x:v>CHAR-PORTRAIT:npc_dante_rosa</x:v>
      </x:c>
      <x:c r="B71" s="168" t="str">
        <x:v>CHARACTER_PORTRAIT</x:v>
      </x:c>
      <x:c r="C71" s="168" t="str">
        <x:v>Charaktere!L</x:v>
      </x:c>
      <x:c r="D71" s="168" t="str">
        <x:v>npc_dante_rosa</x:v>
      </x:c>
      <x:c r="E71" s="168" t="str">
        <x:v>Dantes Wind</x:v>
      </x:c>
      <x:c r="F71" s="168" t="str">
        <x:v>PORTRAIT</x:v>
      </x:c>
      <x:c r="G71" s="168" t="str">
        <x:v>Mobile-RPG-Charakterporträt, Ganzkörper oder Dreiviertelfigur, Renaissance-/Rom-Fantasy mit historisch plausiblen Materialien, schlanke Gestalt aus rotem Mantel und Windlinien, Lorbeerkranz, Pergamentstreifen, Windrose als Licht unter den Füßen. Stimmung: flüsternd ungeduldig. Klare Silhouette, neutraler atmosphärischer Hintergrund, warmes Gold und dunkle Erdtöne, keine Schrift, kein Logo, keine moderne Kleidung, keine Fotokopie einer realen Person.</x:v>
      </x:c>
      <x:c r="H71" s="168" t="str">
        <x:v>Startframe für die zugehörigen Stances</x:v>
      </x:c>
      <x:c r="I71" s="168" t="str">
        <x:v>STATIC_STARTFRAME</x:v>
      </x:c>
      <x:c r="J71" s="168" t="str"/>
      <x:c r="K71" s="168" t="str">
        <x:v>1280×720 Master + mobile Crops</x:v>
      </x:c>
      <x:c r="L71" s="168" t="str">
        <x:v>EDITORIAL_REVIEW</x:v>
      </x:c>
      <x:c r="M71" s="168" t="str">
        <x:v>Charaktere!L38</x:v>
      </x:c>
    </x:row>
    <x:row r="72" ht="52.79999923706055" hidden="0" customHeight="1">
      <x:c r="A72" s="168" t="str">
        <x:v>STANCE:npc_dante_rosa:IDLE_READY</x:v>
      </x:c>
      <x:c r="B72" s="168" t="str">
        <x:v>CHARACTER_STANCE</x:v>
      </x:c>
      <x:c r="C72" s="168" t="str">
        <x:v>Charaktere!P:S</x:v>
      </x:c>
      <x:c r="D72" s="168" t="str">
        <x:v>npc_dante_rosa</x:v>
      </x:c>
      <x:c r="E72" s="168" t="str">
        <x:v>Dantes Wind</x:v>
      </x:c>
      <x:c r="F72" s="168" t="str">
        <x:v>IDLE_READY</x:v>
      </x:c>
      <x:c r="G72" s="168" t="str">
        <x:v>Mobile-RPG-Charakterporträt, Ganzkörper oder Dreiviertelfigur, Renaissance-/Rom-Fantasy mit historisch plausiblen Materialien, schlanke Gestalt aus rotem Mantel und Windlinien, Lorbeerkranz, Pergamentstreifen, Windrose als Licht unter den Füßen. Stimmung: flüsternd ungeduldig. Klare Silhouette, neutraler atmosphärischer Hintergrund, warmes Gold und dunkle Erdtöne, keine Schrift, kein Logo, keine moderne Kleidung, keine Fotokopie einer realen Person.</x:v>
      </x:c>
      <x:c r="H72" s="168" t="str">
        <x:v>Ruhige Bereitschaft: aufrechter Stand, Gewicht leicht verlagert, Blick aufmerksam; schlanke Gestalt aus rotem Mantel und Windlinien, Lorbeerkranz, Pergamentstreifen, Windrose als Licht unter den Füßen.</x:v>
      </x:c>
      <x:c r="I72" s="168" t="str">
        <x:v>Add a simple looping idle motion; 2–4 s; seamless loop; 1280×720 (720p); subtle breathing, cloth/light motion and preserved silhouette; no camera move, no text, no new objects.</x:v>
      </x:c>
      <x:c r="J72" s="168" t="str">
        <x:v>2–4</x:v>
      </x:c>
      <x:c r="K72" s="168" t="str">
        <x:v>1280×720 (720p)</x:v>
      </x:c>
      <x:c r="L72" s="168" t="str">
        <x:v>EDITORIAL_REVIEW</x:v>
      </x:c>
      <x:c r="M72" s="168" t="str">
        <x:v>Stances!A38</x:v>
      </x:c>
    </x:row>
    <x:row r="73" ht="52.79999923706055" hidden="0" customHeight="1">
      <x:c r="A73" s="168" t="str">
        <x:v>CHAR-PORTRAIT:npc_cannoniere_gianicolo</x:v>
      </x:c>
      <x:c r="B73" s="168" t="str">
        <x:v>CHARACTER_PORTRAIT</x:v>
      </x:c>
      <x:c r="C73" s="168" t="str">
        <x:v>Charaktere!L</x:v>
      </x:c>
      <x:c r="D73" s="168" t="str">
        <x:v>npc_cannoniere_gianicolo</x:v>
      </x:c>
      <x:c r="E73" s="168" t="str">
        <x:v>Il Cannoniere del Gianicolo</x:v>
      </x:c>
      <x:c r="F73" s="168" t="str">
        <x:v>PORTRAIT</x:v>
      </x:c>
      <x:c r="G73" s="168" t="str">
        <x:v>Mobile-RPG-Charakterporträt, Ganzkörper oder Dreiviertelfigur, Renaissance-/Rom-Fantasy mit historisch plausiblen Materialien, mächtiger Artillerist des 19. Jahrhunderts, rote Jacke, Messingknöpfe, rußiges Gesicht, Geisterkanone, orange-goldener Rauch. Stimmung: triumphal herausfordernd. Klare Silhouette, neutraler atmosphärischer Hintergrund, warmes Gold und dunkle Erdtöne, keine Schrift, kein Logo, keine moderne Kleidung, keine Fotokopie einer realen Person.</x:v>
      </x:c>
      <x:c r="H73" s="168" t="str">
        <x:v>Startframe für die zugehörigen Stances</x:v>
      </x:c>
      <x:c r="I73" s="168" t="str">
        <x:v>STATIC_STARTFRAME</x:v>
      </x:c>
      <x:c r="J73" s="168" t="str"/>
      <x:c r="K73" s="168" t="str">
        <x:v>1280×720 Master + mobile Crops</x:v>
      </x:c>
      <x:c r="L73" s="168" t="str">
        <x:v>EDITORIAL_REVIEW</x:v>
      </x:c>
      <x:c r="M73" s="168" t="str">
        <x:v>Charaktere!L39</x:v>
      </x:c>
    </x:row>
    <x:row r="74" ht="52.79999923706055" hidden="0" customHeight="1">
      <x:c r="A74" s="168" t="str">
        <x:v>STANCE:npc_cannoniere_gianicolo:STAGE_1_TARGETING</x:v>
      </x:c>
      <x:c r="B74" s="168" t="str">
        <x:v>BOSS_STAGE_STARTFRAME</x:v>
      </x:c>
      <x:c r="C74" s="168" t="str">
        <x:v>Charaktere!P:S</x:v>
      </x:c>
      <x:c r="D74" s="168" t="str">
        <x:v>npc_cannoniere_gianicolo</x:v>
      </x:c>
      <x:c r="E74" s="168" t="str">
        <x:v>Il Cannoniere del Gianicolo</x:v>
      </x:c>
      <x:c r="F74" s="168" t="str">
        <x:v>STAGE_1_TARGETING</x:v>
      </x:c>
      <x:c r="G74" s="168" t="str">
        <x:v>Mobile-RPG-Charakterporträt, Ganzkörper oder Dreiviertelfigur, Renaissance-/Rom-Fantasy mit historisch plausiblen Materialien, mächtiger Artillerist des 19. Jahrhunderts, rote Jacke, Messingknöpfe, rußiges Gesicht, Geisterkanone, orange-goldener Rauch. Stimmung: triumphal herausfordernd. Klare Silhouette, neutraler atmosphärischer Hintergrund, warmes Gold und dunkle Erdtöne, keine Schrift, kein Logo, keine moderne Kleidung, keine Fotokopie einer realen Person.</x:v>
      </x:c>
      <x:c r="H74" s="168" t="str">
        <x:v>Zielmarke: Breiter Stand hinter der Geisterkanone, eine Hand hebt die Zielmarke, Mantel und Banner bewegen sich ruhig im Wind; die Kanone bleibt klar lesbar.</x:v>
      </x:c>
      <x:c r="I74" s="168" t="str">
        <x:v>Add a simple looping idle motion; 2–4 s; seamless loop; 1280×720 (720p); subtle breathing, cloth/light motion and preserved silhouette; no camera move, no text, no new objects.</x:v>
      </x:c>
      <x:c r="J74" s="168" t="str">
        <x:v>2–4</x:v>
      </x:c>
      <x:c r="K74" s="168" t="str">
        <x:v>1280×720 (720p)</x:v>
      </x:c>
      <x:c r="L74" s="168" t="str">
        <x:v>EDITORIAL_REVIEW</x:v>
      </x:c>
      <x:c r="M74" s="168" t="str">
        <x:v>Stances!A39</x:v>
      </x:c>
    </x:row>
    <x:row r="75" ht="52.79999923706055" hidden="0" customHeight="1">
      <x:c r="A75" s="168" t="str">
        <x:v>STANCE:npc_cannoniere_gianicolo:STAGE_2_OVERHEATED</x:v>
      </x:c>
      <x:c r="B75" s="168" t="str">
        <x:v>BOSS_STAGE_STARTFRAME</x:v>
      </x:c>
      <x:c r="C75" s="168" t="str">
        <x:v>Charaktere!P:S</x:v>
      </x:c>
      <x:c r="D75" s="168" t="str">
        <x:v>npc_cannoniere_gianicolo</x:v>
      </x:c>
      <x:c r="E75" s="168" t="str">
        <x:v>Il Cannoniere del Gianicolo</x:v>
      </x:c>
      <x:c r="F75" s="168" t="str">
        <x:v>STAGE_2_OVERHEATED</x:v>
      </x:c>
      <x:c r="G75" s="168" t="str">
        <x:v>Mobile-RPG-Charakterporträt, Ganzkörper oder Dreiviertelfigur, Renaissance-/Rom-Fantasy mit historisch plausiblen Materialien, mächtiger Artillerist des 19. Jahrhunderts, rote Jacke, Messingknöpfe, rußiges Gesicht, Geisterkanone, orange-goldener Rauch. Stimmung: triumphal herausfordernd. Klare Silhouette, neutraler atmosphärischer Hintergrund, warmes Gold und dunkle Erdtöne, keine Schrift, kein Logo, keine moderne Kleidung, keine Fotokopie einer realen Person.</x:v>
      </x:c>
      <x:c r="H75" s="168" t="str">
        <x:v>Überhitztes Rohr: Leicht nach hinten geneigte Kampfhaltung neben dem glühenden Kanonenrohr, orange Hitze und dünner Rauch, angespannte Schultern, bereit zur nächsten Salve.</x:v>
      </x:c>
      <x:c r="I75" s="168" t="str">
        <x:v>Add a simple looping idle motion; 2–4 s; seamless loop; 1280×720 (720p); subtle breathing, cloth/light motion and preserved silhouette; no camera move, no text, no new objects.</x:v>
      </x:c>
      <x:c r="J75" s="168" t="str">
        <x:v>2–4</x:v>
      </x:c>
      <x:c r="K75" s="168" t="str">
        <x:v>1280×720 (720p)</x:v>
      </x:c>
      <x:c r="L75" s="168" t="str">
        <x:v>EDITORIAL_REVIEW</x:v>
      </x:c>
      <x:c r="M75" s="168" t="str">
        <x:v>Stances!A40</x:v>
      </x:c>
    </x:row>
    <x:row r="76" ht="52.79999923706055" hidden="0" customHeight="1">
      <x:c r="A76" s="168" t="str">
        <x:v>STANCE:npc_cannoniere_gianicolo:STAGE_3_LAST_STANDARD</x:v>
      </x:c>
      <x:c r="B76" s="168" t="str">
        <x:v>BOSS_STAGE_STARTFRAME</x:v>
      </x:c>
      <x:c r="C76" s="168" t="str">
        <x:v>Charaktere!P:S</x:v>
      </x:c>
      <x:c r="D76" s="168" t="str">
        <x:v>npc_cannoniere_gianicolo</x:v>
      </x:c>
      <x:c r="E76" s="168" t="str">
        <x:v>Il Cannoniere del Gianicolo</x:v>
      </x:c>
      <x:c r="F76" s="168" t="str">
        <x:v>STAGE_3_LAST_STANDARD</x:v>
      </x:c>
      <x:c r="G76" s="168" t="str">
        <x:v>Mobile-RPG-Charakterporträt, Ganzkörper oder Dreiviertelfigur, Renaissance-/Rom-Fantasy mit historisch plausiblen Materialien, mächtiger Artillerist des 19. Jahrhunderts, rote Jacke, Messingknöpfe, rußiges Gesicht, Geisterkanone, orange-goldener Rauch. Stimmung: triumphal herausfordernd. Klare Silhouette, neutraler atmosphärischer Hintergrund, warmes Gold und dunkle Erdtöne, keine Schrift, kein Logo, keine moderne Kleidung, keine Fotokopie einer realen Person.</x:v>
      </x:c>
      <x:c r="H76" s="168" t="str">
        <x:v>Letzte Standarte: Aufrechter finaler Stand, die letzte Standarte hoch erhoben, Kanone abgesenkt, entschlossener Blick, Glut und Staub als kontrollierte Akzente.</x:v>
      </x:c>
      <x:c r="I76" s="168" t="str">
        <x:v>Add a simple looping idle motion; 2–4 s; seamless loop; 1280×720 (720p); subtle breathing, cloth/light motion and preserved silhouette; no camera move, no text, no new objects.</x:v>
      </x:c>
      <x:c r="J76" s="168" t="str">
        <x:v>2–4</x:v>
      </x:c>
      <x:c r="K76" s="168" t="str">
        <x:v>1280×720 (720p)</x:v>
      </x:c>
      <x:c r="L76" s="168" t="str">
        <x:v>EDITORIAL_REVIEW</x:v>
      </x:c>
      <x:c r="M76" s="168" t="str">
        <x:v>Stances!A41</x:v>
      </x:c>
    </x:row>
    <x:row r="77" ht="66" hidden="0" customHeight="1">
      <x:c r="A77" s="168" t="str">
        <x:v>CHAR-PORTRAIT:npc_custode_neve</x:v>
      </x:c>
      <x:c r="B77" s="168" t="str">
        <x:v>CHARACTER_PORTRAIT</x:v>
      </x:c>
      <x:c r="C77" s="168" t="str">
        <x:v>Charaktere!L</x:v>
      </x:c>
      <x:c r="D77" s="168" t="str">
        <x:v>npc_custode_neve</x:v>
      </x:c>
      <x:c r="E77" s="168" t="str">
        <x:v>Custode della Neve</x:v>
      </x:c>
      <x:c r="F77" s="168" t="str">
        <x:v>PORTRAIT</x:v>
      </x:c>
      <x:c r="G77" s="168" t="str">
        <x:v>Mobile-RPG-Charakterporträt, Ganzkörper oder Dreiviertelfigur, Renaissance-/Rom-Fantasy mit historisch plausiblen Materialien, riesiger weißer Wächter in byzantinisch-römischer Rüstung, Mantel aus Schneekristallen, goldene Marienmosaik-Reflexe, kein religiöses Gesicht imitieren, violett-oranges Bosslicht. Stimmung: eisig feierlich. Klare Silhouette, neutraler atmosphärischer Hintergrund, warmes Gold und dunkle Erdtöne, keine Schrift, kein Logo, keine moderne Kleidung, keine Fotokopie einer realen Person.</x:v>
      </x:c>
      <x:c r="H77" s="168" t="str">
        <x:v>Startframe für die zugehörigen Stances</x:v>
      </x:c>
      <x:c r="I77" s="168" t="str">
        <x:v>STATIC_STARTFRAME</x:v>
      </x:c>
      <x:c r="J77" s="168" t="str"/>
      <x:c r="K77" s="168" t="str">
        <x:v>1280×720 Master + mobile Crops</x:v>
      </x:c>
      <x:c r="L77" s="168" t="str">
        <x:v>EDITORIAL_REVIEW</x:v>
      </x:c>
      <x:c r="M77" s="168" t="str">
        <x:v>Charaktere!L40</x:v>
      </x:c>
    </x:row>
    <x:row r="78" ht="66" hidden="0" customHeight="1">
      <x:c r="A78" s="168" t="str">
        <x:v>STANCE:npc_custode_neve:STAGE_1_SNOW_SEAL</x:v>
      </x:c>
      <x:c r="B78" s="168" t="str">
        <x:v>BOSS_STAGE_STARTFRAME</x:v>
      </x:c>
      <x:c r="C78" s="168" t="str">
        <x:v>Charaktere!P:S</x:v>
      </x:c>
      <x:c r="D78" s="168" t="str">
        <x:v>npc_custode_neve</x:v>
      </x:c>
      <x:c r="E78" s="168" t="str">
        <x:v>Custode della Neve</x:v>
      </x:c>
      <x:c r="F78" s="168" t="str">
        <x:v>STAGE_1_SNOW_SEAL</x:v>
      </x:c>
      <x:c r="G78" s="168" t="str">
        <x:v>Mobile-RPG-Charakterporträt, Ganzkörper oder Dreiviertelfigur, Renaissance-/Rom-Fantasy mit historisch plausiblen Materialien, riesiger weißer Wächter in byzantinisch-römischer Rüstung, Mantel aus Schneekristallen, goldene Marienmosaik-Reflexe, kein religiöses Gesicht imitieren, violett-oranges Bosslicht. Stimmung: eisig feierlich. Klare Silhouette, neutraler atmosphärischer Hintergrund, warmes Gold und dunkle Erdtöne, keine Schrift, kein Logo, keine moderne Kleidung, keine Fotokopie einer realen Person.</x:v>
      </x:c>
      <x:c r="H78" s="168" t="str">
        <x:v>Schneesiegel: Ruhige Wächterhaltung mit gesenktem Stab, Schneesiegel deutlich auf Brust und Schultern, feine Eiskristalle schweben ohne die Silhouette zu verdecken.</x:v>
      </x:c>
      <x:c r="I78" s="168" t="str">
        <x:v>Add a simple looping idle motion; 2–4 s; seamless loop; 1280×720 (720p); subtle breathing, cloth/light motion and preserved silhouette; no camera move, no text, no new objects.</x:v>
      </x:c>
      <x:c r="J78" s="168" t="str">
        <x:v>2–4</x:v>
      </x:c>
      <x:c r="K78" s="168" t="str">
        <x:v>1280×720 (720p)</x:v>
      </x:c>
      <x:c r="L78" s="168" t="str">
        <x:v>EDITORIAL_REVIEW</x:v>
      </x:c>
      <x:c r="M78" s="168" t="str">
        <x:v>Stances!A42</x:v>
      </x:c>
    </x:row>
    <x:row r="79" ht="66" hidden="0" customHeight="1">
      <x:c r="A79" s="168" t="str">
        <x:v>STANCE:npc_custode_neve:STAGE_2_WHITE_NIGHT</x:v>
      </x:c>
      <x:c r="B79" s="168" t="str">
        <x:v>BOSS_STAGE_STARTFRAME</x:v>
      </x:c>
      <x:c r="C79" s="168" t="str">
        <x:v>Charaktere!P:S</x:v>
      </x:c>
      <x:c r="D79" s="168" t="str">
        <x:v>npc_custode_neve</x:v>
      </x:c>
      <x:c r="E79" s="168" t="str">
        <x:v>Custode della Neve</x:v>
      </x:c>
      <x:c r="F79" s="168" t="str">
        <x:v>STAGE_2_WHITE_NIGHT</x:v>
      </x:c>
      <x:c r="G79" s="168" t="str">
        <x:v>Mobile-RPG-Charakterporträt, Ganzkörper oder Dreiviertelfigur, Renaissance-/Rom-Fantasy mit historisch plausiblen Materialien, riesiger weißer Wächter in byzantinisch-römischer Rüstung, Mantel aus Schneekristallen, goldene Marienmosaik-Reflexe, kein religiöses Gesicht imitieren, violett-oranges Bosslicht. Stimmung: eisig feierlich. Klare Silhouette, neutraler atmosphärischer Hintergrund, warmes Gold und dunkle Erdtöne, keine Schrift, kein Logo, keine moderne Kleidung, keine Fotokopie einer realen Person.</x:v>
      </x:c>
      <x:c r="H79" s="168" t="str">
        <x:v>Weiße Nacht: Arme weit geöffnet, ein kontrollierter Wirbel aus Schnee und Mosaiklicht um den Körper, Kopf leicht angehoben, globale Schutzphase sichtbar.</x:v>
      </x:c>
      <x:c r="I79" s="168" t="str">
        <x:v>Add a simple looping idle motion; 2–4 s; seamless loop; 1280×720 (720p); subtle breathing, cloth/light motion and preserved silhouette; no camera move, no text, no new objects.</x:v>
      </x:c>
      <x:c r="J79" s="168" t="str">
        <x:v>2–4</x:v>
      </x:c>
      <x:c r="K79" s="168" t="str">
        <x:v>1280×720 (720p)</x:v>
      </x:c>
      <x:c r="L79" s="168" t="str">
        <x:v>EDITORIAL_REVIEW</x:v>
      </x:c>
      <x:c r="M79" s="168" t="str">
        <x:v>Stances!A43</x:v>
      </x:c>
    </x:row>
    <x:row r="80" ht="66" hidden="0" customHeight="1">
      <x:c r="A80" s="168" t="str">
        <x:v>STANCE:npc_custode_neve:STAGE_3_MOSAIC_CRACKS</x:v>
      </x:c>
      <x:c r="B80" s="168" t="str">
        <x:v>BOSS_STAGE_STARTFRAME</x:v>
      </x:c>
      <x:c r="C80" s="168" t="str">
        <x:v>Charaktere!P:S</x:v>
      </x:c>
      <x:c r="D80" s="168" t="str">
        <x:v>npc_custode_neve</x:v>
      </x:c>
      <x:c r="E80" s="168" t="str">
        <x:v>Custode della Neve</x:v>
      </x:c>
      <x:c r="F80" s="168" t="str">
        <x:v>STAGE_3_MOSAIC_CRACKS</x:v>
      </x:c>
      <x:c r="G80" s="168" t="str">
        <x:v>Mobile-RPG-Charakterporträt, Ganzkörper oder Dreiviertelfigur, Renaissance-/Rom-Fantasy mit historisch plausiblen Materialien, riesiger weißer Wächter in byzantinisch-römischer Rüstung, Mantel aus Schneekristallen, goldene Marienmosaik-Reflexe, kein religiöses Gesicht imitieren, violett-oranges Bosslicht. Stimmung: eisig feierlich. Klare Silhouette, neutraler atmosphärischer Hintergrund, warmes Gold und dunkle Erdtöne, keine Schrift, kein Logo, keine moderne Kleidung, keine Fotokopie einer realen Person.</x:v>
      </x:c>
      <x:c r="H80" s="168" t="str">
        <x:v>Mosaikrisse: Schwerer finaler Stand mit sichtbaren Mosaikrissen und hellem Lichtkern, eine Hand am Boden, die andere schützt die letzte Bruchstelle.</x:v>
      </x:c>
      <x:c r="I80" s="168" t="str">
        <x:v>Add a simple looping idle motion; 2–4 s; seamless loop; 1280×720 (720p); subtle breathing, cloth/light motion and preserved silhouette; no camera move, no text, no new objects.</x:v>
      </x:c>
      <x:c r="J80" s="168" t="str">
        <x:v>2–4</x:v>
      </x:c>
      <x:c r="K80" s="168" t="str">
        <x:v>1280×720 (720p)</x:v>
      </x:c>
      <x:c r="L80" s="168" t="str">
        <x:v>EDITORIAL_REVIEW</x:v>
      </x:c>
      <x:c r="M80" s="168" t="str">
        <x:v>Stances!A44</x:v>
      </x:c>
    </x:row>
    <x:row r="81" ht="52.79999923706055" hidden="0" customHeight="1">
      <x:c r="A81" s="168" t="str">
        <x:v>COMBAT:CP-QE-PASSETTO</x:v>
      </x:c>
      <x:c r="B81" s="168" t="str">
        <x:v>COMBAT_PROFILE_ART</x:v>
      </x:c>
      <x:c r="C81" s="168" t="str">
        <x:v>Kampfprofile!T</x:v>
      </x:c>
      <x:c r="D81" s="168" t="str">
        <x:v>D1-Q01</x:v>
      </x:c>
      <x:c r="E81" s="168" t="str">
        <x:v>Schatten des Passetto</x:v>
      </x:c>
      <x:c r="F81" s="168" t="str">
        <x:v>SR</x:v>
      </x:c>
      <x:c r="G81" s="168" t="str">
        <x:v>Mobile-RPG-Gegnerkonzept, vollständige Figur, gut lesbare Kampfsilhouette, Rom-Fantasy, Dünne humanoide Schattenfigur aus verwittertem Mauerputz, verlängerte Arme, Hellebardensilhouette ohne Waffe, kalte blaue Augen, Passetto-Mauer als abstrakter Hintergrund. Dramatisches aber nicht fotorealistisches Licht, neutraler transparenzgeeigneter Hintergrund, keine Schrift, kein Logo, keine Gore.</x:v>
      </x:c>
      <x:c r="H81" s="168" t="str">
        <x:v>Kampfbereitschaft: Markiert zuerst einen Ausgang, sperrt ihn in der Folgerunde und bestraft unkoordinierte Zielwechsel. Optionaler Kampf nur bei Teamentscheidung SCHATTEN_STELLEN; keine zweite Phase.</x:v>
      </x:c>
      <x:c r="I81" s="168" t="str">
        <x:v>Add a restrained looping combat-ready motion; 2–4 s; seamless loop; preserve silhouette and equipment.</x:v>
      </x:c>
      <x:c r="J81" s="168" t="str">
        <x:v>2–4</x:v>
      </x:c>
      <x:c r="K81" s="168" t="str">
        <x:v>1280×720 (720p)</x:v>
      </x:c>
      <x:c r="L81" s="168" t="str">
        <x:v>EDITORIAL_REVIEW</x:v>
      </x:c>
      <x:c r="M81" s="168" t="str">
        <x:v>Kampfprofile!T5</x:v>
      </x:c>
    </x:row>
    <x:row r="82" ht="52.79999923706055" hidden="0" customHeight="1">
      <x:c r="A82" s="168" t="str">
        <x:v>COMBAT:CP-QE-CAVALLEGGERO</x:v>
      </x:c>
      <x:c r="B82" s="168" t="str">
        <x:v>COMBAT_PROFILE_ART</x:v>
      </x:c>
      <x:c r="C82" s="168" t="str">
        <x:v>Kampfprofile!T</x:v>
      </x:c>
      <x:c r="D82" s="168" t="str">
        <x:v>D1-Q02</x:v>
      </x:c>
      <x:c r="E82" s="168" t="str">
        <x:v>Cavalleggero Pontificio</x:v>
      </x:c>
      <x:c r="F82" s="168" t="str">
        <x:v>R</x:v>
      </x:c>
      <x:c r="G82" s="168" t="str">
        <x:v>Mobile-RPG-Gegnerkonzept, vollständige Figur, gut lesbare Kampfsilhouette, Rom-Fantasy, Geisterhafter Renaissance-Kavallerist, dunkle päpstliche Reiterrüstung, rot-goldener Mantel, halbtransparentes Pferd aus Staub, lange Lanze, Wappenschild. Dramatisches aber nicht fotorealistisches Licht, neutraler transparenzgeeigneter Hintergrund, keine Schrift, kein Logo, keine Gore.</x:v>
      </x:c>
      <x:c r="H82" s="168" t="str">
        <x:v>Kampfbereitschaft: Beginnt defensiv; telegraphiert eine Lanzenlinie und kontert Angriffe auf falsche Ziele. Bei halber Vitalität steigt er ab und verliert Reichweite, gewinnt aber Konter.</x:v>
      </x:c>
      <x:c r="I82" s="168" t="str">
        <x:v>Add a restrained looping combat-ready motion; 2–4 s; seamless loop; preserve silhouette and equipment.</x:v>
      </x:c>
      <x:c r="J82" s="168" t="str">
        <x:v>2–4</x:v>
      </x:c>
      <x:c r="K82" s="168" t="str">
        <x:v>1280×720 (720p)</x:v>
      </x:c>
      <x:c r="L82" s="168" t="str">
        <x:v>EDITORIAL_REVIEW</x:v>
      </x:c>
      <x:c r="M82" s="168" t="str">
        <x:v>Kampfprofile!T6</x:v>
      </x:c>
    </x:row>
    <x:row r="83" ht="52.79999923706055" hidden="0" customHeight="1">
      <x:c r="A83" s="168" t="str">
        <x:v>COMBAT:CP-QE-ANTINOO</x:v>
      </x:c>
      <x:c r="B83" s="168" t="str">
        <x:v>COMBAT_PROFILE_ART</x:v>
      </x:c>
      <x:c r="C83" s="168" t="str">
        <x:v>Kampfprofile!T</x:v>
      </x:c>
      <x:c r="D83" s="168" t="str">
        <x:v>D1-Q04</x:v>
      </x:c>
      <x:c r="E83" s="168" t="str">
        <x:v>Ombra di Antinoo</x:v>
      </x:c>
      <x:c r="F83" s="168" t="str">
        <x:v>SR</x:v>
      </x:c>
      <x:c r="G83" s="168" t="str">
        <x:v>Mobile-RPG-Gegnerkonzept, vollständige Figur, gut lesbare Kampfsilhouette, Rom-Fantasy, Eleganter geisterhafter Jüngling als dunkle Marmor-Silhouette, Gesicht bewusst nicht realistisch, goldene Hieroglyphenrisse, violetter Nebel, mehrere brüchige Spiegelbilder. Dramatisches aber nicht fotorealistisches Licht, neutraler transparenzgeeigneter Hintergrund, keine Schrift, kein Logo, keine Gore.</x:v>
      </x:c>
      <x:c r="H83" s="168" t="str">
        <x:v>Kampfbereitschaft: Erzeugt Spiegelbilder; jede richtige Ortszuordnung entfernt eines vor Kampfbeginn. Eine Phase; bei niedriger Vitalität werden Zielbilder schneller, aber fragiler.</x:v>
      </x:c>
      <x:c r="I83" s="168" t="str">
        <x:v>Add a restrained looping combat-ready motion; 2–4 s; seamless loop; preserve silhouette and equipment.</x:v>
      </x:c>
      <x:c r="J83" s="168" t="str">
        <x:v>2–4</x:v>
      </x:c>
      <x:c r="K83" s="168" t="str">
        <x:v>1280×720 (720p)</x:v>
      </x:c>
      <x:c r="L83" s="168" t="str">
        <x:v>EDITORIAL_REVIEW</x:v>
      </x:c>
      <x:c r="M83" s="168" t="str">
        <x:v>Kampfprofile!T7</x:v>
      </x:c>
    </x:row>
    <x:row r="84" ht="52.79999923706055" hidden="0" customHeight="1">
      <x:c r="A84" s="168" t="str">
        <x:v>COMBAT:CP-QE-MUMMIA</x:v>
      </x:c>
      <x:c r="B84" s="168" t="str">
        <x:v>COMBAT_PROFILE_ART</x:v>
      </x:c>
      <x:c r="C84" s="168" t="str">
        <x:v>Kampfprofile!T</x:v>
      </x:c>
      <x:c r="D84" s="168" t="str">
        <x:v>D1-Q07</x:v>
      </x:c>
      <x:c r="E84" s="168" t="str">
        <x:v>Mummia dell’Iseo</x:v>
      </x:c>
      <x:c r="F84" s="168" t="str">
        <x:v>R</x:v>
      </x:c>
      <x:c r="G84" s="168" t="str">
        <x:v>Mobile-RPG-Gegnerkonzept, vollständige Figur, gut lesbare Kampfsilhouette, Rom-Fantasy, Kleine römisch-ägyptische Mumiengestalt, altes Leinen, bronzene Amulette, schwebende Buchstaben, türkis leuchtende Augen, keine Gruselgore. Dramatisches aber nicht fotorealistisches Licht, neutraler transparenzgeeigneter Hintergrund, keine Schrift, kein Logo, keine Gore.</x:v>
      </x:c>
      <x:c r="H84" s="168" t="str">
        <x:v>Kampfbereitschaft: Verflucht falsche Texteingaben und baut eine Schutzschicht aus Hieroglyphen auf. Keine Phase; optionaler Kampf nach korrekter Transkription deutlich kürzer.</x:v>
      </x:c>
      <x:c r="I84" s="168" t="str">
        <x:v>Add a restrained looping combat-ready motion; 2–4 s; seamless loop; preserve silhouette and equipment.</x:v>
      </x:c>
      <x:c r="J84" s="168" t="str">
        <x:v>2–4</x:v>
      </x:c>
      <x:c r="K84" s="168" t="str">
        <x:v>1280×720 (720p)</x:v>
      </x:c>
      <x:c r="L84" s="168" t="str">
        <x:v>EDITORIAL_REVIEW</x:v>
      </x:c>
      <x:c r="M84" s="168" t="str">
        <x:v>Kampfprofile!T8</x:v>
      </x:c>
    </x:row>
    <x:row r="85" ht="52.79999923706055" hidden="0" customHeight="1">
      <x:c r="A85" s="168" t="str">
        <x:v>COMBAT:CP-QE-RATTO</x:v>
      </x:c>
      <x:c r="B85" s="168" t="str">
        <x:v>COMBAT_PROFILE_ART</x:v>
      </x:c>
      <x:c r="C85" s="168" t="str">
        <x:v>Kampfprofile!T</x:v>
      </x:c>
      <x:c r="D85" s="168" t="str">
        <x:v>D1-Q09|H-D1-02</x:v>
      </x:c>
      <x:c r="E85" s="168" t="str">
        <x:v>Ratto dell’Acqua Virgo</x:v>
      </x:c>
      <x:c r="F85" s="168" t="str">
        <x:v>R</x:v>
      </x:c>
      <x:c r="G85" s="168" t="str">
        <x:v>Mobile-RPG-Gegnerkonzept, vollständige Figur, gut lesbare Kampfsilhouette, Rom-Fantasy, Große nasse Kanalratte, zerfetzte römische Schärpe, gestohlene Münzen im Fell, Travertinstaub, freches Gesicht, blaugrüne Wasserreflexe. Dramatisches aber nicht fotorealistisches Licht, neutraler transparenzgeeigneter Hintergrund, keine Schrift, kein Logo, keine Gore.</x:v>
      </x:c>
      <x:c r="H85" s="168" t="str">
        <x:v>Kampfbereitschaft: Wechselt zwischen schnellem Biss und Rückzug; baut Schmutzstapel auf, wenn das Team denselben Angriff wiederholt. Keine Phase; Hidden-Variante startet mit Ausweichen, reguläre Questvariante mit Schmutz.</x:v>
      </x:c>
      <x:c r="I85" s="168" t="str">
        <x:v>Add a restrained looping combat-ready motion; 2–4 s; seamless loop; preserve silhouette and equipment.</x:v>
      </x:c>
      <x:c r="J85" s="168" t="str">
        <x:v>2–4</x:v>
      </x:c>
      <x:c r="K85" s="168" t="str">
        <x:v>1280×720 (720p)</x:v>
      </x:c>
      <x:c r="L85" s="168" t="str">
        <x:v>EDITORIAL_REVIEW</x:v>
      </x:c>
      <x:c r="M85" s="168" t="str">
        <x:v>Kampfprofile!T9</x:v>
      </x:c>
    </x:row>
    <x:row r="86" ht="52.79999923706055" hidden="0" customHeight="1">
      <x:c r="A86" s="168" t="str">
        <x:v>COMBAT:CP-QE-CORAZZIERE</x:v>
      </x:c>
      <x:c r="B86" s="168" t="str">
        <x:v>COMBAT_PROFILE_ART</x:v>
      </x:c>
      <x:c r="C86" s="168" t="str">
        <x:v>Kampfprofile!T</x:v>
      </x:c>
      <x:c r="D86" s="168" t="str">
        <x:v>D1-Q10</x:v>
      </x:c>
      <x:c r="E86" s="168" t="str">
        <x:v>Corazziere del Colle</x:v>
      </x:c>
      <x:c r="F86" s="168" t="str">
        <x:v>SR</x:v>
      </x:c>
      <x:c r="G86" s="168" t="str">
        <x:v>Mobile-RPG-Gegnerkonzept, vollständige Figur, gut lesbare Kampfsilhouette, Rom-Fantasy, Hochgewachsener italienischer Kürassier als Stein- und Metallgeist, polierter Brustpanzer, hoher Helm mit Rossschweif, dunkler Umhang, würdevoll statt modern-militärisch. Dramatisches aber nicht fotorealistisches Licht, neutraler transparenzgeeigneter Hintergrund, keine Schrift, kein Logo, keine Gore.</x:v>
      </x:c>
      <x:c r="H86" s="168" t="str">
        <x:v>Kampfbereitschaft: Fordert den stärksten Einzelkämpfer, wechselt aber das Ziel bei Schutzaktionen. Optionaler Kampf; keine Phasen, aber Haltung wechselt zwischen Parade und Duell.</x:v>
      </x:c>
      <x:c r="I86" s="168" t="str">
        <x:v>Add a restrained looping combat-ready motion; 2–4 s; seamless loop; preserve silhouette and equipment.</x:v>
      </x:c>
      <x:c r="J86" s="168" t="str">
        <x:v>2–4</x:v>
      </x:c>
      <x:c r="K86" s="168" t="str">
        <x:v>1280×720 (720p)</x:v>
      </x:c>
      <x:c r="L86" s="168" t="str">
        <x:v>EDITORIAL_REVIEW</x:v>
      </x:c>
      <x:c r="M86" s="168" t="str">
        <x:v>Kampfprofile!T10</x:v>
      </x:c>
    </x:row>
    <x:row r="87" ht="52.79999923706055" hidden="0" customHeight="1">
      <x:c r="A87" s="168" t="str">
        <x:v>COMBAT:CP-QE-TARTARUGHE</x:v>
      </x:c>
      <x:c r="B87" s="168" t="str">
        <x:v>COMBAT_PROFILE_ART</x:v>
      </x:c>
      <x:c r="C87" s="168" t="str">
        <x:v>Kampfprofile!T</x:v>
      </x:c>
      <x:c r="D87" s="168" t="str">
        <x:v>D1-Q13|H-D1-01</x:v>
      </x:c>
      <x:c r="E87" s="168" t="str">
        <x:v>Custode delle Tartarughe</x:v>
      </x:c>
      <x:c r="F87" s="168" t="str">
        <x:v>R</x:v>
      </x:c>
      <x:c r="G87" s="168" t="str">
        <x:v>Mobile-RPG-Gegnerkonzept, vollständige Figur, gut lesbare Kampfsilhouette, Rom-Fantasy, Bronzener Schildkrötenwächter aus vier ineinandergreifenden Schildkrötenformen, grüne Patina, Wasserbänder, goldene Augen, kompakte freundliche Bedrohung. Dramatisches aber nicht fotorealistisches Licht, neutraler transparenzgeeigneter Hintergrund, keine Schrift, kein Logo, keine Gore.</x:v>
      </x:c>
      <x:c r="H87" s="168" t="str">
        <x:v>Kampfbereitschaft: Zieht sich in den Panzer zurück, wenn mehrere Spieler dasselbe Ziel fokussieren; öffnet sich nach unterschiedlichen Aktionstypen. Keine Phase; Hidden-Version besitzt alle vier Marken, Questversion kann ohne Kampf gelöst werden.</x:v>
      </x:c>
      <x:c r="I87" s="168" t="str">
        <x:v>Add a restrained looping combat-ready motion; 2–4 s; seamless loop; preserve silhouette and equipment.</x:v>
      </x:c>
      <x:c r="J87" s="168" t="str">
        <x:v>2–4</x:v>
      </x:c>
      <x:c r="K87" s="168" t="str">
        <x:v>1280×720 (720p)</x:v>
      </x:c>
      <x:c r="L87" s="168" t="str">
        <x:v>EDITORIAL_REVIEW</x:v>
      </x:c>
      <x:c r="M87" s="168" t="str">
        <x:v>Kampfprofile!T11</x:v>
      </x:c>
    </x:row>
    <x:row r="88" ht="52.79999923706055" hidden="0" customHeight="1">
      <x:c r="A88" s="168" t="str">
        <x:v>COMBAT:CP-QE-GARIBALDINO</x:v>
      </x:c>
      <x:c r="B88" s="168" t="str">
        <x:v>COMBAT_PROFILE_ART</x:v>
      </x:c>
      <x:c r="C88" s="168" t="str">
        <x:v>Kampfprofile!T</x:v>
      </x:c>
      <x:c r="D88" s="168" t="str">
        <x:v>D1-Q16</x:v>
      </x:c>
      <x:c r="E88" s="168" t="str">
        <x:v>Garibaldino delle Mura</x:v>
      </x:c>
      <x:c r="F88" s="168" t="str">
        <x:v>SSR</x:v>
      </x:c>
      <x:c r="G88" s="168" t="str">
        <x:v>Mobile-RPG-Gegnerkonzept, vollständige Figur, gut lesbare Kampfsilhouette, Rom-Fantasy, Freiheitskämpfer des 19. Jahrhunderts als Geisteroffizier, rotes Hemd, verwitterter Mantel, zerrissene Standarte, warmes Abendlicht, entschlossener menschlicher Ausdruck. Dramatisches aber nicht fotorealistisches Licht, neutraler transparenzgeeigneter Hintergrund, keine Schrift, kein Logo, keine Gore.</x:v>
      </x:c>
      <x:c r="H88" s="168" t="str">
        <x:v>Kampfbereitschaft: Ruft Erinnerungsmarken der Route auf; korrekt geordnete Stationen werden zu Team-Buffs statt gegnerischen Verstärkungen. Bei halber Vitalität zerreißt die Standarte und er wird schneller, verliert aber Gruppenbuffs.</x:v>
      </x:c>
      <x:c r="I88" s="168" t="str">
        <x:v>Add a restrained looping combat-ready motion; 2–4 s; seamless loop; preserve silhouette and equipment.</x:v>
      </x:c>
      <x:c r="J88" s="168" t="str">
        <x:v>2–4</x:v>
      </x:c>
      <x:c r="K88" s="168" t="str">
        <x:v>1280×720 (720p)</x:v>
      </x:c>
      <x:c r="L88" s="168" t="str">
        <x:v>EDITORIAL_REVIEW</x:v>
      </x:c>
      <x:c r="M88" s="168" t="str">
        <x:v>Kampfprofile!T12</x:v>
      </x:c>
    </x:row>
    <x:row r="89" ht="52.79999923706055" hidden="0" customHeight="1">
      <x:c r="A89" s="168" t="str">
        <x:v>COMBAT:CP-QE-LUDUS</x:v>
      </x:c>
      <x:c r="B89" s="168" t="str">
        <x:v>COMBAT_PROFILE_ART</x:v>
      </x:c>
      <x:c r="C89" s="168" t="str">
        <x:v>Kampfprofile!T</x:v>
      </x:c>
      <x:c r="D89" s="168" t="str">
        <x:v>D2-Q03</x:v>
      </x:c>
      <x:c r="E89" s="168" t="str">
        <x:v>Gladiator des Ludus</x:v>
      </x:c>
      <x:c r="F89" s="168" t="str">
        <x:v>SR</x:v>
      </x:c>
      <x:c r="G89" s="168" t="str">
        <x:v>Mobile-RPG-Gegnerkonzept, vollständige Figur, gut lesbare Kampfsilhouette, Rom-Fantasy, Römischer Trainingsgladiator, abgenutzter Helm, rechteckiger Schild und Holzschwert, Lederschutz, Sandstaub, disziplinierter Blick, keine Gore. Dramatisches aber nicht fotorealistisches Licht, neutraler transparenzgeeigneter Hintergrund, keine Schrift, kein Logo, keine Gore.</x:v>
      </x:c>
      <x:c r="H89" s="168" t="str">
        <x:v>Kampfbereitschaft: Telegraphiert Stoß, Feger oder Schilddruck; die korrekte Funktionszuordnung zeigt den ersten Angriff früh. Bei halber Vitalität wechselt er vom Schild zur Doppelklinge und verliert Verteidigung.</x:v>
      </x:c>
      <x:c r="I89" s="168" t="str">
        <x:v>Add a restrained looping combat-ready motion; 2–4 s; seamless loop; preserve silhouette and equipment.</x:v>
      </x:c>
      <x:c r="J89" s="168" t="str">
        <x:v>2–4</x:v>
      </x:c>
      <x:c r="K89" s="168" t="str">
        <x:v>1280×720 (720p)</x:v>
      </x:c>
      <x:c r="L89" s="168" t="str">
        <x:v>EDITORIAL_REVIEW</x:v>
      </x:c>
      <x:c r="M89" s="168" t="str">
        <x:v>Kampfprofile!T13</x:v>
      </x:c>
    </x:row>
    <x:row r="90" ht="52.79999923706055" hidden="0" customHeight="1">
      <x:c r="A90" s="168" t="str">
        <x:v>COMBAT:CP-QE-GIANO</x:v>
      </x:c>
      <x:c r="B90" s="168" t="str">
        <x:v>COMBAT_PROFILE_ART</x:v>
      </x:c>
      <x:c r="C90" s="168" t="str">
        <x:v>Kampfprofile!T</x:v>
      </x:c>
      <x:c r="D90" s="168" t="str">
        <x:v>D2-Q04</x:v>
      </x:c>
      <x:c r="E90" s="168" t="str">
        <x:v>Custode di Giano</x:v>
      </x:c>
      <x:c r="F90" s="168" t="str">
        <x:v>SSR</x:v>
      </x:c>
      <x:c r="G90" s="168" t="str">
        <x:v>Mobile-RPG-Gegnerkonzept, vollständige Figur, gut lesbare Kampfsilhouette, Rom-Fantasy, Viergesichtiger steinerner Wächter mit römischem Torbogenpanzer, vier Masken in unterschiedliche Richtungen, bronzene Schlüssel, gold-violette Lichtfugen. Dramatisches aber nicht fotorealistisches Licht, neutraler transparenzgeeigneter Hintergrund, keine Schrift, kein Logo, keine Gore.</x:v>
      </x:c>
      <x:c r="H90" s="168" t="str">
        <x:v>Kampfbereitschaft: Wechselt Schutz-, Handels-, Kult- und Täuschungshaltung; nur die zur sichtbaren Monumentform passende Antwort öffnet eine Schwachstelle. Vier Haltungen zyklisch; keine zusätzliche Lebensphase.</x:v>
      </x:c>
      <x:c r="I90" s="168" t="str">
        <x:v>Add a restrained looping combat-ready motion; 2–4 s; seamless loop; preserve silhouette and equipment.</x:v>
      </x:c>
      <x:c r="J90" s="168" t="str">
        <x:v>2–4</x:v>
      </x:c>
      <x:c r="K90" s="168" t="str">
        <x:v>1280×720 (720p)</x:v>
      </x:c>
      <x:c r="L90" s="168" t="str">
        <x:v>EDITORIAL_REVIEW</x:v>
      </x:c>
      <x:c r="M90" s="168" t="str">
        <x:v>Kampfprofile!T14</x:v>
      </x:c>
    </x:row>
    <x:row r="91" ht="52.79999923706055" hidden="0" customHeight="1">
      <x:c r="A91" s="168" t="str">
        <x:v>COMBAT:CP-QE-MASCHERONE</x:v>
      </x:c>
      <x:c r="B91" s="168" t="str">
        <x:v>COMBAT_PROFILE_ART</x:v>
      </x:c>
      <x:c r="C91" s="168" t="str">
        <x:v>Kampfprofile!T</x:v>
      </x:c>
      <x:c r="D91" s="168" t="str">
        <x:v>D2-Q05</x:v>
      </x:c>
      <x:c r="E91" s="168" t="str">
        <x:v>Mascherone dell’Aventino</x:v>
      </x:c>
      <x:c r="F91" s="168" t="str">
        <x:v>SR</x:v>
      </x:c>
      <x:c r="G91" s="168" t="str">
        <x:v>Mobile-RPG-Gegnerkonzept, vollständige Figur, gut lesbare Kampfsilhouette, Rom-Fantasy, Schwebende barocke Steinmaske, großer Wasserauslass im Mund, moosige Patina, gebrochene Theaterbänder, blaues Wasserlicht. Dramatisches aber nicht fotorealistisches Licht, neutraler transparenzgeeigneter Hintergrund, keine Schrift, kein Logo, keine Gore.</x:v>
      </x:c>
      <x:c r="H91" s="168" t="str">
        <x:v>Kampfbereitschaft: Markiert eine Blickrichtung und flutet in der Folgerunde alle Ziele, die dieselbe Haltung behalten. Optionaler Kampf; bei halber Vitalität bricht die Maske und verliert Verwirrung.</x:v>
      </x:c>
      <x:c r="I91" s="168" t="str">
        <x:v>Add a restrained looping combat-ready motion; 2–4 s; seamless loop; preserve silhouette and equipment.</x:v>
      </x:c>
      <x:c r="J91" s="168" t="str">
        <x:v>2–4</x:v>
      </x:c>
      <x:c r="K91" s="168" t="str">
        <x:v>1280×720 (720p)</x:v>
      </x:c>
      <x:c r="L91" s="168" t="str">
        <x:v>EDITORIAL_REVIEW</x:v>
      </x:c>
      <x:c r="M91" s="168" t="str">
        <x:v>Kampfprofile!T15</x:v>
      </x:c>
    </x:row>
    <x:row r="92" ht="52.79999923706055" hidden="0" customHeight="1">
      <x:c r="A92" s="168" t="str">
        <x:v>COMBAT:CP-QE-SCORPIONE</x:v>
      </x:c>
      <x:c r="B92" s="168" t="str">
        <x:v>COMBAT_PROFILE_ART</x:v>
      </x:c>
      <x:c r="C92" s="168" t="str">
        <x:v>Kampfprofile!T</x:v>
      </x:c>
      <x:c r="D92" s="168" t="str">
        <x:v>D2-Q08</x:v>
      </x:c>
      <x:c r="E92" s="168" t="str">
        <x:v>Scorpione delle Mura</x:v>
      </x:c>
      <x:c r="F92" s="168" t="str">
        <x:v>SR</x:v>
      </x:c>
      <x:c r="G92" s="168" t="str">
        <x:v>Mobile-RPG-Gegnerkonzept, vollständige Figur, gut lesbare Kampfsilhouette, Rom-Fantasy, Großer Skorpion aus römischen Ziegeln und Eisenklammern, Mörtelstaub, glühender Schwanz, Mauerlinienmuster, stilisiert ohne Ekel. Dramatisches aber nicht fotorealistisches Licht, neutraler transparenzgeeigneter Hintergrund, keine Schrift, kein Logo, keine Gore.</x:v>
      </x:c>
      <x:c r="H92" s="168" t="str">
        <x:v>Kampfbereitschaft: Beginnt stark gepanzert; öffnet die Scheren nach richtiger Torzustands-Zuordnung. Keine Phase; Panzerbruch ist der zentrale Zustandswechsel.</x:v>
      </x:c>
      <x:c r="I92" s="168" t="str">
        <x:v>Add a restrained looping combat-ready motion; 2–4 s; seamless loop; preserve silhouette and equipment.</x:v>
      </x:c>
      <x:c r="J92" s="168" t="str">
        <x:v>2–4</x:v>
      </x:c>
      <x:c r="K92" s="168" t="str">
        <x:v>1280×720 (720p)</x:v>
      </x:c>
      <x:c r="L92" s="168" t="str">
        <x:v>EDITORIAL_REVIEW</x:v>
      </x:c>
      <x:c r="M92" s="168" t="str">
        <x:v>Kampfprofile!T16</x:v>
      </x:c>
    </x:row>
    <x:row r="93" ht="52.79999923706055" hidden="0" customHeight="1">
      <x:c r="A93" s="168" t="str">
        <x:v>COMBAT:CP-QE-VAPORE</x:v>
      </x:c>
      <x:c r="B93" s="168" t="str">
        <x:v>COMBAT_PROFILE_ART</x:v>
      </x:c>
      <x:c r="C93" s="168" t="str">
        <x:v>Kampfprofile!T</x:v>
      </x:c>
      <x:c r="D93" s="168" t="str">
        <x:v>D2-Q09</x:v>
      </x:c>
      <x:c r="E93" s="168" t="str">
        <x:v>Vapore delle Terme</x:v>
      </x:c>
      <x:c r="F93" s="168" t="str">
        <x:v>R</x:v>
      </x:c>
      <x:c r="G93" s="168" t="str">
        <x:v>Mobile-RPG-Gegnerkonzept, vollständige Figur, gut lesbare Kampfsilhouette, Rom-Fantasy, Humanoider Dampfgeist aus weißgrauem Nebel, rote Ziegelstücke als schwebende Rüstung, orange Glut im Inneren, antike Thermenatmosphäre. Dramatisches aber nicht fotorealistisches Licht, neutraler transparenzgeeigneter Hintergrund, keine Schrift, kein Logo, keine Gore.</x:v>
      </x:c>
      <x:c r="H93" s="168" t="str">
        <x:v>Kampfbereitschaft: Erzeugt Nebelstapel, die Treffer ungenauer machen; wird durch Materialcode kurz kondensiert. Optionaler Kampf; keine Phase, aber Kondensation öffnet ein kurzes Burstfenster.</x:v>
      </x:c>
      <x:c r="I93" s="168" t="str">
        <x:v>Add a restrained looping combat-ready motion; 2–4 s; seamless loop; preserve silhouette and equipment.</x:v>
      </x:c>
      <x:c r="J93" s="168" t="str">
        <x:v>2–4</x:v>
      </x:c>
      <x:c r="K93" s="168" t="str">
        <x:v>1280×720 (720p)</x:v>
      </x:c>
      <x:c r="L93" s="168" t="str">
        <x:v>EDITORIAL_REVIEW</x:v>
      </x:c>
      <x:c r="M93" s="168" t="str">
        <x:v>Kampfprofile!T17</x:v>
      </x:c>
    </x:row>
    <x:row r="94" ht="52.79999923706055" hidden="0" customHeight="1">
      <x:c r="A94" s="168" t="str">
        <x:v>COMBAT:CP-QE-IDRA</x:v>
      </x:c>
      <x:c r="B94" s="168" t="str">
        <x:v>COMBAT_PROFILE_ART</x:v>
      </x:c>
      <x:c r="C94" s="168" t="str">
        <x:v>Kampfprofile!T</x:v>
      </x:c>
      <x:c r="D94" s="168" t="str">
        <x:v>D2-Q10</x:v>
      </x:c>
      <x:c r="E94" s="168" t="str">
        <x:v>Idra dell’Aqua Claudia</x:v>
      </x:c>
      <x:c r="F94" s="168" t="str">
        <x:v>SSR</x:v>
      </x:c>
      <x:c r="G94" s="168" t="str">
        <x:v>Mobile-RPG-Gegnerkonzept, vollständige Figur, gut lesbare Kampfsilhouette, Rom-Fantasy, Monumentale Hydra aus Travertin und strömendem Wasser, drei bis vier elegante Schlangenköpfe, Aquäduktbögen als Körper, blau-goldenes Licht. Dramatisches aber nicht fotorealistisches Licht, neutraler transparenzgeeigneter Hintergrund, keine Schrift, kein Logo, keine Gore.</x:v>
      </x:c>
      <x:c r="H94" s="168" t="str">
        <x:v>Kampfbereitschaft: Jeder aktive Kopf bereitet einen anderen Angriff vor; die Bleiplombe entfernt vorab einen Kopf und dessen Mechanik. Köpfe werden mechanisch deaktiviert, nicht einzeln mit separaten HP geführt.</x:v>
      </x:c>
      <x:c r="I94" s="168" t="str">
        <x:v>Add a restrained looping combat-ready motion; 2–4 s; seamless loop; preserve silhouette and equipment.</x:v>
      </x:c>
      <x:c r="J94" s="168" t="str">
        <x:v>2–4</x:v>
      </x:c>
      <x:c r="K94" s="168" t="str">
        <x:v>1280×720 (720p)</x:v>
      </x:c>
      <x:c r="L94" s="168" t="str">
        <x:v>EDITORIAL_REVIEW</x:v>
      </x:c>
      <x:c r="M94" s="168" t="str">
        <x:v>Kampfprofile!T18</x:v>
      </x:c>
    </x:row>
    <x:row r="95" ht="52.79999923706055" hidden="0" customHeight="1">
      <x:c r="A95" s="168" t="str">
        <x:v>COMBAT:CP-QE-DRAMMA</x:v>
      </x:c>
      <x:c r="B95" s="168" t="str">
        <x:v>COMBAT_PROFILE_ART</x:v>
      </x:c>
      <x:c r="C95" s="168" t="str">
        <x:v>Kampfprofile!T</x:v>
      </x:c>
      <x:c r="D95" s="168" t="str">
        <x:v>M-LT-01</x:v>
      </x:c>
      <x:c r="E95" s="168" t="str">
        <x:v>Maschera del Dramma</x:v>
      </x:c>
      <x:c r="F95" s="168" t="str">
        <x:v>L</x:v>
      </x:c>
      <x:c r="G95" s="168" t="str">
        <x:v>Mobile-RPG-Gegnerkonzept, vollständige Figur, gut lesbare Kampfsilhouette, Rom-Fantasy, Große zweigeteilte Theatermaske aus Marmor und Bronze, eine lachende und eine ernste Hälfte, zwölf kleine leuchtende Bildrahmen, violetter Bühnennebel. Dramatisches aber nicht fotorealistisches Licht, neutraler transparenzgeeigneter Hintergrund, keine Schrift, kein Logo, keine Gore.</x:v>
      </x:c>
      <x:c r="H95" s="168" t="str">
        <x:v>Kampfbereitschaft: Kein normaler Kampf: Jede fehlende Rubrikkategorie wird zu einer narrativen Barriere; richtige Bildreihenfolge ersetzt Angriffe. Drei Review-Phasen statt HP-Schaden.</x:v>
      </x:c>
      <x:c r="I95" s="168" t="str">
        <x:v>Add a restrained looping combat-ready motion; 2–4 s; seamless loop; preserve silhouette and equipment.</x:v>
      </x:c>
      <x:c r="J95" s="168" t="str">
        <x:v>2–4</x:v>
      </x:c>
      <x:c r="K95" s="168" t="str">
        <x:v>1280×720 (720p)</x:v>
      </x:c>
      <x:c r="L95" s="168" t="str">
        <x:v>EDITORIAL_REVIEW</x:v>
      </x:c>
      <x:c r="M95" s="168" t="str">
        <x:v>Kampfprofile!T19</x:v>
      </x:c>
    </x:row>
    <x:row r="96" ht="52.79999923706055" hidden="0" customHeight="1">
      <x:c r="A96" s="168" t="str">
        <x:v>COMBAT:CP-QE-AURIGA</x:v>
      </x:c>
      <x:c r="B96" s="168" t="str">
        <x:v>COMBAT_PROFILE_ART</x:v>
      </x:c>
      <x:c r="C96" s="168" t="str">
        <x:v>Kampfprofile!T</x:v>
      </x:c>
      <x:c r="D96" s="168" t="str">
        <x:v>M-D2-01</x:v>
      </x:c>
      <x:c r="E96" s="168" t="str">
        <x:v>Rasender Kutschergeist</x:v>
      </x:c>
      <x:c r="F96" s="168" t="str">
        <x:v>SR</x:v>
      </x:c>
      <x:c r="G96" s="168" t="str">
        <x:v>Mobile-RPG-Gegnerkonzept, vollständige Figur, gut lesbare Kampfsilhouette, Rom-Fantasy, Geisterhafter römischer Wagenlenker auf durchsichtigem Streitwagen, grünes Renngewand, fünf Lichtspuren wie Bilderrahmen, dynamisch aber ohne reale Kollision. Dramatisches aber nicht fotorealistisches Licht, neutraler transparenzgeeigneter Hintergrund, keine Schrift, kein Logo, keine Gore.</x:v>
      </x:c>
      <x:c r="H96" s="168" t="str">
        <x:v>Kampfbereitschaft: Medienbegegnung: reagiert auf falsche Reihenfolge mit Zurücksetzen des betroffenen Aktes; kein echter PvE-Kampf nötig. Fünf Sequenzphasen.</x:v>
      </x:c>
      <x:c r="I96" s="168" t="str">
        <x:v>Add a restrained looping combat-ready motion; 2–4 s; seamless loop; preserve silhouette and equipment.</x:v>
      </x:c>
      <x:c r="J96" s="168" t="str">
        <x:v>2–4</x:v>
      </x:c>
      <x:c r="K96" s="168" t="str">
        <x:v>1280×720 (720p)</x:v>
      </x:c>
      <x:c r="L96" s="168" t="str">
        <x:v>EDITORIAL_REVIEW</x:v>
      </x:c>
      <x:c r="M96" s="168" t="str">
        <x:v>Kampfprofile!T20</x:v>
      </x:c>
    </x:row>
    <x:row r="97" ht="39.599998474121094" hidden="0" customHeight="1">
      <x:c r="A97" s="168" t="str">
        <x:v>COMBAT:CP-QE-GLADIATOR-MEDIA</x:v>
      </x:c>
      <x:c r="B97" s="168" t="str">
        <x:v>COMBAT_PROFILE_ART</x:v>
      </x:c>
      <x:c r="C97" s="168" t="str">
        <x:v>Kampfprofile!T</x:v>
      </x:c>
      <x:c r="D97" s="168" t="str">
        <x:v>M-D2-02</x:v>
      </x:c>
      <x:c r="E97" s="168" t="str">
        <x:v>Gladiator</x:v>
      </x:c>
      <x:c r="F97" s="168" t="str">
        <x:v>R</x:v>
      </x:c>
      <x:c r="G97" s="168" t="str">
        <x:v>Mobile-RPG-Gegnerkonzept, vollständige Figur, gut lesbare Kampfsilhouette, Rom-Fantasy, Theatralischer Gladiator mit Holzschwert und leichtem Schild, rote Feder, übertriebene Siegerpose, freundlicher Ausdruck, keine Gewalt. Dramatisches aber nicht fotorealistisches Licht, neutraler transparenzgeeigneter Hintergrund, keine Schrift, kein Logo, keine Gore.</x:v>
      </x:c>
      <x:c r="H97" s="168" t="str">
        <x:v>Kampfbereitschaft: Kein echter Kampf; bewertet Herausforderung, Wendepunkt und Gnade als drei statische Posen. Drei Review-Phasen.</x:v>
      </x:c>
      <x:c r="I97" s="168" t="str">
        <x:v>Add a restrained looping combat-ready motion; 2–4 s; seamless loop; preserve silhouette and equipment.</x:v>
      </x:c>
      <x:c r="J97" s="168" t="str">
        <x:v>2–4</x:v>
      </x:c>
      <x:c r="K97" s="168" t="str">
        <x:v>1280×720 (720p)</x:v>
      </x:c>
      <x:c r="L97" s="168" t="str">
        <x:v>EDITORIAL_REVIEW</x:v>
      </x:c>
      <x:c r="M97" s="168" t="str">
        <x:v>Kampfprofile!T21</x:v>
      </x:c>
    </x:row>
    <x:row r="98" ht="52.79999923706055" hidden="0" customHeight="1">
      <x:c r="A98" s="168" t="str">
        <x:v>COMBAT:CP-QE-TABERNA</x:v>
      </x:c>
      <x:c r="B98" s="168" t="str">
        <x:v>COMBAT_PROFILE_ART</x:v>
      </x:c>
      <x:c r="C98" s="168" t="str">
        <x:v>Kampfprofile!T</x:v>
      </x:c>
      <x:c r="D98" s="168" t="str">
        <x:v>M-D2-03</x:v>
      </x:c>
      <x:c r="E98" s="168" t="str">
        <x:v>Spettro della Taberna</x:v>
      </x:c>
      <x:c r="F98" s="168" t="str">
        <x:v>R</x:v>
      </x:c>
      <x:c r="G98" s="168" t="str">
        <x:v>Mobile-RPG-Gegnerkonzept, vollständige Figur, gut lesbare Kampfsilhouette, Rom-Fantasy, Durchsichtiger römischer Ladenbesitzer, halbkreisförmige Ziegelfassade als Hintergrund, Wachstafel, Waage, skeptisch hochgezogene Augenbraue. Dramatisches aber nicht fotorealistisches Licht, neutraler transparenzgeeigneter Hintergrund, keine Schrift, kein Logo, keine Gore.</x:v>
      </x:c>
      <x:c r="H98" s="168" t="str">
        <x:v>Kampfbereitschaft: Stellt nacheinander Nutzen, Schwäche und Preisfrage; fehlende Antwort erzeugt Zeitdruck statt Schaden. Drei Dialogphasen innerhalb von 30–60 Sekunden.</x:v>
      </x:c>
      <x:c r="I98" s="168" t="str">
        <x:v>Add a restrained looping combat-ready motion; 2–4 s; seamless loop; preserve silhouette and equipment.</x:v>
      </x:c>
      <x:c r="J98" s="168" t="str">
        <x:v>2–4</x:v>
      </x:c>
      <x:c r="K98" s="168" t="str">
        <x:v>1280×720 (720p)</x:v>
      </x:c>
      <x:c r="L98" s="168" t="str">
        <x:v>EDITORIAL_REVIEW</x:v>
      </x:c>
      <x:c r="M98" s="168" t="str">
        <x:v>Kampfprofile!T22</x:v>
      </x:c>
    </x:row>
    <x:row r="99" ht="39.599998474121094" hidden="0" customHeight="1">
      <x:c r="A99" s="168" t="str">
        <x:v>COMBAT:CP-QE-SATIRELLI</x:v>
      </x:c>
      <x:c r="B99" s="168" t="str">
        <x:v>COMBAT_PROFILE_ART</x:v>
      </x:c>
      <x:c r="C99" s="168" t="str">
        <x:v>Kampfprofile!T</x:v>
      </x:c>
      <x:c r="D99" s="168" t="str">
        <x:v>H-D1-03</x:v>
      </x:c>
      <x:c r="E99" s="168" t="str">
        <x:v>I Satirelli Gemelli</x:v>
      </x:c>
      <x:c r="F99" s="168" t="str">
        <x:v>R</x:v>
      </x:c>
      <x:c r="G99" s="168" t="str">
        <x:v>Mobile-RPG-Gegnerkonzept, vollständige Figur, gut lesbare Kampfsilhouette, Rom-Fantasy, Zwei kleine Satyrgeister, einer mit Panflöte, einer mit Traubenranke, dunkler Stein und grünes Moos, schelmische Gesichter. Dramatisches aber nicht fotorealistisches Licht, neutraler transparenzgeeigneter Hintergrund, keine Schrift, kein Logo, keine Gore.</x:v>
      </x:c>
      <x:c r="H99" s="168" t="str">
        <x:v>Kampfbereitschaft: Einer verspottet, einer greift an; Zuordnung zeigt, welcher gerade verwundbar ist. Keine zweite Phase; Rollenwechsel jede Runde.</x:v>
      </x:c>
      <x:c r="I99" s="168" t="str">
        <x:v>Add a restrained looping combat-ready motion; 2–4 s; seamless loop; preserve silhouette and equipment.</x:v>
      </x:c>
      <x:c r="J99" s="168" t="str">
        <x:v>2–4</x:v>
      </x:c>
      <x:c r="K99" s="168" t="str">
        <x:v>1280×720 (720p)</x:v>
      </x:c>
      <x:c r="L99" s="168" t="str">
        <x:v>EDITORIAL_REVIEW</x:v>
      </x:c>
      <x:c r="M99" s="168" t="str">
        <x:v>Kampfprofile!T23</x:v>
      </x:c>
    </x:row>
    <x:row r="100" ht="52.79999923706055" hidden="0" customHeight="1">
      <x:c r="A100" s="168" t="str">
        <x:v>COMBAT:CP-QE-ALCHEMIST</x:v>
      </x:c>
      <x:c r="B100" s="168" t="str">
        <x:v>COMBAT_PROFILE_ART</x:v>
      </x:c>
      <x:c r="C100" s="168" t="str">
        <x:v>Kampfprofile!T</x:v>
      </x:c>
      <x:c r="D100" s="168" t="str">
        <x:v>H-D2-01</x:v>
      </x:c>
      <x:c r="E100" s="168" t="str">
        <x:v>Alchemist der Porta Magica</x:v>
      </x:c>
      <x:c r="F100" s="168" t="str">
        <x:v>SR</x:v>
      </x:c>
      <x:c r="G100" s="168" t="str">
        <x:v>Mobile-RPG-Gegnerkonzept, vollständige Figur, gut lesbare Kampfsilhouette, Rom-Fantasy, Maskierter Renaissance-Alchemist in dunkelgrünem Mantel, goldene Formeln, Stein- und Metallringe, zwei Wächterfiguren im Hintergrund. Dramatisches aber nicht fotorealistisches Licht, neutraler transparenzgeeigneter Hintergrund, keine Schrift, kein Logo, keine Gore.</x:v>
      </x:c>
      <x:c r="H100" s="168" t="str">
        <x:v>Kampfbereitschaft: Verwandelt falsche Reihenfolgen in Stein-, Metall- oder Lichtbarrieren; richtige nächste Kategorie bricht sie. Drei Materialphasen; kann vollständig als Puzzle statt Kampf gelöst werden.</x:v>
      </x:c>
      <x:c r="I100" s="168" t="str">
        <x:v>Add a restrained looping combat-ready motion; 2–4 s; seamless loop; preserve silhouette and equipment.</x:v>
      </x:c>
      <x:c r="J100" s="168" t="str">
        <x:v>2–4</x:v>
      </x:c>
      <x:c r="K100" s="168" t="str">
        <x:v>1280×720 (720p)</x:v>
      </x:c>
      <x:c r="L100" s="168" t="str">
        <x:v>EDITORIAL_REVIEW</x:v>
      </x:c>
      <x:c r="M100" s="168" t="str">
        <x:v>Kampfprofile!T24</x:v>
      </x:c>
    </x:row>
    <x:row r="101" ht="52.79999923706055" hidden="0" customHeight="1">
      <x:c r="A101" s="168" t="str">
        <x:v>COMBAT:CP-QE-INFERNO</x:v>
      </x:c>
      <x:c r="B101" s="168" t="str">
        <x:v>COMBAT_PROFILE_ART</x:v>
      </x:c>
      <x:c r="C101" s="168" t="str">
        <x:v>Kampfprofile!T</x:v>
      </x:c>
      <x:c r="D101" s="168" t="str">
        <x:v>H-D2-02</x:v>
      </x:c>
      <x:c r="E101" s="168" t="str">
        <x:v>Custode dell’Inferno</x:v>
      </x:c>
      <x:c r="F101" s="168" t="str">
        <x:v>SR</x:v>
      </x:c>
      <x:c r="G101" s="168" t="str">
        <x:v>Mobile-RPG-Gegnerkonzept, vollständige Figur, gut lesbare Kampfsilhouette, Rom-Fantasy, Roter Windwächter mit Lorbeerkranz und dunklem Mantel, Windrose aus Glut unter den Füßen, abstrakte literarische Fantasie, keine direkte Dante-Kopie. Dramatisches aber nicht fotorealistisches Licht, neutraler transparenzgeeigneter Hintergrund, keine Schrift, kein Logo, keine Gore.</x:v>
      </x:c>
      <x:c r="H101" s="168" t="str">
        <x:v>Kampfbereitschaft: Telegraphiert Nord, Ost, Süd oder West; falsche Orientierung verstärkt den nächsten Angriff. Keine Phase; wird durch USCITA-Code direkt geschwächt.</x:v>
      </x:c>
      <x:c r="I101" s="168" t="str">
        <x:v>Add a restrained looping combat-ready motion; 2–4 s; seamless loop; preserve silhouette and equipment.</x:v>
      </x:c>
      <x:c r="J101" s="168" t="str">
        <x:v>2–4</x:v>
      </x:c>
      <x:c r="K101" s="168" t="str">
        <x:v>1280×720 (720p)</x:v>
      </x:c>
      <x:c r="L101" s="168" t="str">
        <x:v>EDITORIAL_REVIEW</x:v>
      </x:c>
      <x:c r="M101" s="168" t="str">
        <x:v>Kampfprofile!T25</x:v>
      </x:c>
    </x:row>
    <x:row r="102" ht="52.79999923706055" hidden="0" customHeight="1">
      <x:c r="A102" s="168" t="str">
        <x:v>COMBAT:CP-WB-CANNONIERE</x:v>
      </x:c>
      <x:c r="B102" s="168" t="str">
        <x:v>COMBAT_PROFILE_ART</x:v>
      </x:c>
      <x:c r="C102" s="168" t="str">
        <x:v>Kampfprofile!T</x:v>
      </x:c>
      <x:c r="D102" s="168" t="str">
        <x:v>B-D1-01</x:v>
      </x:c>
      <x:c r="E102" s="168" t="str">
        <x:v>Il Cannoniere del Gianicolo</x:v>
      </x:c>
      <x:c r="F102" s="168" t="str">
        <x:v>E</x:v>
      </x:c>
      <x:c r="G102" s="168" t="str">
        <x:v>Mobile-RPG-Gegnerkonzept, vollständige Figur, gut lesbare Kampfsilhouette, Rom-Fantasy, Mächtiger Artillerist des 19. Jahrhunderts, rußige rote Jacke, Messingknöpfe, Geisterkanone, orange-goldener Rauch, Panorama nur angedeutet. Dramatisches aber nicht fotorealistisches Licht, neutraler transparenzgeeigneter Hintergrund, keine Schrift, kein Logo, keine Gore.</x:v>
      </x:c>
      <x:c r="H102" s="168" t="str">
        <x:v>Kampfbereitschaft: Globaler Kampf mit Deckungsruf, Schwachstellenfenster und Standartenkoordination; Aktionen bleiben pro Spieler übersichtlich. Phase 1 Zielmarken; Phase 2 überhitzte Kanone; Phase 3 letzte Standarte.</x:v>
      </x:c>
      <x:c r="I102" s="168" t="str">
        <x:v>Add a restrained looping combat-ready motion; 2–4 s; seamless loop; preserve silhouette and equipment.</x:v>
      </x:c>
      <x:c r="J102" s="168" t="str">
        <x:v>2–4</x:v>
      </x:c>
      <x:c r="K102" s="168" t="str">
        <x:v>1280×720 (720p)</x:v>
      </x:c>
      <x:c r="L102" s="168" t="str">
        <x:v>EDITORIAL_REVIEW</x:v>
      </x:c>
      <x:c r="M102" s="168" t="str">
        <x:v>Kampfprofile!T26</x:v>
      </x:c>
    </x:row>
    <x:row r="103" ht="52.79999923706055" hidden="0" customHeight="1">
      <x:c r="A103" s="168" t="str">
        <x:v>COMBAT:CP-WB-NEVE</x:v>
      </x:c>
      <x:c r="B103" s="168" t="str">
        <x:v>COMBAT_PROFILE_ART</x:v>
      </x:c>
      <x:c r="C103" s="168" t="str">
        <x:v>Kampfprofile!T</x:v>
      </x:c>
      <x:c r="D103" s="168" t="str">
        <x:v>B-D2-01</x:v>
      </x:c>
      <x:c r="E103" s="168" t="str">
        <x:v>Custode della Neve</x:v>
      </x:c>
      <x:c r="F103" s="168" t="str">
        <x:v>L</x:v>
      </x:c>
      <x:c r="G103" s="168" t="str">
        <x:v>Mobile-RPG-Gegnerkonzept, vollständige Figur, gut lesbare Kampfsilhouette, Rom-Fantasy, Riesiger weißer Wächter in byzantinisch-römischer Fantasierüstung, Schneemantel, goldene Mosaikreflexe, violett-oranges Bosslicht, kein religiöses Gesicht imitieren. Dramatisches aber nicht fotorealistisches Licht, neutraler transparenzgeeigneter Hintergrund, keine Schrift, kein Logo, keine Gore.</x:v>
      </x:c>
      <x:c r="H103" s="168" t="str">
        <x:v>Kampfbereitschaft: Globaler Kampf mit Erinnerungseis, Wärmeverteilung und gemeinsamen Bruchfenstern; Legendenstatus wird im Dialog klar markiert. Phase 1 Schneesiegel; Phase 2 weiße Nacht; Phase 3 Mosaikrisse und Finale.</x:v>
      </x:c>
      <x:c r="I103" s="168" t="str">
        <x:v>Add a restrained looping combat-ready motion; 2–4 s; seamless loop; preserve silhouette and equipment.</x:v>
      </x:c>
      <x:c r="J103" s="168" t="str">
        <x:v>2–4</x:v>
      </x:c>
      <x:c r="K103" s="168" t="str">
        <x:v>1280×720 (720p)</x:v>
      </x:c>
      <x:c r="L103" s="168" t="str">
        <x:v>EDITORIAL_REVIEW</x:v>
      </x:c>
      <x:c r="M103" s="168" t="str">
        <x:v>Kampfprofile!T27</x:v>
      </x:c>
    </x:row>
    <x:row r="104" ht="52.79999923706055" hidden="0" customHeight="1">
      <x:c r="A104" s="168" t="str">
        <x:v>COMBAT:CP-UE-D1-01</x:v>
      </x:c>
      <x:c r="B104" s="168" t="str">
        <x:v>COMBAT_PROFILE_ART</x:v>
      </x:c>
      <x:c r="C104" s="168" t="str">
        <x:v>Kampfprofile!T</x:v>
      </x:c>
      <x:c r="D104" s="168" t="str">
        <x:v>UE-D1-01</x:v>
      </x:c>
      <x:c r="E104" s="168" t="str">
        <x:v>Angelo della Passione</x:v>
      </x:c>
      <x:c r="F104" s="168" t="str">
        <x:v>SR</x:v>
      </x:c>
      <x:c r="G104" s="168" t="str">
        <x:v>Mobile-RPG-Gegnerkonzept, vollständige Figur, gut lesbare Kampfsilhouette, Rom-Fantasy, Lebendig gewordener Brückenengel aus hellem Marmor, große gefiederte Flügel, verwittertes Passionsinstrument, goldene Risse, entschlossener trauriger Blick, Tibernebel, Ganzkörper. Dramatisches aber nicht fotorealistisches Licht, neutraler transparenzgeeigneter Hintergrund, keine Schrift, kein Logo, keine Gore.</x:v>
      </x:c>
      <x:c r="H104" s="168" t="str">
        <x:v>Kampfbereitschaft: Hebt ein Passionsinstrument sichtbar an und kontert in der Folgerunde die zuerst wiederholte Aktionsart. Keine Lebensphasen; zustandsbasiertes Telegraph/Counterplay.</x:v>
      </x:c>
      <x:c r="I104" s="168" t="str">
        <x:v>Add a restrained looping combat-ready motion; 2–4 s; seamless loop; preserve silhouette and equipment.</x:v>
      </x:c>
      <x:c r="J104" s="168" t="str">
        <x:v>2–4</x:v>
      </x:c>
      <x:c r="K104" s="168" t="str">
        <x:v>1280×720 (720p)</x:v>
      </x:c>
      <x:c r="L104" s="168" t="str">
        <x:v>EDITORIAL_REVIEW</x:v>
      </x:c>
      <x:c r="M104" s="168" t="str">
        <x:v>Kampfprofile!T28</x:v>
      </x:c>
    </x:row>
    <x:row r="105" ht="52.79999923706055" hidden="0" customHeight="1">
      <x:c r="A105" s="168" t="str">
        <x:v>COMBAT:CP-UE-D1-02</x:v>
      </x:c>
      <x:c r="B105" s="168" t="str">
        <x:v>COMBAT_PROFILE_ART</x:v>
      </x:c>
      <x:c r="C105" s="168" t="str">
        <x:v>Kampfprofile!T</x:v>
      </x:c>
      <x:c r="D105" s="168" t="str">
        <x:v>UE-D1-02</x:v>
      </x:c>
      <x:c r="E105" s="168" t="str">
        <x:v>Leone del Flaminio</x:v>
      </x:c>
      <x:c r="F105" s="168" t="str">
        <x:v>R</x:v>
      </x:c>
      <x:c r="G105" s="168" t="str">
        <x:v>Mobile-RPG-Gegnerkonzept, vollständige Figur, gut lesbare Kampfsilhouette, Rom-Fantasy, Monumentaler ägyptisierender Löwe aus warmem Stein, Brunnenwasser tropft aus der Mähne, bronzene Augen, Hieroglyphensockel-Fragmente, kraftvolle niedrige Haltung. Dramatisches aber nicht fotorealistisches Licht, neutraler transparenzgeeigneter Hintergrund, keine Schrift, kein Logo, keine Gore.</x:v>
      </x:c>
      <x:c r="H105" s="168" t="str">
        <x:v>Kampfbereitschaft: Umkreist das Team und kündigt einen geraden Sprungangriff durch gesenkte Steinpranken an. Keine Lebensphasen; zustandsbasiertes Telegraph/Counterplay.</x:v>
      </x:c>
      <x:c r="I105" s="168" t="str">
        <x:v>Add a restrained looping combat-ready motion; 2–4 s; seamless loop; preserve silhouette and equipment.</x:v>
      </x:c>
      <x:c r="J105" s="168" t="str">
        <x:v>2–4</x:v>
      </x:c>
      <x:c r="K105" s="168" t="str">
        <x:v>1280×720 (720p)</x:v>
      </x:c>
      <x:c r="L105" s="168" t="str">
        <x:v>EDITORIAL_REVIEW</x:v>
      </x:c>
      <x:c r="M105" s="168" t="str">
        <x:v>Kampfprofile!T29</x:v>
      </x:c>
    </x:row>
    <x:row r="106" ht="52.79999923706055" hidden="0" customHeight="1">
      <x:c r="A106" s="168" t="str">
        <x:v>COMBAT:CP-UE-D1-03</x:v>
      </x:c>
      <x:c r="B106" s="168" t="str">
        <x:v>COMBAT_PROFILE_ART</x:v>
      </x:c>
      <x:c r="C106" s="168" t="str">
        <x:v>Kampfprofile!T</x:v>
      </x:c>
      <x:c r="D106" s="168" t="str">
        <x:v>UE-D1-03</x:v>
      </x:c>
      <x:c r="E106" s="168" t="str">
        <x:v>Dea Roma del Pincio</x:v>
      </x:c>
      <x:c r="F106" s="168" t="str">
        <x:v>SSR</x:v>
      </x:c>
      <x:c r="G106" s="168" t="str">
        <x:v>Mobile-RPG-Gegnerkonzept, vollständige Figur, gut lesbare Kampfsilhouette, Rom-Fantasy, Monumentale sitzende Göttin Roma aus weißem Marmor, roter Mantel als magisches Licht, Helm, Speer gesenkt, Wölfin und zwei geisterhafte Zwillinge am Sockel, würdevoll. Dramatisches aber nicht fotorealistisches Licht, neutraler transparenzgeeigneter Hintergrund, keine Schrift, kein Logo, keine Gore.</x:v>
      </x:c>
      <x:c r="H106" s="168" t="str">
        <x:v>Kampfbereitschaft: Wechselt zwischen Roma-Aura, Wölfinruf und Zwillingsmarken; jede Haltung ist sichtbar telegraphiert. Keine Lebensphasen; zustandsbasiertes Telegraph/Counterplay.</x:v>
      </x:c>
      <x:c r="I106" s="168" t="str">
        <x:v>Add a restrained looping combat-ready motion; 2–4 s; seamless loop; preserve silhouette and equipment.</x:v>
      </x:c>
      <x:c r="J106" s="168" t="str">
        <x:v>2–4</x:v>
      </x:c>
      <x:c r="K106" s="168" t="str">
        <x:v>1280×720 (720p)</x:v>
      </x:c>
      <x:c r="L106" s="168" t="str">
        <x:v>EDITORIAL_REVIEW</x:v>
      </x:c>
      <x:c r="M106" s="168" t="str">
        <x:v>Kampfprofile!T30</x:v>
      </x:c>
    </x:row>
    <x:row r="107" ht="52.79999923706055" hidden="0" customHeight="1">
      <x:c r="A107" s="168" t="str">
        <x:v>COMBAT:CP-UE-D1-04</x:v>
      </x:c>
      <x:c r="B107" s="168" t="str">
        <x:v>COMBAT_PROFILE_ART</x:v>
      </x:c>
      <x:c r="C107" s="168" t="str">
        <x:v>Kampfprofile!T</x:v>
      </x:c>
      <x:c r="D107" s="168" t="str">
        <x:v>UE-D1-04</x:v>
      </x:c>
      <x:c r="E107" s="168" t="str">
        <x:v>Legionario della Colonna</x:v>
      </x:c>
      <x:c r="F107" s="168" t="str">
        <x:v>SR</x:v>
      </x:c>
      <x:c r="G107" s="168" t="str">
        <x:v>Mobile-RPG-Gegnerkonzept, vollständige Figur, gut lesbare Kampfsilhouette, Rom-Fantasy, Römischer Legionär aus grauem Reliefstein, Körper teilweise flach wie aus einer Säule geschnitten, Rechteckschild, Speer, spiralförmige Reliefbänder schweben hinter ihm. Dramatisches aber nicht fotorealistisches Licht, neutraler transparenzgeeigneter Hintergrund, keine Schrift, kein Logo, keine Gore.</x:v>
      </x:c>
      <x:c r="H107" s="168" t="str">
        <x:v>Kampfbereitschaft: Baut eine Schildlinie auf und wechselt nach jeder dritten Teamaktion zur Speerformation. Keine Lebensphasen; zustandsbasiertes Telegraph/Counterplay.</x:v>
      </x:c>
      <x:c r="I107" s="168" t="str">
        <x:v>Add a restrained looping combat-ready motion; 2–4 s; seamless loop; preserve silhouette and equipment.</x:v>
      </x:c>
      <x:c r="J107" s="168" t="str">
        <x:v>2–4</x:v>
      </x:c>
      <x:c r="K107" s="168" t="str">
        <x:v>1280×720 (720p)</x:v>
      </x:c>
      <x:c r="L107" s="168" t="str">
        <x:v>EDITORIAL_REVIEW</x:v>
      </x:c>
      <x:c r="M107" s="168" t="str">
        <x:v>Kampfprofile!T31</x:v>
      </x:c>
    </x:row>
    <x:row r="108" ht="52.79999923706055" hidden="0" customHeight="1">
      <x:c r="A108" s="168" t="str">
        <x:v>COMBAT:CP-UE-D1-05</x:v>
      </x:c>
      <x:c r="B108" s="168" t="str">
        <x:v>COMBAT_PROFILE_ART</x:v>
      </x:c>
      <x:c r="C108" s="168" t="str">
        <x:v>Kampfprofile!T</x:v>
      </x:c>
      <x:c r="D108" s="168" t="str">
        <x:v>UE-D1-05</x:v>
      </x:c>
      <x:c r="E108" s="168" t="str">
        <x:v>Ombra dell’Horologium</x:v>
      </x:c>
      <x:c r="F108" s="168" t="str">
        <x:v>SSR</x:v>
      </x:c>
      <x:c r="G108" s="168" t="str">
        <x:v>Mobile-RPG-Gegnerkonzept, vollständige Figur, gut lesbare Kampfsilhouette, Rom-Fantasy, Humanoider Geist aus schwarzem Schatten und goldenen Sonnenlinien, Obelisken-Silhouette als Rücken, schwebende römische Stundenmarken, keine reale Schattenposition nötig. Dramatisches aber nicht fotorealistisches Licht, neutraler transparenzgeeigneter Hintergrund, keine Schrift, kein Logo, keine Gore.</x:v>
      </x:c>
      <x:c r="H108" s="168" t="str">
        <x:v>Kampfbereitschaft: Legt eine sichtbare Drei-Schritt-Zeitleiste an; verzögerte Aktionen werden verstärkt, hektische Wiederholungen bestraft. Keine Lebensphasen; zustandsbasiertes Telegraph/Counterplay.</x:v>
      </x:c>
      <x:c r="I108" s="168" t="str">
        <x:v>Add a restrained looping combat-ready motion; 2–4 s; seamless loop; preserve silhouette and equipment.</x:v>
      </x:c>
      <x:c r="J108" s="168" t="str">
        <x:v>2–4</x:v>
      </x:c>
      <x:c r="K108" s="168" t="str">
        <x:v>1280×720 (720p)</x:v>
      </x:c>
      <x:c r="L108" s="168" t="str">
        <x:v>EDITORIAL_REVIEW</x:v>
      </x:c>
      <x:c r="M108" s="168" t="str">
        <x:v>Kampfprofile!T32</x:v>
      </x:c>
    </x:row>
    <x:row r="109" ht="52.79999923706055" hidden="0" customHeight="1">
      <x:c r="A109" s="168" t="str">
        <x:v>COMBAT:CP-UE-D1-06</x:v>
      </x:c>
      <x:c r="B109" s="168" t="str">
        <x:v>COMBAT_PROFILE_ART</x:v>
      </x:c>
      <x:c r="C109" s="168" t="str">
        <x:v>Kampfprofile!T</x:v>
      </x:c>
      <x:c r="D109" s="168" t="str">
        <x:v>UE-D1-06</x:v>
      </x:c>
      <x:c r="E109" s="168" t="str">
        <x:v>Custode della Cupola</x:v>
      </x:c>
      <x:c r="F109" s="168" t="str">
        <x:v>R</x:v>
      </x:c>
      <x:c r="G109" s="168" t="str">
        <x:v>Mobile-RPG-Gegnerkonzept, vollständige Figur, gut lesbare Kampfsilhouette, Rom-Fantasy, Einzelner barocker Fassadenengel aus hellem Stein, asymmetrische leicht beschädigte Flügel, Schriftrolle, Kuppelsilhouette im Hintergrund, wachsam statt religiös verehrt. Dramatisches aber nicht fotorealistisches Licht, neutraler transparenzgeeigneter Hintergrund, keine Schrift, kein Logo, keine Gore.</x:v>
      </x:c>
      <x:c r="H109" s="168" t="str">
        <x:v>Kampfbereitschaft: Schützt sich mit Steinflügeln und stößt nach einem Fassadenruf auf ein Ziel herab. Keine Lebensphasen; zustandsbasiertes Telegraph/Counterplay.</x:v>
      </x:c>
      <x:c r="I109" s="168" t="str">
        <x:v>Add a restrained looping combat-ready motion; 2–4 s; seamless loop; preserve silhouette and equipment.</x:v>
      </x:c>
      <x:c r="J109" s="168" t="str">
        <x:v>2–4</x:v>
      </x:c>
      <x:c r="K109" s="168" t="str">
        <x:v>1280×720 (720p)</x:v>
      </x:c>
      <x:c r="L109" s="168" t="str">
        <x:v>EDITORIAL_REVIEW</x:v>
      </x:c>
      <x:c r="M109" s="168" t="str">
        <x:v>Kampfprofile!T33</x:v>
      </x:c>
    </x:row>
    <x:row r="110" ht="52.79999923706055" hidden="0" customHeight="1">
      <x:c r="A110" s="168" t="str">
        <x:v>COMBAT:CP-UE-D1-07</x:v>
      </x:c>
      <x:c r="B110" s="168" t="str">
        <x:v>COMBAT_PROFILE_ART</x:v>
      </x:c>
      <x:c r="C110" s="168" t="str">
        <x:v>Kampfprofile!T</x:v>
      </x:c>
      <x:c r="D110" s="168" t="str">
        <x:v>UE-D1-07</x:v>
      </x:c>
      <x:c r="E110" s="168" t="str">
        <x:v>Serpente di Esculapio</x:v>
      </x:c>
      <x:c r="F110" s="168" t="str">
        <x:v>SSR</x:v>
      </x:c>
      <x:c r="G110" s="168" t="str">
        <x:v>Mobile-RPG-Gegnerkonzept, vollständige Figur, gut lesbare Kampfsilhouette, Rom-Fantasy, Großer heiliger Schlangengeist aus grünem Stein und blauem Licht, um einen verwitterten Asklepiosstab gewunden, Travertin-Schiffsbug-Fragmente, ruhig und bedrohlich. Dramatisches aber nicht fotorealistisches Licht, neutraler transparenzgeeigneter Hintergrund, keine Schrift, kein Logo, keine Gore.</x:v>
      </x:c>
      <x:c r="H110" s="168" t="str">
        <x:v>Kampfbereitschaft: Schlängelt sich zwischen Heilzeichen und verwandelt übermäßige Heilung in einen Schild. Keine Lebensphasen; zustandsbasiertes Telegraph/Counterplay.</x:v>
      </x:c>
      <x:c r="I110" s="168" t="str">
        <x:v>Add a restrained looping combat-ready motion; 2–4 s; seamless loop; preserve silhouette and equipment.</x:v>
      </x:c>
      <x:c r="J110" s="168" t="str">
        <x:v>2–4</x:v>
      </x:c>
      <x:c r="K110" s="168" t="str">
        <x:v>1280×720 (720p)</x:v>
      </x:c>
      <x:c r="L110" s="168" t="str">
        <x:v>EDITORIAL_REVIEW</x:v>
      </x:c>
      <x:c r="M110" s="168" t="str">
        <x:v>Kampfprofile!T34</x:v>
      </x:c>
    </x:row>
    <x:row r="111" ht="52.79999923706055" hidden="0" customHeight="1">
      <x:c r="A111" s="168" t="str">
        <x:v>COMBAT:CP-UE-D1-08</x:v>
      </x:c>
      <x:c r="B111" s="168" t="str">
        <x:v>COMBAT_PROFILE_ART</x:v>
      </x:c>
      <x:c r="C111" s="168" t="str">
        <x:v>Kampfprofile!T</x:v>
      </x:c>
      <x:c r="D111" s="168" t="str">
        <x:v>UE-D1-08</x:v>
      </x:c>
      <x:c r="E111" s="168" t="str">
        <x:v>Occhio del Tevere</x:v>
      </x:c>
      <x:c r="F111" s="168" t="str">
        <x:v>R</x:v>
      </x:c>
      <x:c r="G111" s="168" t="str">
        <x:v>Mobile-RPG-Gegnerkonzept, vollständige Figur, gut lesbare Kampfsilhouette, Rom-Fantasy, Schwebendes kreisförmiges Auge aus Tiberwasser, steinerner Ring wie die Mittelöffnung der Brücke, Strömungsiris, kleine Brückenbogen-Fragmente, surreal aber klar lesbar. Dramatisches aber nicht fotorealistisches Licht, neutraler transparenzgeeigneter Hintergrund, keine Schrift, kein Logo, keine Gore.</x:v>
      </x:c>
      <x:c r="H111" s="168" t="str">
        <x:v>Kampfbereitschaft: Öffnet und schließt ein kreisförmiges Wasserauge; Angriff trifft nur die zuletzt markierte Reihe. Keine Lebensphasen; zustandsbasiertes Telegraph/Counterplay.</x:v>
      </x:c>
      <x:c r="I111" s="168" t="str">
        <x:v>Add a restrained looping combat-ready motion; 2–4 s; seamless loop; preserve silhouette and equipment.</x:v>
      </x:c>
      <x:c r="J111" s="168" t="str">
        <x:v>2–4</x:v>
      </x:c>
      <x:c r="K111" s="168" t="str">
        <x:v>1280×720 (720p)</x:v>
      </x:c>
      <x:c r="L111" s="168" t="str">
        <x:v>EDITORIAL_REVIEW</x:v>
      </x:c>
      <x:c r="M111" s="168" t="str">
        <x:v>Kampfprofile!T35</x:v>
      </x:c>
    </x:row>
    <x:row r="112" ht="52.79999923706055" hidden="0" customHeight="1">
      <x:c r="A112" s="168" t="str">
        <x:v>COMBAT:CP-UE-D2-01</x:v>
      </x:c>
      <x:c r="B112" s="168" t="str">
        <x:v>COMBAT_PROFILE_ART</x:v>
      </x:c>
      <x:c r="C112" s="168" t="str">
        <x:v>Kampfprofile!T</x:v>
      </x:c>
      <x:c r="D112" s="168" t="str">
        <x:v>UE-D2-01</x:v>
      </x:c>
      <x:c r="E112" s="168" t="str">
        <x:v>Quadriga dell’Unità</x:v>
      </x:c>
      <x:c r="F112" s="168" t="str">
        <x:v>E</x:v>
      </x:c>
      <x:c r="G112" s="168" t="str">
        <x:v>Mobile-RPG-Gegnerkonzept, vollständige Figur, gut lesbare Kampfsilhouette, Rom-Fantasy, Übergroße bronzene Quadriga mit vier geisterhaften Pferden, geflügelte Wagenlenkerin als abstrakte Siegesfigur, grüne Patina, weißer Monumentstein und goldener Sturm. Dramatisches aber nicht fotorealistisches Licht, neutraler transparenzgeeigneter Hintergrund, keine Schrift, kein Logo, keine Gore.</x:v>
      </x:c>
      <x:c r="H112" s="168" t="str">
        <x:v>Kampfbereitschaft: Erscheint als Wagengeist mit zwei Pferdepaaren; wechselt zwischen Parade, Sturm und Siegeskreis. Keine Lebensphasen; zustandsbasiertes Telegraph/Counterplay.</x:v>
      </x:c>
      <x:c r="I112" s="168" t="str">
        <x:v>Add a restrained looping combat-ready motion; 2–4 s; seamless loop; preserve silhouette and equipment.</x:v>
      </x:c>
      <x:c r="J112" s="168" t="str">
        <x:v>2–4</x:v>
      </x:c>
      <x:c r="K112" s="168" t="str">
        <x:v>1280×720 (720p)</x:v>
      </x:c>
      <x:c r="L112" s="168" t="str">
        <x:v>EDITORIAL_REVIEW</x:v>
      </x:c>
      <x:c r="M112" s="168" t="str">
        <x:v>Kampfprofile!T36</x:v>
      </x:c>
    </x:row>
    <x:row r="113" ht="52.79999923706055" hidden="0" customHeight="1">
      <x:c r="A113" s="168" t="str">
        <x:v>COMBAT:CP-UE-D2-02</x:v>
      </x:c>
      <x:c r="B113" s="168" t="str">
        <x:v>COMBAT_PROFILE_ART</x:v>
      </x:c>
      <x:c r="C113" s="168" t="str">
        <x:v>Kampfprofile!T</x:v>
      </x:c>
      <x:c r="D113" s="168" t="str">
        <x:v>UE-D2-02</x:v>
      </x:c>
      <x:c r="E113" s="168" t="str">
        <x:v>Coppia dei Tritoni</x:v>
      </x:c>
      <x:c r="F113" s="168" t="str">
        <x:v>SSR</x:v>
      </x:c>
      <x:c r="G113" s="168" t="str">
        <x:v>Mobile-RPG-Gegnerkonzept, vollständige Figur, gut lesbare Kampfsilhouette, Rom-Fantasy, Zwei muskulöse steinerne Tritonen tragen gemeinsam eine große Muschelschale, Meeresschwänze, Wasserbänder, grüne Patina, dynamische spiegelbildliche Posen. Dramatisches aber nicht fotorealistisches Licht, neutraler transparenzgeeigneter Hintergrund, keine Schrift, kein Logo, keine Gore.</x:v>
      </x:c>
      <x:c r="H113" s="168" t="str">
        <x:v>Kampfbereitschaft: Zwei Tritonen handeln abwechselnd: einer schützt die Muschel, der andere bläst einen Wasserstoß. Keine Lebensphasen; zustandsbasiertes Telegraph/Counterplay.</x:v>
      </x:c>
      <x:c r="I113" s="168" t="str">
        <x:v>Add a restrained looping combat-ready motion; 2–4 s; seamless loop; preserve silhouette and equipment.</x:v>
      </x:c>
      <x:c r="J113" s="168" t="str">
        <x:v>2–4</x:v>
      </x:c>
      <x:c r="K113" s="168" t="str">
        <x:v>1280×720 (720p)</x:v>
      </x:c>
      <x:c r="L113" s="168" t="str">
        <x:v>EDITORIAL_REVIEW</x:v>
      </x:c>
      <x:c r="M113" s="168" t="str">
        <x:v>Kampfprofile!T37</x:v>
      </x:c>
    </x:row>
    <x:row r="114" ht="52.79999923706055" hidden="0" customHeight="1">
      <x:c r="A114" s="168" t="str">
        <x:v>COMBAT:CP-UE-D2-03</x:v>
      </x:c>
      <x:c r="B114" s="168" t="str">
        <x:v>COMBAT_PROFILE_ART</x:v>
      </x:c>
      <x:c r="C114" s="168" t="str">
        <x:v>Kampfprofile!T</x:v>
      </x:c>
      <x:c r="D114" s="168" t="str">
        <x:v>UE-D2-03</x:v>
      </x:c>
      <x:c r="E114" s="168" t="str">
        <x:v>Nocchiero della Navicella</x:v>
      </x:c>
      <x:c r="F114" s="168" t="str">
        <x:v>SR</x:v>
      </x:c>
      <x:c r="G114" s="168" t="str">
        <x:v>Mobile-RPG-Gegnerkonzept, vollständige Figur, gut lesbare Kampfsilhouette, Rom-Fantasy, Steinernes römisches Schiff als lebender Gegner, geisterhafter Steuermann am Heck, moosige Bordwand, blaues Licht in den Fugen, kleine Wellenwesen, Ganzkörper. Dramatisches aber nicht fotorealistisches Licht, neutraler transparenzgeeigneter Hintergrund, keine Schrift, kein Logo, keine Gore.</x:v>
      </x:c>
      <x:c r="H114" s="168" t="str">
        <x:v>Kampfbereitschaft: Der geisterhafte Steuermann lenkt die steinerne Navicella und ruft kleine Wellenkonstrukte. Keine Lebensphasen; zustandsbasiertes Telegraph/Counterplay.</x:v>
      </x:c>
      <x:c r="I114" s="168" t="str">
        <x:v>Add a restrained looping combat-ready motion; 2–4 s; seamless loop; preserve silhouette and equipment.</x:v>
      </x:c>
      <x:c r="J114" s="168" t="str">
        <x:v>2–4</x:v>
      </x:c>
      <x:c r="K114" s="168" t="str">
        <x:v>1280×720 (720p)</x:v>
      </x:c>
      <x:c r="L114" s="168" t="str">
        <x:v>EDITORIAL_REVIEW</x:v>
      </x:c>
      <x:c r="M114" s="168" t="str">
        <x:v>Kampfprofile!T38</x:v>
      </x:c>
    </x:row>
    <x:row r="115" ht="52.79999923706055" hidden="0" customHeight="1">
      <x:c r="A115" s="168" t="str">
        <x:v>COMBAT:CP-UE-D2-04</x:v>
      </x:c>
      <x:c r="B115" s="168" t="str">
        <x:v>COMBAT_PROFILE_ART</x:v>
      </x:c>
      <x:c r="C115" s="168" t="str">
        <x:v>Kampfprofile!T</x:v>
      </x:c>
      <x:c r="D115" s="168" t="str">
        <x:v>UE-D2-04</x:v>
      </x:c>
      <x:c r="E115" s="168" t="str">
        <x:v>Cesare di Bronzo</x:v>
      </x:c>
      <x:c r="F115" s="168" t="str">
        <x:v>SSR</x:v>
      </x:c>
      <x:c r="G115" s="168" t="str">
        <x:v>Mobile-RPG-Gegnerkonzept, vollständige Figur, gut lesbare Kampfsilhouette, Rom-Fantasy, Lebendig gewordene bronzene Caesar-Statue, Lorbeerkranz, römischer Brustpanzer und Mantel, grüne Patina, entschlossener aber nicht fotorealistischer Ausdruck, kapitolinisches Steinlicht. Dramatisches aber nicht fotorealistisches Licht, neutraler transparenzgeeigneter Hintergrund, keine Schrift, kein Logo, keine Gore.</x:v>
      </x:c>
      <x:c r="H115" s="168" t="str">
        <x:v>Kampfbereitschaft: Wechselt zwischen Befehl, Verteidigung und persönlichem Duell; jede Haltung wird durch Handzeichen angekündigt. Keine Lebensphasen; zustandsbasiertes Telegraph/Counterplay.</x:v>
      </x:c>
      <x:c r="I115" s="168" t="str">
        <x:v>Add a restrained looping combat-ready motion; 2–4 s; seamless loop; preserve silhouette and equipment.</x:v>
      </x:c>
      <x:c r="J115" s="168" t="str">
        <x:v>2–4</x:v>
      </x:c>
      <x:c r="K115" s="168" t="str">
        <x:v>1280×720 (720p)</x:v>
      </x:c>
      <x:c r="L115" s="168" t="str">
        <x:v>EDITORIAL_REVIEW</x:v>
      </x:c>
      <x:c r="M115" s="168" t="str">
        <x:v>Kampfprofile!T39</x:v>
      </x:c>
    </x:row>
    <x:row r="116" ht="52.79999923706055" hidden="0" customHeight="1">
      <x:c r="A116" s="168" t="str">
        <x:v>UNIQUE-ENEMY:UE-D1-01</x:v>
      </x:c>
      <x:c r="B116" s="168" t="str">
        <x:v>UNIQUE_ENEMY_ART</x:v>
      </x:c>
      <x:c r="C116" s="168" t="str">
        <x:v>Unique Gegner!AE</x:v>
      </x:c>
      <x:c r="D116" s="168" t="str">
        <x:v>UE-D1-01</x:v>
      </x:c>
      <x:c r="E116" s="168" t="str">
        <x:v>Angelo della Passione</x:v>
      </x:c>
      <x:c r="F116" s="168" t="str">
        <x:v>SR</x:v>
      </x:c>
      <x:c r="G116" s="168" t="str">
        <x:v>Mobile-RPG-Gegnerkonzept, vollständige Figur, gut lesbare Kampfsilhouette, Rom-Fantasy, Lebendig gewordener Brückenengel aus hellem Marmor, große gefiederte Flügel, verwittertes Passionsinstrument, goldene Risse, entschlossener trauriger Blick, Tibernebel, Ganzkörper. Dramatisches aber nicht fotorealistisches Licht, neutraler transparenzgeeigneter Hintergrund, keine Schrift, kein Logo, keine Gore.</x:v>
      </x:c>
      <x:c r="H116" s="168" t="str">
        <x:v>Encounter-Haltung: Hebt ein Passionsinstrument sichtbar an und kontert in der Folgerunde die zuerst wiederholte Aktionsart.</x:v>
      </x:c>
      <x:c r="I116" s="168" t="str">
        <x:v>Add a simple looping idle motion; 2–4 s; seamless loop; preserve the location anchor and combat silhouette.</x:v>
      </x:c>
      <x:c r="J116" s="168" t="str">
        <x:v>2–4</x:v>
      </x:c>
      <x:c r="K116" s="168" t="str">
        <x:v>1280×720 (720p)</x:v>
      </x:c>
      <x:c r="L116" s="168" t="str">
        <x:v>EDITORIAL_REVIEW</x:v>
      </x:c>
      <x:c r="M116" s="168" t="str">
        <x:v>Unique Gegner!AE5</x:v>
      </x:c>
    </x:row>
    <x:row r="117" ht="52.79999923706055" hidden="0" customHeight="1">
      <x:c r="A117" s="168" t="str">
        <x:v>UNIQUE-ENEMY:UE-D1-02</x:v>
      </x:c>
      <x:c r="B117" s="168" t="str">
        <x:v>UNIQUE_ENEMY_ART</x:v>
      </x:c>
      <x:c r="C117" s="168" t="str">
        <x:v>Unique Gegner!AE</x:v>
      </x:c>
      <x:c r="D117" s="168" t="str">
        <x:v>UE-D1-02</x:v>
      </x:c>
      <x:c r="E117" s="168" t="str">
        <x:v>Leone del Flaminio</x:v>
      </x:c>
      <x:c r="F117" s="168" t="str">
        <x:v>R</x:v>
      </x:c>
      <x:c r="G117" s="168" t="str">
        <x:v>Mobile-RPG-Gegnerkonzept, vollständige Figur, gut lesbare Kampfsilhouette, Rom-Fantasy, Monumentaler ägyptisierender Löwe aus warmem Stein, Brunnenwasser tropft aus der Mähne, bronzene Augen, Hieroglyphensockel-Fragmente, kraftvolle niedrige Haltung. Dramatisches aber nicht fotorealistisches Licht, neutraler transparenzgeeigneter Hintergrund, keine Schrift, kein Logo, keine Gore.</x:v>
      </x:c>
      <x:c r="H117" s="168" t="str">
        <x:v>Encounter-Haltung: Umkreist das Team und kündigt einen geraden Sprungangriff durch gesenkte Steinpranken an.</x:v>
      </x:c>
      <x:c r="I117" s="168" t="str">
        <x:v>Add a simple looping idle motion; 2–4 s; seamless loop; preserve the location anchor and combat silhouette.</x:v>
      </x:c>
      <x:c r="J117" s="168" t="str">
        <x:v>2–4</x:v>
      </x:c>
      <x:c r="K117" s="168" t="str">
        <x:v>1280×720 (720p)</x:v>
      </x:c>
      <x:c r="L117" s="168" t="str">
        <x:v>EDITORIAL_REVIEW</x:v>
      </x:c>
      <x:c r="M117" s="168" t="str">
        <x:v>Unique Gegner!AE6</x:v>
      </x:c>
    </x:row>
    <x:row r="118" ht="52.79999923706055" hidden="0" customHeight="1">
      <x:c r="A118" s="168" t="str">
        <x:v>UNIQUE-ENEMY:UE-D1-03</x:v>
      </x:c>
      <x:c r="B118" s="168" t="str">
        <x:v>UNIQUE_ENEMY_ART</x:v>
      </x:c>
      <x:c r="C118" s="168" t="str">
        <x:v>Unique Gegner!AE</x:v>
      </x:c>
      <x:c r="D118" s="168" t="str">
        <x:v>UE-D1-03</x:v>
      </x:c>
      <x:c r="E118" s="168" t="str">
        <x:v>Dea Roma del Pincio</x:v>
      </x:c>
      <x:c r="F118" s="168" t="str">
        <x:v>SSR</x:v>
      </x:c>
      <x:c r="G118" s="168" t="str">
        <x:v>Mobile-RPG-Gegnerkonzept, vollständige Figur, gut lesbare Kampfsilhouette, Rom-Fantasy, Monumentale sitzende Göttin Roma aus weißem Marmor, roter Mantel als magisches Licht, Helm, Speer gesenkt, Wölfin und zwei geisterhafte Zwillinge am Sockel, würdevoll. Dramatisches aber nicht fotorealistisches Licht, neutraler transparenzgeeigneter Hintergrund, keine Schrift, kein Logo, keine Gore.</x:v>
      </x:c>
      <x:c r="H118" s="168" t="str">
        <x:v>Encounter-Haltung: Wechselt zwischen Roma-Aura, Wölfinruf und Zwillingsmarken; jede Haltung ist sichtbar telegraphiert.</x:v>
      </x:c>
      <x:c r="I118" s="168" t="str">
        <x:v>Add a simple looping idle motion; 2–4 s; seamless loop; preserve the location anchor and combat silhouette.</x:v>
      </x:c>
      <x:c r="J118" s="168" t="str">
        <x:v>2–4</x:v>
      </x:c>
      <x:c r="K118" s="168" t="str">
        <x:v>1280×720 (720p)</x:v>
      </x:c>
      <x:c r="L118" s="168" t="str">
        <x:v>EDITORIAL_REVIEW</x:v>
      </x:c>
      <x:c r="M118" s="168" t="str">
        <x:v>Unique Gegner!AE7</x:v>
      </x:c>
    </x:row>
    <x:row r="119" ht="52.79999923706055" hidden="0" customHeight="1">
      <x:c r="A119" s="168" t="str">
        <x:v>UNIQUE-ENEMY:UE-D1-04</x:v>
      </x:c>
      <x:c r="B119" s="168" t="str">
        <x:v>UNIQUE_ENEMY_ART</x:v>
      </x:c>
      <x:c r="C119" s="168" t="str">
        <x:v>Unique Gegner!AE</x:v>
      </x:c>
      <x:c r="D119" s="168" t="str">
        <x:v>UE-D1-04</x:v>
      </x:c>
      <x:c r="E119" s="168" t="str">
        <x:v>Legionario della Colonna</x:v>
      </x:c>
      <x:c r="F119" s="168" t="str">
        <x:v>SR</x:v>
      </x:c>
      <x:c r="G119" s="168" t="str">
        <x:v>Mobile-RPG-Gegnerkonzept, vollständige Figur, gut lesbare Kampfsilhouette, Rom-Fantasy, Römischer Legionär aus grauem Reliefstein, Körper teilweise flach wie aus einer Säule geschnitten, Rechteckschild, Speer, spiralförmige Reliefbänder schweben hinter ihm. Dramatisches aber nicht fotorealistisches Licht, neutraler transparenzgeeigneter Hintergrund, keine Schrift, kein Logo, keine Gore.</x:v>
      </x:c>
      <x:c r="H119" s="168" t="str">
        <x:v>Encounter-Haltung: Baut eine Schildlinie auf und wechselt nach jeder dritten Teamaktion zur Speerformation.</x:v>
      </x:c>
      <x:c r="I119" s="168" t="str">
        <x:v>Add a simple looping idle motion; 2–4 s; seamless loop; preserve the location anchor and combat silhouette.</x:v>
      </x:c>
      <x:c r="J119" s="168" t="str">
        <x:v>2–4</x:v>
      </x:c>
      <x:c r="K119" s="168" t="str">
        <x:v>1280×720 (720p)</x:v>
      </x:c>
      <x:c r="L119" s="168" t="str">
        <x:v>EDITORIAL_REVIEW</x:v>
      </x:c>
      <x:c r="M119" s="168" t="str">
        <x:v>Unique Gegner!AE8</x:v>
      </x:c>
    </x:row>
    <x:row r="120" ht="52.79999923706055" hidden="0" customHeight="1">
      <x:c r="A120" s="168" t="str">
        <x:v>UNIQUE-ENEMY:UE-D1-05</x:v>
      </x:c>
      <x:c r="B120" s="168" t="str">
        <x:v>UNIQUE_ENEMY_ART</x:v>
      </x:c>
      <x:c r="C120" s="168" t="str">
        <x:v>Unique Gegner!AE</x:v>
      </x:c>
      <x:c r="D120" s="168" t="str">
        <x:v>UE-D1-05</x:v>
      </x:c>
      <x:c r="E120" s="168" t="str">
        <x:v>Ombra dell’Horologium</x:v>
      </x:c>
      <x:c r="F120" s="168" t="str">
        <x:v>SSR</x:v>
      </x:c>
      <x:c r="G120" s="168" t="str">
        <x:v>Mobile-RPG-Gegnerkonzept, vollständige Figur, gut lesbare Kampfsilhouette, Rom-Fantasy, Humanoider Geist aus schwarzem Schatten und goldenen Sonnenlinien, Obelisken-Silhouette als Rücken, schwebende römische Stundenmarken, keine reale Schattenposition nötig. Dramatisches aber nicht fotorealistisches Licht, neutraler transparenzgeeigneter Hintergrund, keine Schrift, kein Logo, keine Gore.</x:v>
      </x:c>
      <x:c r="H120" s="168" t="str">
        <x:v>Encounter-Haltung: Legt eine sichtbare Drei-Schritt-Zeitleiste an; verzögerte Aktionen werden verstärkt, hektische Wiederholungen bestraft.</x:v>
      </x:c>
      <x:c r="I120" s="168" t="str">
        <x:v>Add a simple looping idle motion; 2–4 s; seamless loop; preserve the location anchor and combat silhouette.</x:v>
      </x:c>
      <x:c r="J120" s="168" t="str">
        <x:v>2–4</x:v>
      </x:c>
      <x:c r="K120" s="168" t="str">
        <x:v>1280×720 (720p)</x:v>
      </x:c>
      <x:c r="L120" s="168" t="str">
        <x:v>EDITORIAL_REVIEW</x:v>
      </x:c>
      <x:c r="M120" s="168" t="str">
        <x:v>Unique Gegner!AE9</x:v>
      </x:c>
    </x:row>
    <x:row r="121" ht="52.79999923706055" hidden="0" customHeight="1">
      <x:c r="A121" s="168" t="str">
        <x:v>UNIQUE-ENEMY:UE-D1-06</x:v>
      </x:c>
      <x:c r="B121" s="168" t="str">
        <x:v>UNIQUE_ENEMY_ART</x:v>
      </x:c>
      <x:c r="C121" s="168" t="str">
        <x:v>Unique Gegner!AE</x:v>
      </x:c>
      <x:c r="D121" s="168" t="str">
        <x:v>UE-D1-06</x:v>
      </x:c>
      <x:c r="E121" s="168" t="str">
        <x:v>Custode della Cupola</x:v>
      </x:c>
      <x:c r="F121" s="168" t="str">
        <x:v>R</x:v>
      </x:c>
      <x:c r="G121" s="168" t="str">
        <x:v>Mobile-RPG-Gegnerkonzept, vollständige Figur, gut lesbare Kampfsilhouette, Rom-Fantasy, Einzelner barocker Fassadenengel aus hellem Stein, asymmetrische leicht beschädigte Flügel, Schriftrolle, Kuppelsilhouette im Hintergrund, wachsam statt religiös verehrt. Dramatisches aber nicht fotorealistisches Licht, neutraler transparenzgeeigneter Hintergrund, keine Schrift, kein Logo, keine Gore.</x:v>
      </x:c>
      <x:c r="H121" s="168" t="str">
        <x:v>Encounter-Haltung: Schützt sich mit Steinflügeln und stößt nach einem Fassadenruf auf ein Ziel herab.</x:v>
      </x:c>
      <x:c r="I121" s="168" t="str">
        <x:v>Add a simple looping idle motion; 2–4 s; seamless loop; preserve the location anchor and combat silhouette.</x:v>
      </x:c>
      <x:c r="J121" s="168" t="str">
        <x:v>2–4</x:v>
      </x:c>
      <x:c r="K121" s="168" t="str">
        <x:v>1280×720 (720p)</x:v>
      </x:c>
      <x:c r="L121" s="168" t="str">
        <x:v>EDITORIAL_REVIEW</x:v>
      </x:c>
      <x:c r="M121" s="168" t="str">
        <x:v>Unique Gegner!AE10</x:v>
      </x:c>
    </x:row>
    <x:row r="122" ht="52.79999923706055" hidden="0" customHeight="1">
      <x:c r="A122" s="168" t="str">
        <x:v>UNIQUE-ENEMY:UE-D1-07</x:v>
      </x:c>
      <x:c r="B122" s="168" t="str">
        <x:v>UNIQUE_ENEMY_ART</x:v>
      </x:c>
      <x:c r="C122" s="168" t="str">
        <x:v>Unique Gegner!AE</x:v>
      </x:c>
      <x:c r="D122" s="168" t="str">
        <x:v>UE-D1-07</x:v>
      </x:c>
      <x:c r="E122" s="168" t="str">
        <x:v>Serpente di Esculapio</x:v>
      </x:c>
      <x:c r="F122" s="168" t="str">
        <x:v>SSR</x:v>
      </x:c>
      <x:c r="G122" s="168" t="str">
        <x:v>Mobile-RPG-Gegnerkonzept, vollständige Figur, gut lesbare Kampfsilhouette, Rom-Fantasy, Großer heiliger Schlangengeist aus grünem Stein und blauem Licht, um einen verwitterten Asklepiosstab gewunden, Travertin-Schiffsbug-Fragmente, ruhig und bedrohlich. Dramatisches aber nicht fotorealistisches Licht, neutraler transparenzgeeigneter Hintergrund, keine Schrift, kein Logo, keine Gore.</x:v>
      </x:c>
      <x:c r="H122" s="168" t="str">
        <x:v>Encounter-Haltung: Schlängelt sich zwischen Heilzeichen und verwandelt übermäßige Heilung in einen Schild.</x:v>
      </x:c>
      <x:c r="I122" s="168" t="str">
        <x:v>Add a simple looping idle motion; 2–4 s; seamless loop; preserve the location anchor and combat silhouette.</x:v>
      </x:c>
      <x:c r="J122" s="168" t="str">
        <x:v>2–4</x:v>
      </x:c>
      <x:c r="K122" s="168" t="str">
        <x:v>1280×720 (720p)</x:v>
      </x:c>
      <x:c r="L122" s="168" t="str">
        <x:v>EDITORIAL_REVIEW</x:v>
      </x:c>
      <x:c r="M122" s="168" t="str">
        <x:v>Unique Gegner!AE11</x:v>
      </x:c>
    </x:row>
    <x:row r="123" ht="52.79999923706055" hidden="0" customHeight="1">
      <x:c r="A123" s="168" t="str">
        <x:v>UNIQUE-ENEMY:UE-D1-08</x:v>
      </x:c>
      <x:c r="B123" s="168" t="str">
        <x:v>UNIQUE_ENEMY_ART</x:v>
      </x:c>
      <x:c r="C123" s="168" t="str">
        <x:v>Unique Gegner!AE</x:v>
      </x:c>
      <x:c r="D123" s="168" t="str">
        <x:v>UE-D1-08</x:v>
      </x:c>
      <x:c r="E123" s="168" t="str">
        <x:v>Occhio del Tevere</x:v>
      </x:c>
      <x:c r="F123" s="168" t="str">
        <x:v>R</x:v>
      </x:c>
      <x:c r="G123" s="168" t="str">
        <x:v>Mobile-RPG-Gegnerkonzept, vollständige Figur, gut lesbare Kampfsilhouette, Rom-Fantasy, Schwebendes kreisförmiges Auge aus Tiberwasser, steinerner Ring wie die Mittelöffnung der Brücke, Strömungsiris, kleine Brückenbogen-Fragmente, surreal aber klar lesbar. Dramatisches aber nicht fotorealistisches Licht, neutraler transparenzgeeigneter Hintergrund, keine Schrift, kein Logo, keine Gore.</x:v>
      </x:c>
      <x:c r="H123" s="168" t="str">
        <x:v>Encounter-Haltung: Öffnet und schließt ein kreisförmiges Wasserauge; Angriff trifft nur die zuletzt markierte Reihe.</x:v>
      </x:c>
      <x:c r="I123" s="168" t="str">
        <x:v>Add a simple looping idle motion; 2–4 s; seamless loop; preserve the location anchor and combat silhouette.</x:v>
      </x:c>
      <x:c r="J123" s="168" t="str">
        <x:v>2–4</x:v>
      </x:c>
      <x:c r="K123" s="168" t="str">
        <x:v>1280×720 (720p)</x:v>
      </x:c>
      <x:c r="L123" s="168" t="str">
        <x:v>EDITORIAL_REVIEW</x:v>
      </x:c>
      <x:c r="M123" s="168" t="str">
        <x:v>Unique Gegner!AE12</x:v>
      </x:c>
    </x:row>
    <x:row r="124" ht="52.79999923706055" hidden="0" customHeight="1">
      <x:c r="A124" s="168" t="str">
        <x:v>UNIQUE-ENEMY:UE-D2-01</x:v>
      </x:c>
      <x:c r="B124" s="168" t="str">
        <x:v>UNIQUE_ENEMY_ART</x:v>
      </x:c>
      <x:c r="C124" s="168" t="str">
        <x:v>Unique Gegner!AE</x:v>
      </x:c>
      <x:c r="D124" s="168" t="str">
        <x:v>UE-D2-01</x:v>
      </x:c>
      <x:c r="E124" s="168" t="str">
        <x:v>Quadriga dell’Unità</x:v>
      </x:c>
      <x:c r="F124" s="168" t="str">
        <x:v>E</x:v>
      </x:c>
      <x:c r="G124" s="168" t="str">
        <x:v>Mobile-RPG-Gegnerkonzept, vollständige Figur, gut lesbare Kampfsilhouette, Rom-Fantasy, Übergroße bronzene Quadriga mit vier geisterhaften Pferden, geflügelte Wagenlenkerin als abstrakte Siegesfigur, grüne Patina, weißer Monumentstein und goldener Sturm. Dramatisches aber nicht fotorealistisches Licht, neutraler transparenzgeeigneter Hintergrund, keine Schrift, kein Logo, keine Gore.</x:v>
      </x:c>
      <x:c r="H124" s="168" t="str">
        <x:v>Encounter-Haltung: Erscheint als Wagengeist mit zwei Pferdepaaren; wechselt zwischen Parade, Sturm und Siegeskreis.</x:v>
      </x:c>
      <x:c r="I124" s="168" t="str">
        <x:v>Add a simple looping idle motion; 2–4 s; seamless loop; preserve the location anchor and combat silhouette.</x:v>
      </x:c>
      <x:c r="J124" s="168" t="str">
        <x:v>2–4</x:v>
      </x:c>
      <x:c r="K124" s="168" t="str">
        <x:v>1280×720 (720p)</x:v>
      </x:c>
      <x:c r="L124" s="168" t="str">
        <x:v>EDITORIAL_REVIEW</x:v>
      </x:c>
      <x:c r="M124" s="168" t="str">
        <x:v>Unique Gegner!AE13</x:v>
      </x:c>
    </x:row>
    <x:row r="125" ht="52.79999923706055" hidden="0" customHeight="1">
      <x:c r="A125" s="168" t="str">
        <x:v>UNIQUE-ENEMY:UE-D2-02</x:v>
      </x:c>
      <x:c r="B125" s="168" t="str">
        <x:v>UNIQUE_ENEMY_ART</x:v>
      </x:c>
      <x:c r="C125" s="168" t="str">
        <x:v>Unique Gegner!AE</x:v>
      </x:c>
      <x:c r="D125" s="168" t="str">
        <x:v>UE-D2-02</x:v>
      </x:c>
      <x:c r="E125" s="168" t="str">
        <x:v>Coppia dei Tritoni</x:v>
      </x:c>
      <x:c r="F125" s="168" t="str">
        <x:v>SSR</x:v>
      </x:c>
      <x:c r="G125" s="168" t="str">
        <x:v>Mobile-RPG-Gegnerkonzept, vollständige Figur, gut lesbare Kampfsilhouette, Rom-Fantasy, Zwei muskulöse steinerne Tritonen tragen gemeinsam eine große Muschelschale, Meeresschwänze, Wasserbänder, grüne Patina, dynamische spiegelbildliche Posen. Dramatisches aber nicht fotorealistisches Licht, neutraler transparenzgeeigneter Hintergrund, keine Schrift, kein Logo, keine Gore.</x:v>
      </x:c>
      <x:c r="H125" s="168" t="str">
        <x:v>Encounter-Haltung: Zwei Tritonen handeln abwechselnd: einer schützt die Muschel, der andere bläst einen Wasserstoß.</x:v>
      </x:c>
      <x:c r="I125" s="168" t="str">
        <x:v>Add a simple looping idle motion; 2–4 s; seamless loop; preserve the location anchor and combat silhouette.</x:v>
      </x:c>
      <x:c r="J125" s="168" t="str">
        <x:v>2–4</x:v>
      </x:c>
      <x:c r="K125" s="168" t="str">
        <x:v>1280×720 (720p)</x:v>
      </x:c>
      <x:c r="L125" s="168" t="str">
        <x:v>EDITORIAL_REVIEW</x:v>
      </x:c>
      <x:c r="M125" s="168" t="str">
        <x:v>Unique Gegner!AE14</x:v>
      </x:c>
    </x:row>
    <x:row r="126" ht="52.79999923706055" hidden="0" customHeight="1">
      <x:c r="A126" s="168" t="str">
        <x:v>UNIQUE-ENEMY:UE-D2-03</x:v>
      </x:c>
      <x:c r="B126" s="168" t="str">
        <x:v>UNIQUE_ENEMY_ART</x:v>
      </x:c>
      <x:c r="C126" s="168" t="str">
        <x:v>Unique Gegner!AE</x:v>
      </x:c>
      <x:c r="D126" s="168" t="str">
        <x:v>UE-D2-03</x:v>
      </x:c>
      <x:c r="E126" s="168" t="str">
        <x:v>Nocchiero della Navicella</x:v>
      </x:c>
      <x:c r="F126" s="168" t="str">
        <x:v>SR</x:v>
      </x:c>
      <x:c r="G126" s="168" t="str">
        <x:v>Mobile-RPG-Gegnerkonzept, vollständige Figur, gut lesbare Kampfsilhouette, Rom-Fantasy, Steinernes römisches Schiff als lebender Gegner, geisterhafter Steuermann am Heck, moosige Bordwand, blaues Licht in den Fugen, kleine Wellenwesen, Ganzkörper. Dramatisches aber nicht fotorealistisches Licht, neutraler transparenzgeeigneter Hintergrund, keine Schrift, kein Logo, keine Gore.</x:v>
      </x:c>
      <x:c r="H126" s="168" t="str">
        <x:v>Encounter-Haltung: Der geisterhafte Steuermann lenkt die steinerne Navicella und ruft kleine Wellenkonstrukte.</x:v>
      </x:c>
      <x:c r="I126" s="168" t="str">
        <x:v>Add a simple looping idle motion; 2–4 s; seamless loop; preserve the location anchor and combat silhouette.</x:v>
      </x:c>
      <x:c r="J126" s="168" t="str">
        <x:v>2–4</x:v>
      </x:c>
      <x:c r="K126" s="168" t="str">
        <x:v>1280×720 (720p)</x:v>
      </x:c>
      <x:c r="L126" s="168" t="str">
        <x:v>EDITORIAL_REVIEW</x:v>
      </x:c>
      <x:c r="M126" s="168" t="str">
        <x:v>Unique Gegner!AE15</x:v>
      </x:c>
    </x:row>
    <x:row r="127" ht="52.79999923706055" hidden="0" customHeight="1">
      <x:c r="A127" s="168" t="str">
        <x:v>UNIQUE-ENEMY:UE-D2-04</x:v>
      </x:c>
      <x:c r="B127" s="168" t="str">
        <x:v>UNIQUE_ENEMY_ART</x:v>
      </x:c>
      <x:c r="C127" s="168" t="str">
        <x:v>Unique Gegner!AE</x:v>
      </x:c>
      <x:c r="D127" s="168" t="str">
        <x:v>UE-D2-04</x:v>
      </x:c>
      <x:c r="E127" s="168" t="str">
        <x:v>Cesare di Bronzo</x:v>
      </x:c>
      <x:c r="F127" s="168" t="str">
        <x:v>SSR</x:v>
      </x:c>
      <x:c r="G127" s="168" t="str">
        <x:v>Mobile-RPG-Gegnerkonzept, vollständige Figur, gut lesbare Kampfsilhouette, Rom-Fantasy, Lebendig gewordene bronzene Caesar-Statue, Lorbeerkranz, römischer Brustpanzer und Mantel, grüne Patina, entschlossener aber nicht fotorealistischer Ausdruck, kapitolinisches Steinlicht. Dramatisches aber nicht fotorealistisches Licht, neutraler transparenzgeeigneter Hintergrund, keine Schrift, kein Logo, keine Gore.</x:v>
      </x:c>
      <x:c r="H127" s="168" t="str">
        <x:v>Encounter-Haltung: Wechselt zwischen Befehl, Verteidigung und persönlichem Duell; jede Haltung wird durch Handzeichen angekündigt.</x:v>
      </x:c>
      <x:c r="I127" s="168" t="str">
        <x:v>Add a simple looping idle motion; 2–4 s; seamless loop; preserve the location anchor and combat silhouette.</x:v>
      </x:c>
      <x:c r="J127" s="168" t="str">
        <x:v>2–4</x:v>
      </x:c>
      <x:c r="K127" s="168" t="str">
        <x:v>1280×720 (720p)</x:v>
      </x:c>
      <x:c r="L127" s="168" t="str">
        <x:v>EDITORIAL_REVIEW</x:v>
      </x:c>
      <x:c r="M127" s="168" t="str">
        <x:v>Unique Gegner!AE16</x:v>
      </x:c>
    </x:row>
    <x:row r="128" ht="66" hidden="0" customHeight="1">
      <x:c r="A128" s="168" t="str">
        <x:v>QUEST-ILL:D1-Q01</x:v>
      </x:c>
      <x:c r="B128" s="168" t="str">
        <x:v>QUEST_ILLUSTRATION</x:v>
      </x:c>
      <x:c r="C128" s="168" t="str">
        <x:v>Quest Master!AA</x:v>
      </x:c>
      <x:c r="D128" s="168" t="str">
        <x:v>D1-Q01</x:v>
      </x:c>
      <x:c r="E128" s="168" t="str">
        <x:v>Der Fluchtkorridor</x:v>
      </x:c>
      <x:c r="F128" s="168" t="str">
        <x:v>REGULAER</x:v>
      </x:c>
      <x:c r="G128" s="168" t="str">
        <x:v>Historisches Chiaroscuro, mobile-RPG-Questillustration für D1-Q01 „Der Fluchtkorridor“ (REGULAER). Szene: Ein geisterhafter Gardist glaubt, der alte Fluchtkorridor sei erneut verraten worden. Das Team muss die sichere Linie vom Petersplatz bis zur Engelsburg rekonstruieren und über die Nachhut entscheiden. Schauplatz/Ortsfolge: Petersplatz → Passetto di Borgo → Engelsburg. Klare Teamlesbarkeit, römische Materialien, gerichtetes warmes Licht, tiefe Schatten, reduzierte aber erkennbare Architektur, freie Zone für UI-Overlay, keine Schrift, kein Logo, keine modernen Gegenstände.</x:v>
      </x:c>
      <x:c r="H128" s="168" t="str">
        <x:v>Statische Szene; keine animierte Figur erforderlich</x:v>
      </x:c>
      <x:c r="I128" s="168" t="str">
        <x:v>STATIC_STARTFRAME</x:v>
      </x:c>
      <x:c r="J128" s="168" t="str"/>
      <x:c r="K128" s="168" t="str">
        <x:v>1280×720 Master + mobile Crops</x:v>
      </x:c>
      <x:c r="L128" s="168" t="str">
        <x:v>FIELD_CHECK_REQUIRED</x:v>
      </x:c>
      <x:c r="M128" s="168" t="str">
        <x:v>Quest Master!AA5</x:v>
      </x:c>
    </x:row>
    <x:row r="129" ht="66" hidden="0" customHeight="1">
      <x:c r="A129" s="168" t="str">
        <x:v>QUEST-ILL:D1-Q02</x:v>
      </x:c>
      <x:c r="B129" s="168" t="str">
        <x:v>QUEST_ILLUSTRATION</x:v>
      </x:c>
      <x:c r="C129" s="168" t="str">
        <x:v>Quest Master!AA</x:v>
      </x:c>
      <x:c r="D129" s="168" t="str">
        <x:v>D1-Q02</x:v>
      </x:c>
      <x:c r="E129" s="168" t="str">
        <x:v>Tore des Borgo</x:v>
      </x:c>
      <x:c r="F129" s="168" t="str">
        <x:v>REGULAER</x:v>
      </x:c>
      <x:c r="G129" s="168" t="str">
        <x:v>Historisches Chiaroscuro, mobile-RPG-Questillustration für D1-Q02 „Tore des Borgo“ (REGULAER). Szene: Ein Condottiere wettet, dass kein modernes Team drei Tore lesen kann. Wer seine taktische Reihenfolge besteht, darf den päpstlichen Reiter zu dessen großem Ärger herausfordern. Schauplatz/Ortsfolge: St.-Pellegrino-Tor → Porta Cavalleggeri → Porta Santo Spirito. Klare Teamlesbarkeit, römische Materialien, gerichtetes warmes Licht, tiefe Schatten, reduzierte aber erkennbare Architektur, freie Zone für UI-Overlay, keine Schrift, kein Logo, keine modernen Gegenstände.</x:v>
      </x:c>
      <x:c r="H129" s="168" t="str">
        <x:v>Statische Szene; keine animierte Figur erforderlich</x:v>
      </x:c>
      <x:c r="I129" s="168" t="str">
        <x:v>STATIC_STARTFRAME</x:v>
      </x:c>
      <x:c r="J129" s="168" t="str"/>
      <x:c r="K129" s="168" t="str">
        <x:v>1280×720 Master + mobile Crops</x:v>
      </x:c>
      <x:c r="L129" s="168" t="str">
        <x:v>FIELD_CHECK_REQUIRED</x:v>
      </x:c>
      <x:c r="M129" s="168" t="str">
        <x:v>Quest Master!AA6</x:v>
      </x:c>
    </x:row>
    <x:row r="130" ht="66" hidden="0" customHeight="1">
      <x:c r="A130" s="168" t="str">
        <x:v>QUEST-ILL:D1-Q03</x:v>
      </x:c>
      <x:c r="B130" s="168" t="str">
        <x:v>QUEST_ILLUSTRATION</x:v>
      </x:c>
      <x:c r="C130" s="168" t="str">
        <x:v>Quest Master!AA</x:v>
      </x:c>
      <x:c r="D130" s="168" t="str">
        <x:v>D1-Q03</x:v>
      </x:c>
      <x:c r="E130" s="168" t="str">
        <x:v>Der Dreizack</x:v>
      </x:c>
      <x:c r="F130" s="168" t="str">
        <x:v>REGULAER</x:v>
      </x:c>
      <x:c r="G130" s="168" t="str">
        <x:v>Historisches Chiaroscuro, mobile-RPG-Questillustration für D1-Q03 „Der Dreizack“ (REGULAER). Szene: Der Stadtgeist hat drei Wege miteinander verknotet. Das Team muss den Dreizack lesen, sich kurz aufteilen und am Tor wiederfinden, ohne dass die Zielzone direkt auf der Karte erscheint. Schauplatz/Ortsfolge: Piazza del Popolo → Obelisco Flaminio → Porta del Popolo. Klare Teamlesbarkeit, römische Materialien, gerichtetes warmes Licht, tiefe Schatten, reduzierte aber erkennbare Architektur, freie Zone für UI-Overlay, keine Schrift, kein Logo, keine modernen Gegenstände.</x:v>
      </x:c>
      <x:c r="H130" s="168" t="str">
        <x:v>Statische Szene; keine animierte Figur erforderlich</x:v>
      </x:c>
      <x:c r="I130" s="168" t="str">
        <x:v>STATIC_STARTFRAME</x:v>
      </x:c>
      <x:c r="J130" s="168" t="str"/>
      <x:c r="K130" s="168" t="str">
        <x:v>1280×720 Master + mobile Crops</x:v>
      </x:c>
      <x:c r="L130" s="168" t="str">
        <x:v>EDITORIAL_REVIEW</x:v>
      </x:c>
      <x:c r="M130" s="168" t="str">
        <x:v>Quest Master!AA7</x:v>
      </x:c>
    </x:row>
    <x:row r="131" ht="66" hidden="0" customHeight="1">
      <x:c r="A131" s="168" t="str">
        <x:v>QUEST-ILL:D1-Q04</x:v>
      </x:c>
      <x:c r="B131" s="168" t="str">
        <x:v>QUEST_ILLUSTRATION</x:v>
      </x:c>
      <x:c r="C131" s="168" t="str">
        <x:v>Quest Master!AA</x:v>
      </x:c>
      <x:c r="D131" s="168" t="str">
        <x:v>D1-Q04</x:v>
      </x:c>
      <x:c r="E131" s="168" t="str">
        <x:v>Antinoos über Rom</x:v>
      </x:c>
      <x:c r="F131" s="168" t="str">
        <x:v>REGULAER</x:v>
      </x:c>
      <x:c r="G131" s="168" t="str">
        <x:v>Historisches Chiaroscuro, mobile-RPG-Questillustration für D1-Q04 „Antinoos über Rom“ (REGULAER). Szene: Hieroglyphen, Wölfin und Stadtblick sind aus Seshats Gedächtnis gerissen worden. Jede richtige Zuordnung bindet eine Fähigkeit der Ombra di Antinoo. Schauplatz/Ortsfolge: Obelisco di Antinoo → Fontana della Dea di Roma → Balconata del Pincio. Klare Teamlesbarkeit, römische Materialien, gerichtetes warmes Licht, tiefe Schatten, reduzierte aber erkennbare Architektur, freie Zone für UI-Overlay, keine Schrift, kein Logo, keine modernen Gegenstände.</x:v>
      </x:c>
      <x:c r="H131" s="168" t="str">
        <x:v>Statische Szene; keine animierte Figur erforderlich</x:v>
      </x:c>
      <x:c r="I131" s="168" t="str">
        <x:v>STATIC_STARTFRAME</x:v>
      </x:c>
      <x:c r="J131" s="168" t="str"/>
      <x:c r="K131" s="168" t="str">
        <x:v>1280×720 Master + mobile Crops</x:v>
      </x:c>
      <x:c r="L131" s="168" t="str">
        <x:v>EDITORIAL_REVIEW</x:v>
      </x:c>
      <x:c r="M131" s="168" t="str">
        <x:v>Quest Master!AA8</x:v>
      </x:c>
    </x:row>
    <x:row r="132" ht="66" hidden="0" customHeight="1">
      <x:c r="A132" s="168" t="str">
        <x:v>QUEST-ILL:D1-Q05</x:v>
      </x:c>
      <x:c r="B132" s="168" t="str">
        <x:v>QUEST_ILLUSTRATION</x:v>
      </x:c>
      <x:c r="C132" s="168" t="str">
        <x:v>Quest Master!AA</x:v>
      </x:c>
      <x:c r="D132" s="168" t="str">
        <x:v>D1-Q05</x:v>
      </x:c>
      <x:c r="E132" s="168" t="str">
        <x:v>Die steinerne Barke</x:v>
      </x:c>
      <x:c r="F132" s="168" t="str">
        <x:v>REGULAER</x:v>
      </x:c>
      <x:c r="G132" s="168" t="str">
        <x:v>Historisches Chiaroscuro, mobile-RPG-Questillustration für D1-Q05 „Die steinerne Barke“ (REGULAER). Szene: Der Brunnengeist verlangt eine ehrliche Formbestimmung – und eine Entschuldigung für Jahrhunderte schlechter Boots-Witze. Schauplatz/Ortsfolge: Spanischer Platz. Klare Teamlesbarkeit, römische Materialien, gerichtetes warmes Licht, tiefe Schatten, reduzierte aber erkennbare Architektur, freie Zone für UI-Overlay, keine Schrift, kein Logo, keine modernen Gegenstände.</x:v>
      </x:c>
      <x:c r="H132" s="168" t="str">
        <x:v>Statische Szene; keine animierte Figur erforderlich</x:v>
      </x:c>
      <x:c r="I132" s="168" t="str">
        <x:v>STATIC_STARTFRAME</x:v>
      </x:c>
      <x:c r="J132" s="168" t="str"/>
      <x:c r="K132" s="168" t="str">
        <x:v>1280×720 Master + mobile Crops</x:v>
      </x:c>
      <x:c r="L132" s="168" t="str">
        <x:v>EDITORIAL_REVIEW</x:v>
      </x:c>
      <x:c r="M132" s="168" t="str">
        <x:v>Quest Master!AA9</x:v>
      </x:c>
    </x:row>
    <x:row r="133" ht="66" hidden="0" customHeight="1">
      <x:c r="A133" s="168" t="str">
        <x:v>QUEST-ILL:D1-Q06</x:v>
      </x:c>
      <x:c r="B133" s="168" t="str">
        <x:v>QUEST_ILLUSTRATION</x:v>
      </x:c>
      <x:c r="C133" s="168" t="str">
        <x:v>Quest Master!AA</x:v>
      </x:c>
      <x:c r="D133" s="168" t="str">
        <x:v>D1-Q06</x:v>
      </x:c>
      <x:c r="E133" s="168" t="str">
        <x:v>Berninis Werkstatt</x:v>
      </x:c>
      <x:c r="F133" s="168" t="str">
        <x:v>REGULAER</x:v>
      </x:c>
      <x:c r="G133" s="168" t="str">
        <x:v>Historisches Chiaroscuro, mobile-RPG-Questillustration für D1-Q06 „Berninis Werkstatt“ (REGULAER). Szene: Berninis Echo braucht drei gleichzeitig arbeitende Augen. Das Team verteilt sich auf die Brunnen, bestätigt synchron sichtbare Figurenmerkmale und entscheidet, welches Material die fiktive Werkstatt erhält. Schauplatz/Ortsfolge: Piazza Navona → Neptunsbrunnen → Mohrenbrunnen. Klare Teamlesbarkeit, römische Materialien, gerichtetes warmes Licht, tiefe Schatten, reduzierte aber erkennbare Architektur, freie Zone für UI-Overlay, keine Schrift, kein Logo, keine modernen Gegenstände.</x:v>
      </x:c>
      <x:c r="H133" s="168" t="str">
        <x:v>Statische Szene; keine animierte Figur erforderlich</x:v>
      </x:c>
      <x:c r="I133" s="168" t="str">
        <x:v>STATIC_STARTFRAME</x:v>
      </x:c>
      <x:c r="J133" s="168" t="str"/>
      <x:c r="K133" s="168" t="str">
        <x:v>1280×720 Master + mobile Crops</x:v>
      </x:c>
      <x:c r="L133" s="168" t="str">
        <x:v>EDITORIAL_REVIEW</x:v>
      </x:c>
      <x:c r="M133" s="168" t="str">
        <x:v>Quest Master!AA10</x:v>
      </x:c>
    </x:row>
    <x:row r="134" ht="66" hidden="0" customHeight="1">
      <x:c r="A134" s="168" t="str">
        <x:v>QUEST-ILL:D1-Q07</x:v>
      </x:c>
      <x:c r="B134" s="168" t="str">
        <x:v>QUEST_ILLUSTRATION</x:v>
      </x:c>
      <x:c r="C134" s="168" t="str">
        <x:v>Quest Master!AA</x:v>
      </x:c>
      <x:c r="D134" s="168" t="str">
        <x:v>D1-Q07</x:v>
      </x:c>
      <x:c r="E134" s="168" t="str">
        <x:v>Agrippas Zeichen</x:v>
      </x:c>
      <x:c r="F134" s="168" t="str">
        <x:v>REGULAER</x:v>
      </x:c>
      <x:c r="G134" s="168" t="str">
        <x:v>Historisches Chiaroscuro, mobile-RPG-Questillustration für D1-Q07 „Agrippas Zeichen“ (REGULAER). Szene: Agrippas Name ist sichtbar, doch eine Mumie versucht, die Inschrift zu verschlucken. Das Team transkribiert den Namen, überträgt ihn auf eine virtuelle Wachstafel und versiegelt den Obeliskenbezug. Schauplatz/Ortsfolge: Pantheon → Obelisco Macuteo. Klare Teamlesbarkeit, römische Materialien, gerichtetes warmes Licht, tiefe Schatten, reduzierte aber erkennbare Architektur, freie Zone für UI-Overlay, keine Schrift, kein Logo, keine modernen Gegenstände.</x:v>
      </x:c>
      <x:c r="H134" s="168" t="str">
        <x:v>Statische Szene; keine animierte Figur erforderlich</x:v>
      </x:c>
      <x:c r="I134" s="168" t="str">
        <x:v>STATIC_STARTFRAME</x:v>
      </x:c>
      <x:c r="J134" s="168" t="str"/>
      <x:c r="K134" s="168" t="str">
        <x:v>1280×720 Master + mobile Crops</x:v>
      </x:c>
      <x:c r="L134" s="168" t="str">
        <x:v>EDITORIAL_REVIEW</x:v>
      </x:c>
      <x:c r="M134" s="168" t="str">
        <x:v>Quest Master!AA11</x:v>
      </x:c>
    </x:row>
    <x:row r="135" ht="66" hidden="0" customHeight="1">
      <x:c r="A135" s="168" t="str">
        <x:v>QUEST-ILL:D1-Q08</x:v>
      </x:c>
      <x:c r="B135" s="168" t="str">
        <x:v>QUEST_ILLUSTRATION</x:v>
      </x:c>
      <x:c r="C135" s="168" t="str">
        <x:v>Quest Master!AA</x:v>
      </x:c>
      <x:c r="D135" s="168" t="str">
        <x:v>D1-Q08</x:v>
      </x:c>
      <x:c r="E135" s="168" t="str">
        <x:v>Kaiserbotschaften</x:v>
      </x:c>
      <x:c r="F135" s="168" t="str">
        <x:v>REGULAER</x:v>
      </x:c>
      <x:c r="G135" s="168" t="str">
        <x:v>Historisches Chiaroscuro, mobile-RPG-Questillustration für D1-Q08 „Kaiserbotschaften“ (REGULAER). Szene: Cassius hat zwei Monumentakten vertauscht. Das Team ordnet Schrift, Form und politische Bildsprache dem Obelisken und der Reliefsäule zu. Schauplatz/Ortsfolge: Obelisco di Montecitorio → Mark-Aurel-Säule. Klare Teamlesbarkeit, römische Materialien, gerichtetes warmes Licht, tiefe Schatten, reduzierte aber erkennbare Architektur, freie Zone für UI-Overlay, keine Schrift, kein Logo, keine modernen Gegenstände.</x:v>
      </x:c>
      <x:c r="H135" s="168" t="str">
        <x:v>Statische Szene; keine animierte Figur erforderlich</x:v>
      </x:c>
      <x:c r="I135" s="168" t="str">
        <x:v>STATIC_STARTFRAME</x:v>
      </x:c>
      <x:c r="J135" s="168" t="str"/>
      <x:c r="K135" s="168" t="str">
        <x:v>1280×720 Master + mobile Crops</x:v>
      </x:c>
      <x:c r="L135" s="168" t="str">
        <x:v>EDITORIAL_REVIEW</x:v>
      </x:c>
      <x:c r="M135" s="168" t="str">
        <x:v>Quest Master!AA12</x:v>
      </x:c>
    </x:row>
    <x:row r="136" ht="66" hidden="0" customHeight="1">
      <x:c r="A136" s="168" t="str">
        <x:v>QUEST-ILL:D1-Q09</x:v>
      </x:c>
      <x:c r="B136" s="168" t="str">
        <x:v>QUEST_ILLUSTRATION</x:v>
      </x:c>
      <x:c r="C136" s="168" t="str">
        <x:v>Quest Master!AA</x:v>
      </x:c>
      <x:c r="D136" s="168" t="str">
        <x:v>D1-Q09</x:v>
      </x:c>
      <x:c r="E136" s="168" t="str">
        <x:v>Das gebändigte Wasser</x:v>
      </x:c>
      <x:c r="F136" s="168" t="str">
        <x:v>REGULAER</x:v>
      </x:c>
      <x:c r="G136" s="168" t="str">
        <x:v>Historisches Chiaroscuro, mobile-RPG-Questillustration für D1-Q09 „Das gebändigte Wasser“ (REGULAER). Szene: Eine Kanalratte hat den Wasserweg zwischen Trevi, den Arkaden und dem Tritonenbrunnen verdreckt. Beobachtungen füllen eine Ampulle, die im Kampf die Schmutzfähigkeit neutralisiert. Schauplatz/Ortsfolge: Trevi-Brunnen → Acquedotto Vergine → Tritonenbrunnen. Klare Teamlesbarkeit, römische Materialien, gerichtetes warmes Licht, tiefe Schatten, reduzierte aber erkennbare Architektur, freie Zone für UI-Overlay, keine Schrift, kein Logo, keine modernen Gegenstände.</x:v>
      </x:c>
      <x:c r="H136" s="168" t="str">
        <x:v>Statische Szene; keine animierte Figur erforderlich</x:v>
      </x:c>
      <x:c r="I136" s="168" t="str">
        <x:v>STATIC_STARTFRAME</x:v>
      </x:c>
      <x:c r="J136" s="168" t="str"/>
      <x:c r="K136" s="168" t="str">
        <x:v>1280×720 Master + mobile Crops</x:v>
      </x:c>
      <x:c r="L136" s="168" t="str">
        <x:v>FIELD_CHECK_REQUIRED</x:v>
      </x:c>
      <x:c r="M136" s="168" t="str">
        <x:v>Quest Master!AA13</x:v>
      </x:c>
    </x:row>
    <x:row r="137" ht="66" hidden="0" customHeight="1">
      <x:c r="A137" s="168" t="str">
        <x:v>QUEST-ILL:D1-Q10</x:v>
      </x:c>
      <x:c r="B137" s="168" t="str">
        <x:v>QUEST_ILLUSTRATION</x:v>
      </x:c>
      <x:c r="C137" s="168" t="str">
        <x:v>Quest Master!AA</x:v>
      </x:c>
      <x:c r="D137" s="168" t="str">
        <x:v>D1-Q10</x:v>
      </x:c>
      <x:c r="E137" s="168" t="str">
        <x:v>Macht auf dem Quirinal</x:v>
      </x:c>
      <x:c r="F137" s="168" t="str">
        <x:v>REGULAER</x:v>
      </x:c>
      <x:c r="G137" s="168" t="str">
        <x:v>Historisches Chiaroscuro, mobile-RPG-Questillustration für D1-Q10 „Macht auf dem Quirinal“ (REGULAER). Szene: Skanderbeg prüft drei Formen von Macht: Name, monumentale Pferde und heutige Staatsgewalt. Am Ende wählt das Team Loyalität, Unabhängigkeit oder Dienst am Gemeinwohl. Schauplatz/Ortsfolge: Piazza Scanderbeg → Obelisco del Quirinale → Quirinalspalast. Klare Teamlesbarkeit, römische Materialien, gerichtetes warmes Licht, tiefe Schatten, reduzierte aber erkennbare Architektur, freie Zone für UI-Overlay, keine Schrift, kein Logo, keine modernen Gegenstände.</x:v>
      </x:c>
      <x:c r="H137" s="168" t="str">
        <x:v>Statische Szene; keine animierte Figur erforderlich</x:v>
      </x:c>
      <x:c r="I137" s="168" t="str">
        <x:v>STATIC_STARTFRAME</x:v>
      </x:c>
      <x:c r="J137" s="168" t="str"/>
      <x:c r="K137" s="168" t="str">
        <x:v>1280×720 Master + mobile Crops</x:v>
      </x:c>
      <x:c r="L137" s="168" t="str">
        <x:v>FIELD_CHECK_REQUIRED</x:v>
      </x:c>
      <x:c r="M137" s="168" t="str">
        <x:v>Quest Master!AA14</x:v>
      </x:c>
    </x:row>
    <x:row r="138" ht="66" hidden="0" customHeight="1">
      <x:c r="A138" s="168" t="str">
        <x:v>QUEST-ILL:D1-Q11</x:v>
      </x:c>
      <x:c r="B138" s="168" t="str">
        <x:v>QUEST_ILLUSTRATION</x:v>
      </x:c>
      <x:c r="C138" s="168" t="str">
        <x:v>Quest Master!AA</x:v>
      </x:c>
      <x:c r="D138" s="168" t="str">
        <x:v>D1-Q11</x:v>
      </x:c>
      <x:c r="E138" s="168" t="str">
        <x:v>Zeichen der Unbefleckten</x:v>
      </x:c>
      <x:c r="F138" s="168" t="str">
        <x:v>REGULAER</x:v>
      </x:c>
      <x:c r="G138" s="168" t="str">
        <x:v>Historisches Chiaroscuro, mobile-RPG-Questillustration für D1-Q11 „Zeichen der Unbefleckten“ (REGULAER). Szene: Lucia bittet nicht um Frömmigkeitswissen, sondern um genaues Sehen: Spitzenfigur, Sockelfiguren und das Wort, das die sichtbare Komposition zusammenhält. Schauplatz/Ortsfolge: Colonna dell'Immacolata. Klare Teamlesbarkeit, römische Materialien, gerichtetes warmes Licht, tiefe Schatten, reduzierte aber erkennbare Architektur, freie Zone für UI-Overlay, keine Schrift, kein Logo, keine modernen Gegenstände.</x:v>
      </x:c>
      <x:c r="H138" s="168" t="str">
        <x:v>Statische Szene; keine animierte Figur erforderlich</x:v>
      </x:c>
      <x:c r="I138" s="168" t="str">
        <x:v>STATIC_STARTFRAME</x:v>
      </x:c>
      <x:c r="J138" s="168" t="str"/>
      <x:c r="K138" s="168" t="str">
        <x:v>1280×720 Master + mobile Crops</x:v>
      </x:c>
      <x:c r="L138" s="168" t="str">
        <x:v>EDITORIAL_REVIEW</x:v>
      </x:c>
      <x:c r="M138" s="168" t="str">
        <x:v>Quest Master!AA15</x:v>
      </x:c>
    </x:row>
    <x:row r="139" ht="66" hidden="0" customHeight="1">
      <x:c r="A139" s="168" t="str">
        <x:v>QUEST-ILL:D1-Q12</x:v>
      </x:c>
      <x:c r="B139" s="168" t="str">
        <x:v>QUEST_ILLUSTRATION</x:v>
      </x:c>
      <x:c r="C139" s="168" t="str">
        <x:v>Quest Master!AA</x:v>
      </x:c>
      <x:c r="D139" s="168" t="str">
        <x:v>D1-Q12</x:v>
      </x:c>
      <x:c r="E139" s="168" t="str">
        <x:v>Stimmen der Republik</x:v>
      </x:c>
      <x:c r="F139" s="168" t="str">
        <x:v>REGULAER</x:v>
      </x:c>
      <x:c r="G139" s="168" t="str">
        <x:v>Historisches Chiaroscuro, mobile-RPG-Questillustration für D1-Q12 „Stimmen der Republik“ (REGULAER). Szene: Bruno sammelt vier Stimmen Roms: Verbindung, Palastmacht, öffentliche Debatte und republikanische Ruinen. Das Team ordnet sie und entscheidet, welche Stimme seine Chronik prägt. Schauplatz/Ortsfolge: Ponte Sisto → Palazzo Farnese → Campo de' Fiori → Largo di Torre Argentina. Klare Teamlesbarkeit, römische Materialien, gerichtetes warmes Licht, tiefe Schatten, reduzierte aber erkennbare Architektur, freie Zone für UI-Overlay, keine Schrift, kein Logo, keine modernen Gegenstände.</x:v>
      </x:c>
      <x:c r="H139" s="168" t="str">
        <x:v>Statische Szene; keine animierte Figur erforderlich</x:v>
      </x:c>
      <x:c r="I139" s="168" t="str">
        <x:v>STATIC_STARTFRAME</x:v>
      </x:c>
      <x:c r="J139" s="168" t="str"/>
      <x:c r="K139" s="168" t="str">
        <x:v>1280×720 Master + mobile Crops</x:v>
      </x:c>
      <x:c r="L139" s="168" t="str">
        <x:v>FIELD_CHECK_REQUIRED</x:v>
      </x:c>
      <x:c r="M139" s="168" t="str">
        <x:v>Quest Master!AA16</x:v>
      </x:c>
    </x:row>
    <x:row r="140" ht="79.19999694824219" hidden="0" customHeight="1">
      <x:c r="A140" s="168" t="str">
        <x:v>QUEST-ILL:D1-Q13</x:v>
      </x:c>
      <x:c r="B140" s="168" t="str">
        <x:v>QUEST_ILLUSTRATION</x:v>
      </x:c>
      <x:c r="C140" s="168" t="str">
        <x:v>Quest Master!AA</x:v>
      </x:c>
      <x:c r="D140" s="168" t="str">
        <x:v>D1-Q13</x:v>
      </x:c>
      <x:c r="E140" s="168" t="str">
        <x:v>Roms große Bühne</x:v>
      </x:c>
      <x:c r="F140" s="168" t="str">
        <x:v>REGULAER</x:v>
      </x:c>
      <x:c r="G140" s="168" t="str">
        <x:v>Historisches Chiaroscuro, mobile-RPG-Questillustration für D1-Q13 „Roms große Bühne“ (REGULAER). Szene: Drei Bühnen verschiedener Zeiten stehen im falschen Akt. Das Team ordnet Fassade, Schildkrötenbrunnen und antike Arkaden chronologisch; eine falsche Schildkröte kann den Hidden-Kampf wecken. Schauplatz/Ortsfolge: Basilica di Sant'Andrea della Valle → Fontana delle Tartarughe → Marcellustheater. Klare Teamlesbarkeit, römische Materialien, gerichtetes warmes Licht, tiefe Schatten, reduzierte aber erkennbare Architektur, freie Zone für UI-Overlay, keine Schrift, kein Logo, keine modernen Gegenstände.</x:v>
      </x:c>
      <x:c r="H140" s="168" t="str">
        <x:v>Statische Szene; keine animierte Figur erforderlich</x:v>
      </x:c>
      <x:c r="I140" s="168" t="str">
        <x:v>STATIC_STARTFRAME</x:v>
      </x:c>
      <x:c r="J140" s="168" t="str"/>
      <x:c r="K140" s="168" t="str">
        <x:v>1280×720 Master + mobile Crops</x:v>
      </x:c>
      <x:c r="L140" s="168" t="str">
        <x:v>FIELD_CHECK_REQUIRED</x:v>
      </x:c>
      <x:c r="M140" s="168" t="str">
        <x:v>Quest Master!AA17</x:v>
      </x:c>
    </x:row>
    <x:row r="141" ht="66" hidden="0" customHeight="1">
      <x:c r="A141" s="168" t="str">
        <x:v>QUEST-ILL:D1-Q14</x:v>
      </x:c>
      <x:c r="B141" s="168" t="str">
        <x:v>QUEST_ILLUSTRATION</x:v>
      </x:c>
      <x:c r="C141" s="168" t="str">
        <x:v>Quest Master!AA</x:v>
      </x:c>
      <x:c r="D141" s="168" t="str">
        <x:v>D1-Q14</x:v>
      </x:c>
      <x:c r="E141" s="168" t="str">
        <x:v>Die steinerne Insel</x:v>
      </x:c>
      <x:c r="F141" s="168" t="str">
        <x:v>REGULAER</x:v>
      </x:c>
      <x:c r="G141" s="168" t="str">
        <x:v>Historisches Chiaroscuro, mobile-RPG-Questillustration für D1-Q14 „Die steinerne Insel“ (REGULAER). Szene: Die Insel ‚fiebert‘, weil ihr Schiffsbug und ihre Heiltradition getrennt wurden. Das Team erkennt die Form, gibt NAVIS ein und setzt einen virtuellen Heilungsstab ein. Schauplatz/Ortsfolge: Isola Tiberina. Klare Teamlesbarkeit, römische Materialien, gerichtetes warmes Licht, tiefe Schatten, reduzierte aber erkennbare Architektur, freie Zone für UI-Overlay, keine Schrift, kein Logo, keine modernen Gegenstände.</x:v>
      </x:c>
      <x:c r="H141" s="168" t="str">
        <x:v>Statische Szene; keine animierte Figur erforderlich</x:v>
      </x:c>
      <x:c r="I141" s="168" t="str">
        <x:v>STATIC_STARTFRAME</x:v>
      </x:c>
      <x:c r="J141" s="168" t="str"/>
      <x:c r="K141" s="168" t="str">
        <x:v>1280×720 Master + mobile Crops</x:v>
      </x:c>
      <x:c r="L141" s="168" t="str">
        <x:v>FIELD_CHECK_REQUIRED</x:v>
      </x:c>
      <x:c r="M141" s="168" t="str">
        <x:v>Quest Master!AA18</x:v>
      </x:c>
    </x:row>
    <x:row r="142" ht="66" hidden="0" customHeight="1">
      <x:c r="A142" s="168" t="str">
        <x:v>QUEST-ILL:D1-Q15</x:v>
      </x:c>
      <x:c r="B142" s="168" t="str">
        <x:v>QUEST_ILLUSTRATION</x:v>
      </x:c>
      <x:c r="C142" s="168" t="str">
        <x:v>Quest Master!AA</x:v>
      </x:c>
      <x:c r="D142" s="168" t="str">
        <x:v>D1-Q15</x:v>
      </x:c>
      <x:c r="E142" s="168" t="str">
        <x:v>Cecilias Stimmen</x:v>
      </x:c>
      <x:c r="F142" s="168" t="str">
        <x:v>REGULAER</x:v>
      </x:c>
      <x:c r="G142" s="168" t="str">
        <x:v>Historisches Chiaroscuro, mobile-RPG-Questillustration für D1-Q15 „Cecilias Stimmen“ (REGULAER). Szene: Cecilias Erinnerung klingt zwischen zwei Kirchen. Das Team sammelt außen sichtbare Hinweise und entscheidet, wie Legende und belegte Geschichte fair erzählt werden. Schauplatz/Ortsfolge: Basilica di Santa Cecilia in Trastevere → Santa Maria in Trastevere. Klare Teamlesbarkeit, römische Materialien, gerichtetes warmes Licht, tiefe Schatten, reduzierte aber erkennbare Architektur, freie Zone für UI-Overlay, keine Schrift, kein Logo, keine modernen Gegenstände.</x:v>
      </x:c>
      <x:c r="H142" s="168" t="str">
        <x:v>Statische Szene; keine animierte Figur erforderlich</x:v>
      </x:c>
      <x:c r="I142" s="168" t="str">
        <x:v>STATIC_STARTFRAME</x:v>
      </x:c>
      <x:c r="J142" s="168" t="str"/>
      <x:c r="K142" s="168" t="str">
        <x:v>1280×720 Master + mobile Crops</x:v>
      </x:c>
      <x:c r="L142" s="168" t="str">
        <x:v>FIELD_CHECK_REQUIRED</x:v>
      </x:c>
      <x:c r="M142" s="168" t="str">
        <x:v>Quest Master!AA19</x:v>
      </x:c>
    </x:row>
    <x:row r="143" ht="79.19999694824219" hidden="0" customHeight="1">
      <x:c r="A143" s="168" t="str">
        <x:v>QUEST-ILL:D1-Q16</x:v>
      </x:c>
      <x:c r="B143" s="168" t="str">
        <x:v>QUEST_ILLUSTRATION</x:v>
      </x:c>
      <x:c r="C143" s="168" t="str">
        <x:v>Quest Master!AA</x:v>
      </x:c>
      <x:c r="D143" s="168" t="str">
        <x:v>D1-Q16</x:v>
      </x:c>
      <x:c r="E143" s="168" t="str">
        <x:v>Republik auf dem Gianicolo</x:v>
      </x:c>
      <x:c r="F143" s="168" t="str">
        <x:v>REGULAER</x:v>
      </x:c>
      <x:c r="G143" s="168" t="str">
        <x:v>Historisches Chiaroscuro, mobile-RPG-Questillustration für D1-Q16 „Republik auf dem Gianicolo“ (REGULAER). Szene: Anita führt eine aufsteigende Erinnerungsroute über Mauern, Ossarium und Wasserfassade. Ein Abschnitt wird ohne sichtbaren Zielmarker navigiert; jede richtige Station stärkt das Team für den Garibaldino. Schauplatz/Ortsfolge: Gianicolense-Mauern → Mausoleo Ossario Garibaldino → Fontana Dell'Acqua Paola → Monumento a Garibaldi → Monumento ad Anita Garibaldi. Klare Teamlesbarkeit, römische Materialien, gerichtetes warmes Licht, tiefe Schatten, reduzierte aber erkennbare Architektur, freie Zone für UI-Overlay, keine Schrift, kein Logo, keine modernen Gegenstände.</x:v>
      </x:c>
      <x:c r="H143" s="168" t="str">
        <x:v>Statische Szene; keine animierte Figur erforderlich</x:v>
      </x:c>
      <x:c r="I143" s="168" t="str">
        <x:v>STATIC_STARTFRAME</x:v>
      </x:c>
      <x:c r="J143" s="168" t="str"/>
      <x:c r="K143" s="168" t="str">
        <x:v>1280×720 Master + mobile Crops</x:v>
      </x:c>
      <x:c r="L143" s="168" t="str">
        <x:v>EDITORIAL_REVIEW</x:v>
      </x:c>
      <x:c r="M143" s="168" t="str">
        <x:v>Quest Master!AA20</x:v>
      </x:c>
    </x:row>
    <x:row r="144" ht="66" hidden="0" customHeight="1">
      <x:c r="A144" s="168" t="str">
        <x:v>QUEST-ILL:D2-Q01</x:v>
      </x:c>
      <x:c r="B144" s="168" t="str">
        <x:v>QUEST_ILLUSTRATION</x:v>
      </x:c>
      <x:c r="C144" s="168" t="str">
        <x:v>Quest Master!AA</x:v>
      </x:c>
      <x:c r="D144" s="168" t="str">
        <x:v>D2-Q01</x:v>
      </x:c>
      <x:c r="E144" s="168" t="str">
        <x:v>Stern des Kapitols</x:v>
      </x:c>
      <x:c r="F144" s="168" t="str">
        <x:v>REGULAER</x:v>
      </x:c>
      <x:c r="G144" s="168" t="str">
        <x:v>Historisches Chiaroscuro, mobile-RPG-Questillustration für D2-Q01 „Stern des Kapitols“ (REGULAER). Szene: Der Platzgeist verlangt, dass Sternmuster und Caesarfigur nicht nur gesehen, sondern den Funktionen Orientierung, Macht und Erinnerung zugeordnet werden. Schauplatz/Ortsfolge: Kapitolsplatz → Giulio Cesare. Klare Teamlesbarkeit, römische Materialien, gerichtetes warmes Licht, tiefe Schatten, reduzierte aber erkennbare Architektur, freie Zone für UI-Overlay, keine Schrift, kein Logo, keine modernen Gegenstände.</x:v>
      </x:c>
      <x:c r="H144" s="168" t="str">
        <x:v>Statische Szene; keine animierte Figur erforderlich</x:v>
      </x:c>
      <x:c r="I144" s="168" t="str">
        <x:v>STATIC_STARTFRAME</x:v>
      </x:c>
      <x:c r="J144" s="168" t="str"/>
      <x:c r="K144" s="168" t="str">
        <x:v>1280×720 Master + mobile Crops</x:v>
      </x:c>
      <x:c r="L144" s="168" t="str">
        <x:v>FIELD_CHECK_REQUIRED</x:v>
      </x:c>
      <x:c r="M144" s="168" t="str">
        <x:v>Quest Master!AA21</x:v>
      </x:c>
    </x:row>
    <x:row r="145" ht="66" hidden="0" customHeight="1">
      <x:c r="A145" s="168" t="str">
        <x:v>QUEST-ILL:D2-Q02</x:v>
      </x:c>
      <x:c r="B145" s="168" t="str">
        <x:v>QUEST_ILLUSTRATION</x:v>
      </x:c>
      <x:c r="C145" s="168" t="str">
        <x:v>Quest Master!AA</x:v>
      </x:c>
      <x:c r="D145" s="168" t="str">
        <x:v>D2-Q02</x:v>
      </x:c>
      <x:c r="E145" s="168" t="str">
        <x:v>Quadrigen der Einheit</x:v>
      </x:c>
      <x:c r="F145" s="168" t="str">
        <x:v>REGULAER</x:v>
      </x:c>
      <x:c r="G145" s="168" t="str">
        <x:v>Historisches Chiaroscuro, mobile-RPG-Questillustration für D2-Q02 „Quadrigen der Einheit“ (REGULAER). Szene: Vittoria behauptet, niemand schaue mehr über die Selfiesticks hinweg. Das Team zählt die Quadrigen und ordnet das Denkmal seiner Epoche zu. Schauplatz/Ortsfolge: Nationaldenkmal für Viktor Emanuel II.. Klare Teamlesbarkeit, römische Materialien, gerichtetes warmes Licht, tiefe Schatten, reduzierte aber erkennbare Architektur, freie Zone für UI-Overlay, keine Schrift, kein Logo, keine modernen Gegenstände.</x:v>
      </x:c>
      <x:c r="H145" s="168" t="str">
        <x:v>Statische Szene; keine animierte Figur erforderlich</x:v>
      </x:c>
      <x:c r="I145" s="168" t="str">
        <x:v>STATIC_STARTFRAME</x:v>
      </x:c>
      <x:c r="J145" s="168" t="str"/>
      <x:c r="K145" s="168" t="str">
        <x:v>1280×720 Master + mobile Crops</x:v>
      </x:c>
      <x:c r="L145" s="168" t="str">
        <x:v>EDITORIAL_REVIEW</x:v>
      </x:c>
      <x:c r="M145" s="168" t="str">
        <x:v>Quest Master!AA22</x:v>
      </x:c>
    </x:row>
    <x:row r="146" ht="66" hidden="0" customHeight="1">
      <x:c r="A146" s="168" t="str">
        <x:v>QUEST-ILL:D2-Q03</x:v>
      </x:c>
      <x:c r="B146" s="168" t="str">
        <x:v>QUEST_ILLUSTRATION</x:v>
      </x:c>
      <x:c r="C146" s="168" t="str">
        <x:v>Quest Master!AA</x:v>
      </x:c>
      <x:c r="D146" s="168" t="str">
        <x:v>D2-Q03</x:v>
      </x:c>
      <x:c r="E146" s="168" t="str">
        <x:v>Arena und Triumph</x:v>
      </x:c>
      <x:c r="F146" s="168" t="str">
        <x:v>REGULAER</x:v>
      </x:c>
      <x:c r="G146" s="168" t="str">
        <x:v>Historisches Chiaroscuro, mobile-RPG-Questillustration für D2-Q03 „Arena und Triumph“ (REGULAER). Szene: Felix verbindet Triumphbogen, Arena und Trainingsplatz zu einer taktischen Lektion. Die richtige Zuordnung bestimmt den Kampfvorteil gegen den Gladiator des Ludus. Schauplatz/Ortsfolge: Konstantinsbogen → Kolosseum → Ludus Magnus. Klare Teamlesbarkeit, römische Materialien, gerichtetes warmes Licht, tiefe Schatten, reduzierte aber erkennbare Architektur, freie Zone für UI-Overlay, keine Schrift, kein Logo, keine modernen Gegenstände.</x:v>
      </x:c>
      <x:c r="H146" s="168" t="str">
        <x:v>Statische Szene; keine animierte Figur erforderlich</x:v>
      </x:c>
      <x:c r="I146" s="168" t="str">
        <x:v>STATIC_STARTFRAME</x:v>
      </x:c>
      <x:c r="J146" s="168" t="str"/>
      <x:c r="K146" s="168" t="str">
        <x:v>1280×720 Master + mobile Crops</x:v>
      </x:c>
      <x:c r="L146" s="168" t="str">
        <x:v>EDITORIAL_REVIEW</x:v>
      </x:c>
      <x:c r="M146" s="168" t="str">
        <x:v>Quest Master!AA23</x:v>
      </x:c>
    </x:row>
    <x:row r="147" ht="79.19999694824219" hidden="0" customHeight="1">
      <x:c r="A147" s="168" t="str">
        <x:v>QUEST-ILL:D2-Q04</x:v>
      </x:c>
      <x:c r="B147" s="168" t="str">
        <x:v>QUEST_ILLUSTRATION</x:v>
      </x:c>
      <x:c r="C147" s="168" t="str">
        <x:v>Quest Master!AA</x:v>
      </x:c>
      <x:c r="D147" s="168" t="str">
        <x:v>D2-Q04</x:v>
      </x:c>
      <x:c r="E147" s="168" t="str">
        <x:v>Handel, Götter und Wahrheit</x:v>
      </x:c>
      <x:c r="F147" s="168" t="str">
        <x:v>REGULAER</x:v>
      </x:c>
      <x:c r="G147" s="168" t="str">
        <x:v>Historisches Chiaroscuro, mobile-RPG-Questillustration für D2-Q04 „Handel, Götter und Wahrheit“ (REGULAER). Szene: Gaius verkauft drei Erklärungen und nur eine ist sauber gekennzeichnet. Das Team vergleicht Steingesicht, Rundtempel, Architrav und vierseitigen Bogen, gibt VERITAS ein und trennt Fakt, spätere Deutung und Legende. Schauplatz/Ortsfolge: Mund der Wahrheit → Tempel des Hercules Victor → Arco degli Argentari → Janusbogen. Klare Teamlesbarkeit, römische Materialien, gerichtetes warmes Licht, tiefe Schatten, reduzierte aber erkennbare Architektur, freie Zone für UI-Overlay, keine Schrift, kein Logo, keine modernen Gegenstände.</x:v>
      </x:c>
      <x:c r="H147" s="168" t="str">
        <x:v>Statische Szene; keine animierte Figur erforderlich</x:v>
      </x:c>
      <x:c r="I147" s="168" t="str">
        <x:v>STATIC_STARTFRAME</x:v>
      </x:c>
      <x:c r="J147" s="168" t="str"/>
      <x:c r="K147" s="168" t="str">
        <x:v>1280×720 Master + mobile Crops</x:v>
      </x:c>
      <x:c r="L147" s="168" t="str">
        <x:v>FIELD_CHECK_REQUIRED</x:v>
      </x:c>
      <x:c r="M147" s="168" t="str">
        <x:v>Quest Master!AA24</x:v>
      </x:c>
    </x:row>
    <x:row r="148" ht="79.19999694824219" hidden="0" customHeight="1">
      <x:c r="A148" s="168" t="str">
        <x:v>QUEST-ILL:D2-Q05</x:v>
      </x:c>
      <x:c r="B148" s="168" t="str">
        <x:v>QUEST_ILLUSTRATION</x:v>
      </x:c>
      <x:c r="C148" s="168" t="str">
        <x:v>Quest Master!AA</x:v>
      </x:c>
      <x:c r="D148" s="168" t="str">
        <x:v>D2-Q05</x:v>
      </x:c>
      <x:c r="E148" s="168" t="str">
        <x:v>Masken über dem Circus</x:v>
      </x:c>
      <x:c r="F148" s="168" t="str">
        <x:v>REGULAER</x:v>
      </x:c>
      <x:c r="G148" s="168" t="str">
        <x:v>Historisches Chiaroscuro, mobile-RPG-Questillustration für D2-Q05 „Masken über dem Circus“ (REGULAER). Szene: Ein Triton hat den Aventin mit dem Palatin verwechselt und die Maske beleidigt. Das Team ordnet Figuren, Aussicht und Wasserauslass und gewinnt einen Bonus für die Streitwagenquest. Schauplatz/Ortsfolge: Tritonenbrunnen → Belvedere Romolo E Remo → Maskenbrunnen bei Santa Sabina. Klare Teamlesbarkeit, römische Materialien, gerichtetes warmes Licht, tiefe Schatten, reduzierte aber erkennbare Architektur, freie Zone für UI-Overlay, keine Schrift, kein Logo, keine modernen Gegenstände.</x:v>
      </x:c>
      <x:c r="H148" s="168" t="str">
        <x:v>Statische Szene; keine animierte Figur erforderlich</x:v>
      </x:c>
      <x:c r="I148" s="168" t="str">
        <x:v>STATIC_STARTFRAME</x:v>
      </x:c>
      <x:c r="J148" s="168" t="str"/>
      <x:c r="K148" s="168" t="str">
        <x:v>1280×720 Master + mobile Crops</x:v>
      </x:c>
      <x:c r="L148" s="168" t="str">
        <x:v>EDITORIAL_REVIEW</x:v>
      </x:c>
      <x:c r="M148" s="168" t="str">
        <x:v>Quest Master!AA25</x:v>
      </x:c>
    </x:row>
    <x:row r="149" ht="66" hidden="0" customHeight="1">
      <x:c r="A149" s="168" t="str">
        <x:v>QUEST-ILL:D2-Q06</x:v>
      </x:c>
      <x:c r="B149" s="168" t="str">
        <x:v>QUEST_ILLUSTRATION</x:v>
      </x:c>
      <x:c r="C149" s="168" t="str">
        <x:v>Quest Master!AA</x:v>
      </x:c>
      <x:c r="D149" s="168" t="str">
        <x:v>D2-Q06</x:v>
      </x:c>
      <x:c r="E149" s="168" t="str">
        <x:v>Das steinerne Schiff</x:v>
      </x:c>
      <x:c r="F149" s="168" t="str">
        <x:v>REGULAER</x:v>
      </x:c>
      <x:c r="G149" s="168" t="str">
        <x:v>Historisches Chiaroscuro, mobile-RPG-Questillustration für D2-Q06 „Das steinerne Schiff“ (REGULAER). Szene: Ein Kapitän sitzt mit einem Schiff aus Stein fest. Das Team erkennt Objektform und Ausrichtung und wählt den symbolischen Kurs. Schauplatz/Ortsfolge: Fontana della Navicella. Klare Teamlesbarkeit, römische Materialien, gerichtetes warmes Licht, tiefe Schatten, reduzierte aber erkennbare Architektur, freie Zone für UI-Overlay, keine Schrift, kein Logo, keine modernen Gegenstände.</x:v>
      </x:c>
      <x:c r="H149" s="168" t="str">
        <x:v>Statische Szene; keine animierte Figur erforderlich</x:v>
      </x:c>
      <x:c r="I149" s="168" t="str">
        <x:v>STATIC_STARTFRAME</x:v>
      </x:c>
      <x:c r="J149" s="168" t="str"/>
      <x:c r="K149" s="168" t="str">
        <x:v>1280×720 Master + mobile Crops</x:v>
      </x:c>
      <x:c r="L149" s="168" t="str">
        <x:v>EDITORIAL_REVIEW</x:v>
      </x:c>
      <x:c r="M149" s="168" t="str">
        <x:v>Quest Master!AA26</x:v>
      </x:c>
    </x:row>
    <x:row r="150" ht="79.19999694824219" hidden="0" customHeight="1">
      <x:c r="A150" s="168" t="str">
        <x:v>QUEST-ILL:D2-Q07</x:v>
      </x:c>
      <x:c r="B150" s="168" t="str">
        <x:v>QUEST_ILLUSTRATION</x:v>
      </x:c>
      <x:c r="C150" s="168" t="str">
        <x:v>Quest Master!AA</x:v>
      </x:c>
      <x:c r="D150" s="168" t="str">
        <x:v>D2-Q07</x:v>
      </x:c>
      <x:c r="E150" s="168" t="str">
        <x:v>Sitz der Kirche</x:v>
      </x:c>
      <x:c r="F150" s="168" t="str">
        <x:v>REGULAER</x:v>
      </x:c>
      <x:c r="G150" s="168" t="str">
        <x:v>Historisches Chiaroscuro, mobile-RPG-Questillustration für D2-Q07 „Sitz der Kirche“ (REGULAER). Szene: Sixtus fordert, dass Basilika, Obelisk und Stadttor den Funktionen geistliche Mitte, imperiale Erinnerung und städtischer Zugang zugeordnet werden. Danach entscheidet das Team, welche Funktion geschützt wird. Schauplatz/Ortsfolge: Lateranbasilika → Lateranischer Obelisk → Porta San Giovanni. Klare Teamlesbarkeit, römische Materialien, gerichtetes warmes Licht, tiefe Schatten, reduzierte aber erkennbare Architektur, freie Zone für UI-Overlay, keine Schrift, kein Logo, keine modernen Gegenstände.</x:v>
      </x:c>
      <x:c r="H150" s="168" t="str">
        <x:v>Statische Szene; keine animierte Figur erforderlich</x:v>
      </x:c>
      <x:c r="I150" s="168" t="str">
        <x:v>STATIC_STARTFRAME</x:v>
      </x:c>
      <x:c r="J150" s="168" t="str"/>
      <x:c r="K150" s="168" t="str">
        <x:v>1280×720 Master + mobile Crops</x:v>
      </x:c>
      <x:c r="L150" s="168" t="str">
        <x:v>EDITORIAL_REVIEW</x:v>
      </x:c>
      <x:c r="M150" s="168" t="str">
        <x:v>Quest Master!AA27</x:v>
      </x:c>
    </x:row>
    <x:row r="151" ht="66" hidden="0" customHeight="1">
      <x:c r="A151" s="168" t="str">
        <x:v>QUEST-ILL:D2-Q08</x:v>
      </x:c>
      <x:c r="B151" s="168" t="str">
        <x:v>QUEST_ILLUSTRATION</x:v>
      </x:c>
      <x:c r="C151" s="168" t="str">
        <x:v>Quest Master!AA</x:v>
      </x:c>
      <x:c r="D151" s="168" t="str">
        <x:v>D2-Q08</x:v>
      </x:c>
      <x:c r="E151" s="168" t="str">
        <x:v>Tore der Aurelianischen Mauer</x:v>
      </x:c>
      <x:c r="F151" s="168" t="str">
        <x:v>REGULAER</x:v>
      </x:c>
      <x:c r="G151" s="168" t="str">
        <x:v>Historisches Chiaroscuro, mobile-RPG-Questillustration für D2-Q08 „Tore der Aurelianischen Mauer“ (REGULAER). Szene: Zwischen Porta Latina und Porta Metronia bewegt sich ein Mauerskorpion. Das Team liest Türme und vermauerten Bogen; ein verdecktes Navigationssegment zwingt zur Rollenkommunikation. Schauplatz/Ortsfolge: Porta Latina → Porta Metronia. Klare Teamlesbarkeit, römische Materialien, gerichtetes warmes Licht, tiefe Schatten, reduzierte aber erkennbare Architektur, freie Zone für UI-Overlay, keine Schrift, kein Logo, keine modernen Gegenstände.</x:v>
      </x:c>
      <x:c r="H151" s="168" t="str">
        <x:v>Statische Szene; keine animierte Figur erforderlich</x:v>
      </x:c>
      <x:c r="I151" s="168" t="str">
        <x:v>STATIC_STARTFRAME</x:v>
      </x:c>
      <x:c r="J151" s="168" t="str"/>
      <x:c r="K151" s="168" t="str">
        <x:v>1280×720 Master + mobile Crops</x:v>
      </x:c>
      <x:c r="L151" s="168" t="str">
        <x:v>FIELD_CHECK_REQUIRED</x:v>
      </x:c>
      <x:c r="M151" s="168" t="str">
        <x:v>Quest Master!AA28</x:v>
      </x:c>
    </x:row>
    <x:row r="152" ht="79.19999694824219" hidden="0" customHeight="1">
      <x:c r="A152" s="168" t="str">
        <x:v>QUEST-ILL:D2-Q09</x:v>
      </x:c>
      <x:c r="B152" s="168" t="str">
        <x:v>QUEST_ILLUSTRATION</x:v>
      </x:c>
      <x:c r="C152" s="168" t="str">
        <x:v>Quest Master!AA</x:v>
      </x:c>
      <x:c r="D152" s="168" t="str">
        <x:v>D2-Q09</x:v>
      </x:c>
      <x:c r="E152" s="168" t="str">
        <x:v>Schichten des Esquilino</x:v>
      </x:c>
      <x:c r="F152" s="168" t="str">
        <x:v>REGULAER</x:v>
      </x:c>
      <x:c r="G152" s="168" t="str">
        <x:v>Historisches Chiaroscuro, mobile-RPG-Questillustration für D2-Q09 „Schichten des Esquilino“ (REGULAER). Szene: Drei Zeitschichten geraten durcheinander: Basilikafassade, Obelisk und Ziegelruinen. Das Team klassifiziert Material und Form; der Code LATERES gewährt Widerstand gegen den späteren Schneeboss. Schauplatz/Ortsfolge: Basilika Groß Sankt Marien → Obelisco Esquilino → Thermae Traianae. Klare Teamlesbarkeit, römische Materialien, gerichtetes warmes Licht, tiefe Schatten, reduzierte aber erkennbare Architektur, freie Zone für UI-Overlay, keine Schrift, kein Logo, keine modernen Gegenstände.</x:v>
      </x:c>
      <x:c r="H152" s="168" t="str">
        <x:v>Statische Szene; keine animierte Figur erforderlich</x:v>
      </x:c>
      <x:c r="I152" s="168" t="str">
        <x:v>STATIC_STARTFRAME</x:v>
      </x:c>
      <x:c r="J152" s="168" t="str"/>
      <x:c r="K152" s="168" t="str">
        <x:v>1280×720 Master + mobile Crops</x:v>
      </x:c>
      <x:c r="L152" s="168" t="str">
        <x:v>FIELD_CHECK_REQUIRED</x:v>
      </x:c>
      <x:c r="M152" s="168" t="str">
        <x:v>Quest Master!AA29</x:v>
      </x:c>
    </x:row>
    <x:row r="153" ht="66" hidden="0" customHeight="1">
      <x:c r="A153" s="168" t="str">
        <x:v>QUEST-ILL:D2-Q10</x:v>
      </x:c>
      <x:c r="B153" s="168" t="str">
        <x:v>QUEST_ILLUSTRATION</x:v>
      </x:c>
      <x:c r="C153" s="168" t="str">
        <x:v>Quest Master!AA</x:v>
      </x:c>
      <x:c r="D153" s="168" t="str">
        <x:v>D2-Q10</x:v>
      </x:c>
      <x:c r="E153" s="168" t="str">
        <x:v>Wasser über dem Tor</x:v>
      </x:c>
      <x:c r="F153" s="168" t="str">
        <x:v>REGULAER</x:v>
      </x:c>
      <x:c r="G153" s="168" t="str">
        <x:v>Historisches Chiaroscuro, mobile-RPG-Questillustration für D2-Q10 „Wasser über dem Tor“ (REGULAER). Szene: Eine Hydra sitzt im Doppelbogen und verwechselt Wasserleitungen mit Köpfen. Das Team erkennt Tor und Aquäduktfunktion, setzt eine Bleiplombe ein und entfernt einen Hydrakopf vor dem Kampf. Schauplatz/Ortsfolge: Porta Maggiore und Aqua Claudia. Klare Teamlesbarkeit, römische Materialien, gerichtetes warmes Licht, tiefe Schatten, reduzierte aber erkennbare Architektur, freie Zone für UI-Overlay, keine Schrift, kein Logo, keine modernen Gegenstände.</x:v>
      </x:c>
      <x:c r="H153" s="168" t="str">
        <x:v>Statische Szene; keine animierte Figur erforderlich</x:v>
      </x:c>
      <x:c r="I153" s="168" t="str">
        <x:v>STATIC_STARTFRAME</x:v>
      </x:c>
      <x:c r="J153" s="168" t="str"/>
      <x:c r="K153" s="168" t="str">
        <x:v>1280×720 Master + mobile Crops</x:v>
      </x:c>
      <x:c r="L153" s="168" t="str">
        <x:v>EDITORIAL_REVIEW</x:v>
      </x:c>
      <x:c r="M153" s="168" t="str">
        <x:v>Quest Master!AA30</x:v>
      </x:c>
    </x:row>
    <x:row r="154" ht="66" hidden="0" customHeight="1">
      <x:c r="A154" s="168" t="str">
        <x:v>QUEST-ILL:M-D1-01</x:v>
      </x:c>
      <x:c r="B154" s="168" t="str">
        <x:v>QUEST_ILLUSTRATION</x:v>
      </x:c>
      <x:c r="C154" s="168" t="str">
        <x:v>Quest Master!AA</x:v>
      </x:c>
      <x:c r="D154" s="168" t="str">
        <x:v>M-D1-01</x:v>
      </x:c>
      <x:c r="E154" s="168" t="str">
        <x:v>Foto mit Schweizer Gardist</x:v>
      </x:c>
      <x:c r="F154" s="168" t="str">
        <x:v>MEDIA_LOCAL</x:v>
      </x:c>
      <x:c r="G154" s="168" t="str">
        <x:v>Historisches Chiaroscuro, mobile-RPG-Questillustration für M-D1-01 „Foto mit Schweizer Gardist“ (MEDIA_LOCAL). Szene: Livia benötigt ein respektvolles Teamfoto mit sichtbarem Bezug zur Schweizergarde; kein Gardist muss angesprochen oder zur Pose bewegt werden. Schauplatz/Ortsfolge: Petersplatz. Klare Teamlesbarkeit, römische Materialien, gerichtetes warmes Licht, tiefe Schatten, reduzierte aber erkennbare Architektur, freie Zone für UI-Overlay, keine Schrift, kein Logo, keine modernen Gegenstände.</x:v>
      </x:c>
      <x:c r="H154" s="168" t="str">
        <x:v>Statische Szene; keine animierte Figur erforderlich</x:v>
      </x:c>
      <x:c r="I154" s="168" t="str">
        <x:v>STATIC_STARTFRAME</x:v>
      </x:c>
      <x:c r="J154" s="168" t="str"/>
      <x:c r="K154" s="168" t="str">
        <x:v>1280×720 Master + mobile Crops</x:v>
      </x:c>
      <x:c r="L154" s="168" t="str">
        <x:v>FIELD_CHECK_REQUIRED</x:v>
      </x:c>
      <x:c r="M154" s="168" t="str">
        <x:v>Quest Master!AA31</x:v>
      </x:c>
    </x:row>
    <x:row r="155" ht="52.79999923706055" hidden="0" customHeight="1">
      <x:c r="A155" s="168" t="str">
        <x:v>QUEST-ILL:M-D1-02</x:v>
      </x:c>
      <x:c r="B155" s="168" t="str">
        <x:v>QUEST_ILLUSTRATION</x:v>
      </x:c>
      <x:c r="C155" s="168" t="str">
        <x:v>Quest Master!AA</x:v>
      </x:c>
      <x:c r="D155" s="168" t="str">
        <x:v>M-D1-02</x:v>
      </x:c>
      <x:c r="E155" s="168" t="str">
        <x:v>Wie ein Engel</x:v>
      </x:c>
      <x:c r="F155" s="168" t="str">
        <x:v>MEDIA_LOCAL</x:v>
      </x:c>
      <x:c r="G155" s="168" t="str">
        <x:v>Historisches Chiaroscuro, mobile-RPG-Questillustration für M-D1-02 „Wie ein Engel“ (MEDIA_LOCAL). Szene: Das Team interpretiert eine Engelsfigur auf der Engelsbrücke frei, ohne den schmalen Weg zu blockieren. Schauplatz/Ortsfolge: Engelsbrücke. Klare Teamlesbarkeit, römische Materialien, gerichtetes warmes Licht, tiefe Schatten, reduzierte aber erkennbare Architektur, freie Zone für UI-Overlay, keine Schrift, kein Logo, keine modernen Gegenstände.</x:v>
      </x:c>
      <x:c r="H155" s="168" t="str">
        <x:v>Statische Szene; keine animierte Figur erforderlich</x:v>
      </x:c>
      <x:c r="I155" s="168" t="str">
        <x:v>STATIC_STARTFRAME</x:v>
      </x:c>
      <x:c r="J155" s="168" t="str"/>
      <x:c r="K155" s="168" t="str">
        <x:v>1280×720 Master + mobile Crops</x:v>
      </x:c>
      <x:c r="L155" s="168" t="str">
        <x:v>EDITORIAL_REVIEW</x:v>
      </x:c>
      <x:c r="M155" s="168" t="str">
        <x:v>Quest Master!AA32</x:v>
      </x:c>
    </x:row>
    <x:row r="156" ht="66" hidden="0" customHeight="1">
      <x:c r="A156" s="168" t="str">
        <x:v>QUEST-ILL:M-D1-03</x:v>
      </x:c>
      <x:c r="B156" s="168" t="str">
        <x:v>QUEST_ILLUSTRATION</x:v>
      </x:c>
      <x:c r="C156" s="168" t="str">
        <x:v>Quest Master!AA</x:v>
      </x:c>
      <x:c r="D156" s="168" t="str">
        <x:v>M-D1-03</x:v>
      </x:c>
      <x:c r="E156" s="168" t="str">
        <x:v>Drei Brunnen, drei Figuren</x:v>
      </x:c>
      <x:c r="F156" s="168" t="str">
        <x:v>MEDIA_LOCAL</x:v>
      </x:c>
      <x:c r="G156" s="168" t="str">
        <x:v>Historisches Chiaroscuro, mobile-RPG-Questillustration für M-D1-03 „Drei Brunnen, drei Figuren“ (MEDIA_LOCAL). Szene: Drei Brunnen, drei Figurenposen, drei Bilder. Das Team muss nicht gleichzeitig an allen Punkten sein; jedes Bild wird separat am zugehörigen Brunnen bestätigt. Schauplatz/Ortsfolge: Piazza Navona → Neptunsbrunnen → Mohrenbrunnen. Klare Teamlesbarkeit, römische Materialien, gerichtetes warmes Licht, tiefe Schatten, reduzierte aber erkennbare Architektur, freie Zone für UI-Overlay, keine Schrift, kein Logo, keine modernen Gegenstände.</x:v>
      </x:c>
      <x:c r="H156" s="168" t="str">
        <x:v>Statische Szene; keine animierte Figur erforderlich</x:v>
      </x:c>
      <x:c r="I156" s="168" t="str">
        <x:v>STATIC_STARTFRAME</x:v>
      </x:c>
      <x:c r="J156" s="168" t="str"/>
      <x:c r="K156" s="168" t="str">
        <x:v>1280×720 Master + mobile Crops</x:v>
      </x:c>
      <x:c r="L156" s="168" t="str">
        <x:v>EDITORIAL_REVIEW</x:v>
      </x:c>
      <x:c r="M156" s="168" t="str">
        <x:v>Quest Master!AA33</x:v>
      </x:c>
    </x:row>
    <x:row r="157" ht="66" hidden="0" customHeight="1">
      <x:c r="A157" s="168" t="str">
        <x:v>QUEST-ILL:M-LT-01</x:v>
      </x:c>
      <x:c r="B157" s="168" t="str">
        <x:v>QUEST_ILLUSTRATION</x:v>
      </x:c>
      <x:c r="C157" s="168" t="str">
        <x:v>Quest Master!AA</x:v>
      </x:c>
      <x:c r="D157" s="168" t="str">
        <x:v>M-LT-01</x:v>
      </x:c>
      <x:c r="E157" s="168" t="str">
        <x:v>Roma in zwölf Bildern</x:v>
      </x:c>
      <x:c r="F157" s="168" t="str">
        <x:v>MEDIA_LANGZEIT</x:v>
      </x:c>
      <x:c r="G157" s="168" t="str">
        <x:v>Historisches Chiaroscuro, mobile-RPG-Questillustration für M-LT-01 „Roma in zwölf Bildern“ (MEDIA_LANGZEIT). Szene: Über beide Tage entsteht eine Geschichte in maximal zwölf Bildern. Jede im Team vorhandene Klasse muss erkennbar handeln; der Abschluss erfolgt nach manueller GM-Prüfung. Schauplatz/Ortsfolge: Marcellustheater. Klare Teamlesbarkeit, römische Materialien, gerichtetes warmes Licht, tiefe Schatten, reduzierte aber erkennbare Architektur, freie Zone für UI-Overlay, keine Schrift, kein Logo, keine modernen Gegenstände.</x:v>
      </x:c>
      <x:c r="H157" s="168" t="str">
        <x:v>Statische Szene; keine animierte Figur erforderlich</x:v>
      </x:c>
      <x:c r="I157" s="168" t="str">
        <x:v>STATIC_STARTFRAME</x:v>
      </x:c>
      <x:c r="J157" s="168" t="str"/>
      <x:c r="K157" s="168" t="str">
        <x:v>1280×720 Master + mobile Crops</x:v>
      </x:c>
      <x:c r="L157" s="168" t="str">
        <x:v>EDITORIAL_REVIEW</x:v>
      </x:c>
      <x:c r="M157" s="168" t="str">
        <x:v>Quest Master!AA34</x:v>
      </x:c>
    </x:row>
    <x:row r="158" ht="66" hidden="0" customHeight="1">
      <x:c r="A158" s="168" t="str">
        <x:v>QUEST-ILL:M-D2-01</x:v>
      </x:c>
      <x:c r="B158" s="168" t="str">
        <x:v>QUEST_ILLUSTRATION</x:v>
      </x:c>
      <x:c r="C158" s="168" t="str">
        <x:v>Quest Master!AA</x:v>
      </x:c>
      <x:c r="D158" s="168" t="str">
        <x:v>M-D2-01</x:v>
      </x:c>
      <x:c r="E158" s="168" t="str">
        <x:v>Streitwagenrennen</x:v>
      </x:c>
      <x:c r="F158" s="168" t="str">
        <x:v>MEDIA_LOCAL</x:v>
      </x:c>
      <x:c r="G158" s="168" t="str">
        <x:v>Historisches Chiaroscuro, mobile-RPG-Questillustration für M-D2-01 „Streitwagenrennen“ (MEDIA_LOCAL). Szene: Ein Streitwagenrennen wird als zusammenhängender Akt in exakt fünf Bildern inszeniert – ohne echtes Rennen und auf einer sicheren Laufrichtung. Schauplatz/Ortsfolge: Circus Maximus. Klare Teamlesbarkeit, römische Materialien, gerichtetes warmes Licht, tiefe Schatten, reduzierte aber erkennbare Architektur, freie Zone für UI-Overlay, keine Schrift, kein Logo, keine modernen Gegenstände.</x:v>
      </x:c>
      <x:c r="H158" s="168" t="str">
        <x:v>Statische Szene; keine animierte Figur erforderlich</x:v>
      </x:c>
      <x:c r="I158" s="168" t="str">
        <x:v>STATIC_STARTFRAME</x:v>
      </x:c>
      <x:c r="J158" s="168" t="str"/>
      <x:c r="K158" s="168" t="str">
        <x:v>1280×720 Master + mobile Crops</x:v>
      </x:c>
      <x:c r="L158" s="168" t="str">
        <x:v>EDITORIAL_REVIEW</x:v>
      </x:c>
      <x:c r="M158" s="168" t="str">
        <x:v>Quest Master!AA35</x:v>
      </x:c>
    </x:row>
    <x:row r="159" ht="66" hidden="0" customHeight="1">
      <x:c r="A159" s="168" t="str">
        <x:v>QUEST-ILL:M-D2-02</x:v>
      </x:c>
      <x:c r="B159" s="168" t="str">
        <x:v>QUEST_ILLUSTRATION</x:v>
      </x:c>
      <x:c r="C159" s="168" t="str">
        <x:v>Quest Master!AA</x:v>
      </x:c>
      <x:c r="D159" s="168" t="str">
        <x:v>M-D2-02</x:v>
      </x:c>
      <x:c r="E159" s="168" t="str">
        <x:v>Gladiatorenkampf</x:v>
      </x:c>
      <x:c r="F159" s="168" t="str">
        <x:v>MEDIA_LOCAL</x:v>
      </x:c>
      <x:c r="G159" s="168" t="str">
        <x:v>Historisches Chiaroscuro, mobile-RPG-Questillustration für M-D2-02 „Gladiatorenkampf“ (MEDIA_LOCAL). Szene: Drei Bilder erzählen einen Gladiatorenkampf: Herausforderung, Wendepunkt, Gnade. Reale Schläge, Waffenbewegungen und Engstellen sind ausgeschlossen. Schauplatz/Ortsfolge: Kolosseum. Klare Teamlesbarkeit, römische Materialien, gerichtetes warmes Licht, tiefe Schatten, reduzierte aber erkennbare Architektur, freie Zone für UI-Overlay, keine Schrift, kein Logo, keine modernen Gegenstände.</x:v>
      </x:c>
      <x:c r="H159" s="168" t="str">
        <x:v>Statische Szene; keine animierte Figur erforderlich</x:v>
      </x:c>
      <x:c r="I159" s="168" t="str">
        <x:v>STATIC_STARTFRAME</x:v>
      </x:c>
      <x:c r="J159" s="168" t="str"/>
      <x:c r="K159" s="168" t="str">
        <x:v>1280×720 Master + mobile Crops</x:v>
      </x:c>
      <x:c r="L159" s="168" t="str">
        <x:v>EDITORIAL_REVIEW</x:v>
      </x:c>
      <x:c r="M159" s="168" t="str">
        <x:v>Quest Master!AA36</x:v>
      </x:c>
    </x:row>
    <x:row r="160" ht="66" hidden="0" customHeight="1">
      <x:c r="A160" s="168" t="str">
        <x:v>QUEST-ILL:M-D2-03</x:v>
      </x:c>
      <x:c r="B160" s="168" t="str">
        <x:v>QUEST_ILLUSTRATION</x:v>
      </x:c>
      <x:c r="C160" s="168" t="str">
        <x:v>Quest Master!AA</x:v>
      </x:c>
      <x:c r="D160" s="168" t="str">
        <x:v>M-D2-03</x:v>
      </x:c>
      <x:c r="E160" s="168" t="str">
        <x:v>Souvenirreview</x:v>
      </x:c>
      <x:c r="F160" s="168" t="str">
        <x:v>MEDIA_LOCAL</x:v>
      </x:c>
      <x:c r="G160" s="168" t="str">
        <x:v>Historisches Chiaroscuro, mobile-RPG-Questillustration für M-D2-03 „Souvenirreview“ (MEDIA_LOCAL). Szene: Das Team produziert ein 30–60-sekündiges Souvenirreview. Der Gegenstand darf anderswo gekauft sein, kostet höchstens fünf Euro und wird am öffentlichen Außenpunkt der Trajansmärkte präsentiert. Schauplatz/Ortsfolge: Trajansmärkte. Klare Teamlesbarkeit, römische Materialien, gerichtetes warmes Licht, tiefe Schatten, reduzierte aber erkennbare Architektur, freie Zone für UI-Overlay, keine Schrift, kein Logo, keine modernen Gegenstände.</x:v>
      </x:c>
      <x:c r="H160" s="168" t="str">
        <x:v>Statische Szene; keine animierte Figur erforderlich</x:v>
      </x:c>
      <x:c r="I160" s="168" t="str">
        <x:v>STATIC_STARTFRAME</x:v>
      </x:c>
      <x:c r="J160" s="168" t="str"/>
      <x:c r="K160" s="168" t="str">
        <x:v>1280×720 Master + mobile Crops</x:v>
      </x:c>
      <x:c r="L160" s="168" t="str">
        <x:v>EDITORIAL_REVIEW</x:v>
      </x:c>
      <x:c r="M160" s="168" t="str">
        <x:v>Quest Master!AA37</x:v>
      </x:c>
    </x:row>
    <x:row r="161" ht="52.79999923706055" hidden="0" customHeight="1">
      <x:c r="A161" s="168" t="str">
        <x:v>QUEST-ILL:H-D1-01</x:v>
      </x:c>
      <x:c r="B161" s="168" t="str">
        <x:v>QUEST_ILLUSTRATION</x:v>
      </x:c>
      <x:c r="C161" s="168" t="str">
        <x:v>Quest Master!AA</x:v>
      </x:c>
      <x:c r="D161" s="168" t="str">
        <x:v>H-D1-01</x:v>
      </x:c>
      <x:c r="E161" s="168" t="str">
        <x:v>Die Schildkröten wachen</x:v>
      </x:c>
      <x:c r="F161" s="168" t="str">
        <x:v>HIDDEN</x:v>
      </x:c>
      <x:c r="G161" s="168" t="str">
        <x:v>Historisches Chiaroscuro, mobile-RPG-Questillustration für H-D1-01 „Die Schildkröten wachen“ (HIDDEN). Szene: Wer alle vier Schildkröten zählt, weckt die vierte Stimme und einen kurzen Wächterkampf. Schauplatz/Ortsfolge: Fontana delle Tartarughe. Klare Teamlesbarkeit, römische Materialien, gerichtetes warmes Licht, tiefe Schatten, reduzierte aber erkennbare Architektur, freie Zone für UI-Overlay, keine Schrift, kein Logo, keine modernen Gegenstände.</x:v>
      </x:c>
      <x:c r="H161" s="168" t="str">
        <x:v>Statische Szene; keine animierte Figur erforderlich</x:v>
      </x:c>
      <x:c r="I161" s="168" t="str">
        <x:v>STATIC_STARTFRAME</x:v>
      </x:c>
      <x:c r="J161" s="168" t="str"/>
      <x:c r="K161" s="168" t="str">
        <x:v>1280×720 Master + mobile Crops</x:v>
      </x:c>
      <x:c r="L161" s="168" t="str">
        <x:v>EDITORIAL_REVIEW</x:v>
      </x:c>
      <x:c r="M161" s="168" t="str">
        <x:v>Quest Master!AA38</x:v>
      </x:c>
    </x:row>
    <x:row r="162" ht="66" hidden="0" customHeight="1">
      <x:c r="A162" s="168" t="str">
        <x:v>QUEST-ILL:H-D1-02</x:v>
      </x:c>
      <x:c r="B162" s="168" t="str">
        <x:v>QUEST_ILLUSTRATION</x:v>
      </x:c>
      <x:c r="C162" s="168" t="str">
        <x:v>Quest Master!AA</x:v>
      </x:c>
      <x:c r="D162" s="168" t="str">
        <x:v>H-D1-02</x:v>
      </x:c>
      <x:c r="E162" s="168" t="str">
        <x:v>Ratte des Aquädukts</x:v>
      </x:c>
      <x:c r="F162" s="168" t="str">
        <x:v>HIDDEN</x:v>
      </x:c>
      <x:c r="G162" s="168" t="str">
        <x:v>Historisches Chiaroscuro, mobile-RPG-Questillustration für H-D1-02 „Ratte des Aquädukts“ (HIDDEN). Szene: Die verdeckten Arkaden verraten das Versteck der Kanalratte. Eine richtige Zählung schwächt ihre Ausweichfähigkeit. Schauplatz/Ortsfolge: Acquedotto Vergine. Klare Teamlesbarkeit, römische Materialien, gerichtetes warmes Licht, tiefe Schatten, reduzierte aber erkennbare Architektur, freie Zone für UI-Overlay, keine Schrift, kein Logo, keine modernen Gegenstände.</x:v>
      </x:c>
      <x:c r="H162" s="168" t="str">
        <x:v>Statische Szene; keine animierte Figur erforderlich</x:v>
      </x:c>
      <x:c r="I162" s="168" t="str">
        <x:v>STATIC_STARTFRAME</x:v>
      </x:c>
      <x:c r="J162" s="168" t="str"/>
      <x:c r="K162" s="168" t="str">
        <x:v>1280×720 Master + mobile Crops</x:v>
      </x:c>
      <x:c r="L162" s="168" t="str">
        <x:v>FIELD_CHECK_REQUIRED</x:v>
      </x:c>
      <x:c r="M162" s="168" t="str">
        <x:v>Quest Master!AA39</x:v>
      </x:c>
    </x:row>
    <x:row r="163" ht="66" hidden="0" customHeight="1">
      <x:c r="A163" s="168" t="str">
        <x:v>QUEST-ILL:H-D1-03</x:v>
      </x:c>
      <x:c r="B163" s="168" t="str">
        <x:v>QUEST_ILLUSTRATION</x:v>
      </x:c>
      <x:c r="C163" s="168" t="str">
        <x:v>Quest Master!AA</x:v>
      </x:c>
      <x:c r="D163" s="168" t="str">
        <x:v>H-D1-03</x:v>
      </x:c>
      <x:c r="E163" s="168" t="str">
        <x:v>Die Satirelli</x:v>
      </x:c>
      <x:c r="F163" s="168" t="str">
        <x:v>HIDDEN</x:v>
      </x:c>
      <x:c r="G163" s="168" t="str">
        <x:v>Historisches Chiaroscuro, mobile-RPG-Questillustration für H-D1-03 „Die Satirelli“ (HIDDEN). Szene: Zwei Satyrn streiten, wer auf der Felsinszenierung wohin gehört. Das Team ordnet ihre Merkmale und entscheidet, ob es zum kurzen Kampf kommt. Schauplatz/Ortsfolge: Fontana dei Satirelli. Klare Teamlesbarkeit, römische Materialien, gerichtetes warmes Licht, tiefe Schatten, reduzierte aber erkennbare Architektur, freie Zone für UI-Overlay, keine Schrift, kein Logo, keine modernen Gegenstände.</x:v>
      </x:c>
      <x:c r="H163" s="168" t="str">
        <x:v>Statische Szene; keine animierte Figur erforderlich</x:v>
      </x:c>
      <x:c r="I163" s="168" t="str">
        <x:v>STATIC_STARTFRAME</x:v>
      </x:c>
      <x:c r="J163" s="168" t="str"/>
      <x:c r="K163" s="168" t="str">
        <x:v>1280×720 Master + mobile Crops</x:v>
      </x:c>
      <x:c r="L163" s="168" t="str">
        <x:v>FIELD_CHECK_REQUIRED</x:v>
      </x:c>
      <x:c r="M163" s="168" t="str">
        <x:v>Quest Master!AA40</x:v>
      </x:c>
    </x:row>
    <x:row r="164" ht="66" hidden="0" customHeight="1">
      <x:c r="A164" s="168" t="str">
        <x:v>QUEST-ILL:H-D2-01</x:v>
      </x:c>
      <x:c r="B164" s="168" t="str">
        <x:v>QUEST_ILLUSTRATION</x:v>
      </x:c>
      <x:c r="C164" s="168" t="str">
        <x:v>Quest Master!AA</x:v>
      </x:c>
      <x:c r="D164" s="168" t="str">
        <x:v>H-D2-01</x:v>
      </x:c>
      <x:c r="E164" s="168" t="str">
        <x:v>Wächter der Porta Magica</x:v>
      </x:c>
      <x:c r="F164" s="168" t="str">
        <x:v>HIDDEN</x:v>
      </x:c>
      <x:c r="G164" s="168" t="str">
        <x:v>Historisches Chiaroscuro, mobile-RPG-Questillustration für H-D2-01 „Wächter der Porta Magica“ (HIDDEN). Szene: Zwei Steinwächter bewachen eine alchemistische Zuordnung. Die Quest bleibt kurz und nutzt nur eindeutig sichtbare Großformen. Schauplatz/Ortsfolge: Piazza Vittorio Emanuele Secondo. Klare Teamlesbarkeit, römische Materialien, gerichtetes warmes Licht, tiefe Schatten, reduzierte aber erkennbare Architektur, freie Zone für UI-Overlay, keine Schrift, kein Logo, keine modernen Gegenstände.</x:v>
      </x:c>
      <x:c r="H164" s="168" t="str">
        <x:v>Statische Szene; keine animierte Figur erforderlich</x:v>
      </x:c>
      <x:c r="I164" s="168" t="str">
        <x:v>STATIC_STARTFRAME</x:v>
      </x:c>
      <x:c r="J164" s="168" t="str"/>
      <x:c r="K164" s="168" t="str">
        <x:v>1280×720 Master + mobile Crops</x:v>
      </x:c>
      <x:c r="L164" s="168" t="str">
        <x:v>FIELD_CHECK_REQUIRED</x:v>
      </x:c>
      <x:c r="M164" s="168" t="str">
        <x:v>Quest Master!AA41</x:v>
      </x:c>
    </x:row>
    <x:row r="165" ht="52.79999923706055" hidden="0" customHeight="1">
      <x:c r="A165" s="168" t="str">
        <x:v>QUEST-ILL:H-D2-02</x:v>
      </x:c>
      <x:c r="B165" s="168" t="str">
        <x:v>QUEST_ILLUSTRATION</x:v>
      </x:c>
      <x:c r="C165" s="168" t="str">
        <x:v>Quest Master!AA</x:v>
      </x:c>
      <x:c r="D165" s="168" t="str">
        <x:v>H-D2-02</x:v>
      </x:c>
      <x:c r="E165" s="168" t="str">
        <x:v>Dantes Windrose</x:v>
      </x:c>
      <x:c r="F165" s="168" t="str">
        <x:v>HIDDEN</x:v>
      </x:c>
      <x:c r="G165" s="168" t="str">
        <x:v>Historisches Chiaroscuro, mobile-RPG-Questillustration für H-D2-02 „Dantes Windrose“ (HIDDEN). Szene: Die Windrose gibt eine kurze Richtungs- und Texteingabe. Falsche Antworten wecken optional den Custode dell’Inferno. Schauplatz/Ortsfolge: Piazza Dante. Klare Teamlesbarkeit, römische Materialien, gerichtetes warmes Licht, tiefe Schatten, reduzierte aber erkennbare Architektur, freie Zone für UI-Overlay, keine Schrift, kein Logo, keine modernen Gegenstände.</x:v>
      </x:c>
      <x:c r="H165" s="168" t="str">
        <x:v>Statische Szene; keine animierte Figur erforderlich</x:v>
      </x:c>
      <x:c r="I165" s="168" t="str">
        <x:v>STATIC_STARTFRAME</x:v>
      </x:c>
      <x:c r="J165" s="168" t="str"/>
      <x:c r="K165" s="168" t="str">
        <x:v>1280×720 Master + mobile Crops</x:v>
      </x:c>
      <x:c r="L165" s="168" t="str">
        <x:v>FIELD_CHECK_REQUIRED</x:v>
      </x:c>
      <x:c r="M165" s="168" t="str">
        <x:v>Quest Master!AA42</x:v>
      </x:c>
    </x:row>
    <x:row r="166" ht="66" hidden="0" customHeight="1">
      <x:c r="A166" s="168" t="str">
        <x:v>QUEST-ILL:B-D1-01</x:v>
      </x:c>
      <x:c r="B166" s="168" t="str">
        <x:v>QUEST_ILLUSTRATION</x:v>
      </x:c>
      <x:c r="C166" s="168" t="str">
        <x:v>Quest Master!AA</x:v>
      </x:c>
      <x:c r="D166" s="168" t="str">
        <x:v>B-D1-01</x:v>
      </x:c>
      <x:c r="E166" s="168" t="str">
        <x:v>Il Cannoniere del Gianicolo</x:v>
      </x:c>
      <x:c r="F166" s="168" t="str">
        <x:v>WORLD_BOSS</x:v>
      </x:c>
      <x:c r="G166" s="168" t="str">
        <x:v>Historisches Chiaroscuro, mobile-RPG-Questillustration für B-D1-01 „Il Cannoniere del Gianicolo“ (WORLD_BOSS). Szene: Globaler E-Boss auf dem Gianicolo. Alle Teams kämpfen in derselben Weltinstanz; Mechaniken prüfen Deckung, Teamkoordination und rechtzeitige Reaktion. Schauplatz/Ortsfolge: Terrazza del Gianicolo. Klare Teamlesbarkeit, römische Materialien, gerichtetes warmes Licht, tiefe Schatten, reduzierte aber erkennbare Architektur, freie Zone für UI-Overlay, keine Schrift, kein Logo, keine modernen Gegenstände.</x:v>
      </x:c>
      <x:c r="H166" s="168" t="str">
        <x:v>Statische Szene; keine animierte Figur erforderlich</x:v>
      </x:c>
      <x:c r="I166" s="168" t="str">
        <x:v>STATIC_STARTFRAME</x:v>
      </x:c>
      <x:c r="J166" s="168" t="str"/>
      <x:c r="K166" s="168" t="str">
        <x:v>1280×720 Master + mobile Crops</x:v>
      </x:c>
      <x:c r="L166" s="168" t="str">
        <x:v>EDITORIAL_REVIEW</x:v>
      </x:c>
      <x:c r="M166" s="168" t="str">
        <x:v>Quest Master!AA43</x:v>
      </x:c>
    </x:row>
    <x:row r="167" ht="66" hidden="0" customHeight="1">
      <x:c r="A167" s="168" t="str">
        <x:v>QUEST-ILL:B-D2-01</x:v>
      </x:c>
      <x:c r="B167" s="168" t="str">
        <x:v>QUEST_ILLUSTRATION</x:v>
      </x:c>
      <x:c r="C167" s="168" t="str">
        <x:v>Quest Master!AA</x:v>
      </x:c>
      <x:c r="D167" s="168" t="str">
        <x:v>B-D2-01</x:v>
      </x:c>
      <x:c r="E167" s="168" t="str">
        <x:v>Custode della Neve</x:v>
      </x:c>
      <x:c r="F167" s="168" t="str">
        <x:v>WORLD_BOSS</x:v>
      </x:c>
      <x:c r="G167" s="168" t="str">
        <x:v>Historisches Chiaroscuro, mobile-RPG-Questillustration für B-D2-01 „Custode della Neve“ (WORLD_BOSS). Szene: Globaler L-Boss vor Santa Maria Maggiore. Die Schneegeschichte ist ausdrücklich Legendenrahmung. Questboni aus dem Esquilino schwächen Erinnerungseis und eröffnen Teamfenster. Schauplatz/Ortsfolge: Basilika Groß Sankt Marien. Klare Teamlesbarkeit, römische Materialien, gerichtetes warmes Licht, tiefe Schatten, reduzierte aber erkennbare Architektur, freie Zone für UI-Overlay, keine Schrift, kein Logo, keine modernen Gegenstände.</x:v>
      </x:c>
      <x:c r="H167" s="168" t="str">
        <x:v>Statische Szene; keine animierte Figur erforderlich</x:v>
      </x:c>
      <x:c r="I167" s="168" t="str">
        <x:v>STATIC_STARTFRAME</x:v>
      </x:c>
      <x:c r="J167" s="168" t="str"/>
      <x:c r="K167" s="168" t="str">
        <x:v>1280×720 Master + mobile Crops</x:v>
      </x:c>
      <x:c r="L167" s="168" t="str">
        <x:v>FIELD_CHECK_REQUIRED</x:v>
      </x:c>
      <x:c r="M167" s="168" t="str">
        <x:v>Quest Master!AA44</x:v>
      </x:c>
    </x:row>
    <x:row r="168" ht="39.599998474121094" hidden="0" customHeight="1">
      <x:c r="A168" s="168" t="str">
        <x:v>CLASS-SCHWEIZER-GARDIST</x:v>
      </x:c>
      <x:c r="B168" s="168" t="str">
        <x:v>CLASS_KEY_ART</x:v>
      </x:c>
      <x:c r="C168" s="168" t="str">
        <x:v>GDD §42.4</x:v>
      </x:c>
      <x:c r="D168" s="168" t="str">
        <x:v>CLASS-SCHWEIZER-GARDIST</x:v>
      </x:c>
      <x:c r="E168" s="168" t="str">
        <x:v>Schweizer Gardist</x:v>
      </x:c>
      <x:c r="F168" s="168" t="str">
        <x:v>KEY_ART</x:v>
      </x:c>
      <x:c r="G168" s="168" t="str">
        <x:v>Historisches Chiaroscuro, mobile-RPG-Klassenbild. Aufrechter Verteidiger mit Hellebarde, blau-gelb-roter Uniform, dunkler Brustharnisch, warmes Gegenlicht, klare Schutzsilhouette. Klare Silhouette, keine Schrift, kein Logo, keine modernen Gegenstände.</x:v>
      </x:c>
      <x:c r="H168" s="168" t="str">
        <x:v>Klassenrolle sichtbar durch Körperhaltung und Ausrüstung</x:v>
      </x:c>
      <x:c r="I168" s="168" t="str">
        <x:v>STATIC_STARTFRAME</x:v>
      </x:c>
      <x:c r="J168" s="168" t="str"/>
      <x:c r="K168" s="168" t="str">
        <x:v>1280×720 Master + mobile Crops</x:v>
      </x:c>
      <x:c r="L168" s="168" t="str">
        <x:v>EDITORIAL_REVIEW</x:v>
      </x:c>
      <x:c r="M168" s="168" t="str">
        <x:v>GDD §42.4</x:v>
      </x:c>
    </x:row>
    <x:row r="169" ht="39.599998474121094" hidden="0" customHeight="1">
      <x:c r="A169" s="168" t="str">
        <x:v>CLASS-NONNE-MOENCH</x:v>
      </x:c>
      <x:c r="B169" s="168" t="str">
        <x:v>CLASS_KEY_ART</x:v>
      </x:c>
      <x:c r="C169" s="168" t="str">
        <x:v>GDD §42.4</x:v>
      </x:c>
      <x:c r="D169" s="168" t="str">
        <x:v>CLASS-NONNE-MOENCH</x:v>
      </x:c>
      <x:c r="E169" s="168" t="str">
        <x:v>Nonne/Mönch</x:v>
      </x:c>
      <x:c r="F169" s="168" t="str">
        <x:v>KEY_ART</x:v>
      </x:c>
      <x:c r="G169" s="168" t="str">
        <x:v>Historisches Chiaroscuro, mobile-RPG-Klassenbild. Ruhige heilende Ordensfigur in cremefarbenem Gewand, Reisebeutel und Relikt, schützende Hände, warmes Licht und tiefe Schatten. Klare Silhouette, keine Schrift, kein Logo, keine modernen Gegenstände.</x:v>
      </x:c>
      <x:c r="H169" s="168" t="str">
        <x:v>Klassenrolle sichtbar durch Körperhaltung und Ausrüstung</x:v>
      </x:c>
      <x:c r="I169" s="168" t="str">
        <x:v>STATIC_STARTFRAME</x:v>
      </x:c>
      <x:c r="J169" s="168" t="str"/>
      <x:c r="K169" s="168" t="str">
        <x:v>1280×720 Master + mobile Crops</x:v>
      </x:c>
      <x:c r="L169" s="168" t="str">
        <x:v>EDITORIAL_REVIEW</x:v>
      </x:c>
      <x:c r="M169" s="168" t="str">
        <x:v>GDD §42.4</x:v>
      </x:c>
    </x:row>
    <x:row r="170" ht="39.599998474121094" hidden="0" customHeight="1">
      <x:c r="A170" s="168" t="str">
        <x:v>CLASS-BILDHAUER</x:v>
      </x:c>
      <x:c r="B170" s="168" t="str">
        <x:v>CLASS_KEY_ART</x:v>
      </x:c>
      <x:c r="C170" s="168" t="str">
        <x:v>GDD §42.4</x:v>
      </x:c>
      <x:c r="D170" s="168" t="str">
        <x:v>CLASS-BILDHAUER</x:v>
      </x:c>
      <x:c r="E170" s="168" t="str">
        <x:v>Bildhauer</x:v>
      </x:c>
      <x:c r="F170" s="168" t="str">
        <x:v>KEY_ART</x:v>
      </x:c>
      <x:c r="G170" s="168" t="str">
        <x:v>Historisches Chiaroscuro, mobile-RPG-Klassenbild. Kreativer Nahkämpfer mit Meißel, Skizzenbuch und staubiger Lederschürze, energische Handhaltung, Bronze- und Steinakzente. Klare Silhouette, keine Schrift, kein Logo, keine modernen Gegenstände.</x:v>
      </x:c>
      <x:c r="H170" s="168" t="str">
        <x:v>Klassenrolle sichtbar durch Körperhaltung und Ausrüstung</x:v>
      </x:c>
      <x:c r="I170" s="168" t="str">
        <x:v>STATIC_STARTFRAME</x:v>
      </x:c>
      <x:c r="J170" s="168" t="str"/>
      <x:c r="K170" s="168" t="str">
        <x:v>1280×720 Master + mobile Crops</x:v>
      </x:c>
      <x:c r="L170" s="168" t="str">
        <x:v>EDITORIAL_REVIEW</x:v>
      </x:c>
      <x:c r="M170" s="168" t="str">
        <x:v>GDD §42.4</x:v>
      </x:c>
    </x:row>
    <x:row r="171" ht="39.599998474121094" hidden="0" customHeight="1">
      <x:c r="A171" s="168" t="str">
        <x:v>CLASS-CONDOTTIERE</x:v>
      </x:c>
      <x:c r="B171" s="168" t="str">
        <x:v>CLASS_KEY_ART</x:v>
      </x:c>
      <x:c r="C171" s="168" t="str">
        <x:v>GDD §42.4</x:v>
      </x:c>
      <x:c r="D171" s="168" t="str">
        <x:v>CLASS-CONDOTTIERE</x:v>
      </x:c>
      <x:c r="E171" s="168" t="str">
        <x:v>Condottiere</x:v>
      </x:c>
      <x:c r="F171" s="168" t="str">
        <x:v>KEY_ART</x:v>
      </x:c>
      <x:c r="G171" s="168" t="str">
        <x:v>Historisches Chiaroscuro, mobile-RPG-Klassenbild. Taktischer Söldner mit dunkler Plattenrüstung, scharlachrotem Mantel und Kartenrolle, kontrollierte Duellpose, gerichtetes Licht. Klare Silhouette, keine Schrift, kein Logo, keine modernen Gegenstände.</x:v>
      </x:c>
      <x:c r="H171" s="168" t="str">
        <x:v>Klassenrolle sichtbar durch Körperhaltung und Ausrüstung</x:v>
      </x:c>
      <x:c r="I171" s="168" t="str">
        <x:v>STATIC_STARTFRAME</x:v>
      </x:c>
      <x:c r="J171" s="168" t="str"/>
      <x:c r="K171" s="168" t="str">
        <x:v>1280×720 Master + mobile Crops</x:v>
      </x:c>
      <x:c r="L171" s="168" t="str">
        <x:v>EDITORIAL_REVIEW</x:v>
      </x:c>
      <x:c r="M171" s="168" t="str">
        <x:v>GDD §42.4</x:v>
      </x:c>
    </x:row>
    <x:row r="172" ht="39.599998474121094" hidden="0" customHeight="1">
      <x:c r="A172" s="168" t="str">
        <x:v>PRESTIGE-RANK-EMBLEM</x:v>
      </x:c>
      <x:c r="B172" s="168" t="str">
        <x:v>PRESTIGE_ART</x:v>
      </x:c>
      <x:c r="C172" s="168" t="str">
        <x:v>GDD §42.5/42.6</x:v>
      </x:c>
      <x:c r="D172" s="168" t="str">
        <x:v>PRESTIGE-RANK-EMBLEM</x:v>
      </x:c>
      <x:c r="E172" s="168" t="str">
        <x:v>PRESTIGE-RANK-EMBLEM</x:v>
      </x:c>
      <x:c r="F172" s="168" t="str">
        <x:v>KEY_ART</x:v>
      </x:c>
      <x:c r="G172" s="168" t="str">
        <x:v>Historisches Chiaroscuro beziehungsweise Marmor/Bronze gemäss Rolle. Rangabzeichen aus hellem Marmor mit bronzenem Relief und kleinem antikem Goldakzent. Keine Schrift im generierten Motiv, keine Logos, ausreichend freie UI-Zone.</x:v>
      </x:c>
      <x:c r="H172" s="168" t="str">
        <x:v>Statisches Motiv</x:v>
      </x:c>
      <x:c r="I172" s="168" t="str">
        <x:v>STATIC_STARTFRAME</x:v>
      </x:c>
      <x:c r="J172" s="168" t="str"/>
      <x:c r="K172" s="168" t="str">
        <x:v>1280×720 Master + mobile Crops</x:v>
      </x:c>
      <x:c r="L172" s="168" t="str">
        <x:v>EDITORIAL_REVIEW</x:v>
      </x:c>
      <x:c r="M172" s="168" t="str">
        <x:v>GDD §42.5–42.6</x:v>
      </x:c>
    </x:row>
    <x:row r="173" ht="26.399999618530273" hidden="0" customHeight="1">
      <x:c r="A173" s="168" t="str">
        <x:v>PRESTIGE-ACHIEVEMENT-MEDAL</x:v>
      </x:c>
      <x:c r="B173" s="168" t="str">
        <x:v>PRESTIGE_ART</x:v>
      </x:c>
      <x:c r="C173" s="168" t="str">
        <x:v>GDD §42.5/42.6</x:v>
      </x:c>
      <x:c r="D173" s="168" t="str">
        <x:v>PRESTIGE-ACHIEVEMENT-MEDAL</x:v>
      </x:c>
      <x:c r="E173" s="168" t="str">
        <x:v>PRESTIGE-ACHIEVEMENT-MEDAL</x:v>
      </x:c>
      <x:c r="F173" s="168" t="str">
        <x:v>KEY_ART</x:v>
      </x:c>
      <x:c r="G173" s="168" t="str">
        <x:v>Historisches Chiaroscuro beziehungsweise Marmor/Bronze gemäss Rolle. Bronzene Medaille auf ruhiger Marmorplatte, gravierte Symbolform ohne lesbaren Text. Keine Schrift im generierten Motiv, keine Logos, ausreichend freie UI-Zone.</x:v>
      </x:c>
      <x:c r="H173" s="168" t="str">
        <x:v>Statisches Motiv</x:v>
      </x:c>
      <x:c r="I173" s="168" t="str">
        <x:v>STATIC_STARTFRAME</x:v>
      </x:c>
      <x:c r="J173" s="168" t="str"/>
      <x:c r="K173" s="168" t="str">
        <x:v>1280×720 Master + mobile Crops</x:v>
      </x:c>
      <x:c r="L173" s="168" t="str">
        <x:v>EDITORIAL_REVIEW</x:v>
      </x:c>
      <x:c r="M173" s="168" t="str">
        <x:v>GDD §42.5–42.6</x:v>
      </x:c>
    </x:row>
    <x:row r="174" ht="39.599998474121094" hidden="0" customHeight="1">
      <x:c r="A174" s="168" t="str">
        <x:v>EVENT-DAY1-GIANICOLO</x:v>
      </x:c>
      <x:c r="B174" s="168" t="str">
        <x:v>EVENT_IMAGE</x:v>
      </x:c>
      <x:c r="C174" s="168" t="str">
        <x:v>GDD §42.5/42.6</x:v>
      </x:c>
      <x:c r="D174" s="168" t="str">
        <x:v>EVENT-DAY1-GIANICOLO</x:v>
      </x:c>
      <x:c r="E174" s="168" t="str">
        <x:v>EVENT-DAY1-GIANICOLO</x:v>
      </x:c>
      <x:c r="F174" s="168" t="str">
        <x:v>KEY_ART</x:v>
      </x:c>
      <x:c r="G174" s="168" t="str">
        <x:v>Historisches Chiaroscuro beziehungsweise Marmor/Bronze gemäss Rolle. Monumentale Terrasse mit Geisterkanone, roten Standarten, warmem Abendlicht und kontrolliertem Rauch. Keine Schrift im generierten Motiv, keine Logos, ausreichend freie UI-Zone.</x:v>
      </x:c>
      <x:c r="H174" s="168" t="str">
        <x:v>Statisches Motiv</x:v>
      </x:c>
      <x:c r="I174" s="168" t="str">
        <x:v>STATIC_STARTFRAME</x:v>
      </x:c>
      <x:c r="J174" s="168" t="str"/>
      <x:c r="K174" s="168" t="str">
        <x:v>1280×720 Master + mobile Crops</x:v>
      </x:c>
      <x:c r="L174" s="168" t="str">
        <x:v>EDITORIAL_REVIEW</x:v>
      </x:c>
      <x:c r="M174" s="168" t="str">
        <x:v>GDD §42.5–42.6</x:v>
      </x:c>
    </x:row>
    <x:row r="175" ht="39.599998474121094" hidden="0" customHeight="1">
      <x:c r="A175" s="168" t="str">
        <x:v>EVENT-DAY2-SNOW-BASILICA</x:v>
      </x:c>
      <x:c r="B175" s="168" t="str">
        <x:v>EVENT_IMAGE</x:v>
      </x:c>
      <x:c r="C175" s="168" t="str">
        <x:v>GDD §42.5/42.6</x:v>
      </x:c>
      <x:c r="D175" s="168" t="str">
        <x:v>EVENT-DAY2-SNOW-BASILICA</x:v>
      </x:c>
      <x:c r="E175" s="168" t="str">
        <x:v>EVENT-DAY2-SNOW-BASILICA</x:v>
      </x:c>
      <x:c r="F175" s="168" t="str">
        <x:v>KEY_ART</x:v>
      </x:c>
      <x:c r="G175" s="168" t="str">
        <x:v>Historisches Chiaroscuro beziehungsweise Marmor/Bronze gemäss Rolle. Basilika-Außenfläche mit Schnee, Mosaiklicht und aufbrechenden Eislinien, dramatische aber mobile lesbare Komposition. Keine Schrift im generierten Motiv, keine Logos, ausreichend freie UI-Zone.</x:v>
      </x:c>
      <x:c r="H175" s="168" t="str">
        <x:v>Statisches Motiv</x:v>
      </x:c>
      <x:c r="I175" s="168" t="str">
        <x:v>STATIC_STARTFRAME</x:v>
      </x:c>
      <x:c r="J175" s="168" t="str"/>
      <x:c r="K175" s="168" t="str">
        <x:v>1280×720 Master + mobile Crops</x:v>
      </x:c>
      <x:c r="L175" s="168" t="str">
        <x:v>EDITORIAL_REVIEW</x:v>
      </x:c>
      <x:c r="M175" s="168" t="str">
        <x:v>GDD §42.5–42.6</x:v>
      </x:c>
    </x:row>
    <x:row r="176" ht="39.599998474121094" hidden="0" customHeight="1">
      <x:c r="A176" s="168" t="str">
        <x:v>PRESTIGE-FINAL-MOSAIC</x:v>
      </x:c>
      <x:c r="B176" s="168" t="str">
        <x:v>PRESTIGE_ART</x:v>
      </x:c>
      <x:c r="C176" s="168" t="str">
        <x:v>GDD §42.5/42.6</x:v>
      </x:c>
      <x:c r="D176" s="168" t="str">
        <x:v>PRESTIGE-FINAL-MOSAIC</x:v>
      </x:c>
      <x:c r="E176" s="168" t="str">
        <x:v>PRESTIGE-FINAL-MOSAIC</x:v>
      </x:c>
      <x:c r="F176" s="168" t="str">
        <x:v>KEY_ART</x:v>
      </x:c>
      <x:c r="G176" s="168" t="str">
        <x:v>Historisches Chiaroscuro beziehungsweise Marmor/Bronze gemäss Rolle. Helle Marmorfläche mit bronzenem Via-Romae-Mosaik, dezente Patina, freie Textzone für Ranglisten-UI. Keine Schrift im generierten Motiv, keine Logos, ausreichend freie UI-Zone.</x:v>
      </x:c>
      <x:c r="H176" s="168" t="str">
        <x:v>Statisches Motiv</x:v>
      </x:c>
      <x:c r="I176" s="168" t="str">
        <x:v>STATIC_STARTFRAME</x:v>
      </x:c>
      <x:c r="J176" s="168" t="str"/>
      <x:c r="K176" s="168" t="str">
        <x:v>1280×720 Master + mobile Crops</x:v>
      </x:c>
      <x:c r="L176" s="168" t="str">
        <x:v>EDITORIAL_REVIEW</x:v>
      </x:c>
      <x:c r="M176" s="168" t="str">
        <x:v>GDD §42.5–42.6</x:v>
      </x:c>
    </x:row>
  </x:sheetData>
  <x:mergeCells>
    <x:mergeCell ref="A1:M1"/>
    <x:mergeCell ref="A2:M2"/>
  </x:mergeCells>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RowHeight="15"/>
  <x:cols>
    <x:col min="1" max="1" width="34" hidden="0" customWidth="1"/>
    <x:col min="2" max="2" width="30" hidden="0" customWidth="1"/>
    <x:col min="3" max="3" width="32" hidden="0" customWidth="1"/>
    <x:col min="4" max="4" width="24" hidden="0" customWidth="1"/>
    <x:col min="5" max="5" width="28" hidden="0" customWidth="1"/>
    <x:col min="6" max="6" width="90" hidden="0" customWidth="1"/>
    <x:col min="7" max="7" width="82" hidden="0" customWidth="1"/>
    <x:col min="8" max="8" width="12" hidden="0" customWidth="1"/>
    <x:col min="9" max="9" width="24" hidden="0" customWidth="1"/>
    <x:col min="10" max="10" width="18" hidden="0" customWidth="1"/>
    <x:col min="11" max="11" width="22" hidden="0" customWidth="1"/>
    <x:col min="12" max="12" width="34" hidden="0" customWidth="1"/>
  </x:cols>
  <x:sheetData>
    <x:row r="1">
      <x:c r="A1" s="172" t="str">
        <x:v>Via Romae – Character-Stances v0.9</x:v>
      </x:c>
      <x:c r="B1" s="172" t="str">
        <x:v>Via Romae – Character-Stances v0.9</x:v>
      </x:c>
      <x:c r="C1" s="172" t="str">
        <x:v>Via Romae – Character-Stances v0.9</x:v>
      </x:c>
      <x:c r="D1" s="172" t="str">
        <x:v>Via Romae – Character-Stances v0.9</x:v>
      </x:c>
      <x:c r="E1" s="172" t="str">
        <x:v>Via Romae – Character-Stances v0.9</x:v>
      </x:c>
      <x:c r="F1" s="172" t="str">
        <x:v>Via Romae – Character-Stances v0.9</x:v>
      </x:c>
      <x:c r="G1" s="172" t="str">
        <x:v>Via Romae – Character-Stances v0.9</x:v>
      </x:c>
      <x:c r="H1" s="172" t="str">
        <x:v>Via Romae – Character-Stances v0.9</x:v>
      </x:c>
      <x:c r="I1" s="172" t="str">
        <x:v>Via Romae – Character-Stances v0.9</x:v>
      </x:c>
      <x:c r="J1" s="172" t="str">
        <x:v>Via Romae – Character-Stances v0.9</x:v>
      </x:c>
      <x:c r="K1" s="172" t="str">
        <x:v>Via Romae – Character-Stances v0.9</x:v>
      </x:c>
      <x:c r="L1" s="172" t="str">
        <x:v>Via Romae – Character-Stances v0.9</x:v>
      </x:c>
    </x:row>
    <x:row r="2">
      <x:c r="A2" s="176" t="str">
        <x:v>Jede Figur erhält mindestens eine lesbare Startframe-Haltung. Bosse erhalten je eine Haltung für jede ihrer drei Kampfphasen. Die anschließende Gonk-Imagine-Animation bleibt 2–4 Sekunden, 720p und nahtlos loopend.</x:v>
      </x:c>
      <x:c r="B2" s="176" t="str">
        <x:v>Jede Figur erhält mindestens eine lesbare Startframe-Haltung. Bosse erhalten je eine Haltung für jede ihrer drei Kampfphasen. Die anschließende Gonk-Imagine-Animation bleibt 2–4 Sekunden, 720p und nahtlos loopend.</x:v>
      </x:c>
      <x:c r="C2" s="176" t="str">
        <x:v>Jede Figur erhält mindestens eine lesbare Startframe-Haltung. Bosse erhalten je eine Haltung für jede ihrer drei Kampfphasen. Die anschließende Gonk-Imagine-Animation bleibt 2–4 Sekunden, 720p und nahtlos loopend.</x:v>
      </x:c>
      <x:c r="D2" s="176" t="str">
        <x:v>Jede Figur erhält mindestens eine lesbare Startframe-Haltung. Bosse erhalten je eine Haltung für jede ihrer drei Kampfphasen. Die anschließende Gonk-Imagine-Animation bleibt 2–4 Sekunden, 720p und nahtlos loopend.</x:v>
      </x:c>
      <x:c r="E2" s="176" t="str">
        <x:v>Jede Figur erhält mindestens eine lesbare Startframe-Haltung. Bosse erhalten je eine Haltung für jede ihrer drei Kampfphasen. Die anschließende Gonk-Imagine-Animation bleibt 2–4 Sekunden, 720p und nahtlos loopend.</x:v>
      </x:c>
      <x:c r="F2" s="176" t="str">
        <x:v>Jede Figur erhält mindestens eine lesbare Startframe-Haltung. Bosse erhalten je eine Haltung für jede ihrer drei Kampfphasen. Die anschließende Gonk-Imagine-Animation bleibt 2–4 Sekunden, 720p und nahtlos loopend.</x:v>
      </x:c>
      <x:c r="G2" s="176" t="str">
        <x:v>Jede Figur erhält mindestens eine lesbare Startframe-Haltung. Bosse erhalten je eine Haltung für jede ihrer drei Kampfphasen. Die anschließende Gonk-Imagine-Animation bleibt 2–4 Sekunden, 720p und nahtlos loopend.</x:v>
      </x:c>
      <x:c r="H2" s="176" t="str">
        <x:v>Jede Figur erhält mindestens eine lesbare Startframe-Haltung. Bosse erhalten je eine Haltung für jede ihrer drei Kampfphasen. Die anschließende Gonk-Imagine-Animation bleibt 2–4 Sekunden, 720p und nahtlos loopend.</x:v>
      </x:c>
      <x:c r="I2" s="176" t="str">
        <x:v>Jede Figur erhält mindestens eine lesbare Startframe-Haltung. Bosse erhalten je eine Haltung für jede ihrer drei Kampfphasen. Die anschließende Gonk-Imagine-Animation bleibt 2–4 Sekunden, 720p und nahtlos loopend.</x:v>
      </x:c>
      <x:c r="J2" s="176" t="str">
        <x:v>Jede Figur erhält mindestens eine lesbare Startframe-Haltung. Bosse erhalten je eine Haltung für jede ihrer drei Kampfphasen. Die anschließende Gonk-Imagine-Animation bleibt 2–4 Sekunden, 720p und nahtlos loopend.</x:v>
      </x:c>
      <x:c r="K2" s="176" t="str">
        <x:v>Jede Figur erhält mindestens eine lesbare Startframe-Haltung. Bosse erhalten je eine Haltung für jede ihrer drei Kampfphasen. Die anschließende Gonk-Imagine-Animation bleibt 2–4 Sekunden, 720p und nahtlos loopend.</x:v>
      </x:c>
      <x:c r="L2" s="176" t="str">
        <x:v>Jede Figur erhält mindestens eine lesbare Startframe-Haltung. Bosse erhalten je eine Haltung für jede ihrer drei Kampfphasen. Die anschließende Gonk-Imagine-Animation bleibt 2–4 Sekunden, 720p und nahtlos loopend.</x:v>
      </x:c>
    </x:row>
    <x:row r="4" ht="15" hidden="0" customHeight="1">
      <x:c r="A4" s="165" t="str">
        <x:v>Stance-Asset-ID</x:v>
      </x:c>
      <x:c r="B4" s="165" t="str">
        <x:v>Character-ID</x:v>
      </x:c>
      <x:c r="C4" s="165" t="str">
        <x:v>Charakter</x:v>
      </x:c>
      <x:c r="D4" s="165" t="str">
        <x:v>Variante / Stage</x:v>
      </x:c>
      <x:c r="E4" s="165" t="str">
        <x:v>Stance-Name</x:v>
      </x:c>
      <x:c r="F4" s="165" t="str">
        <x:v>Stance-Beschreibung</x:v>
      </x:c>
      <x:c r="G4" s="165" t="str">
        <x:v>Motion-/Loop-Instruktion</x:v>
      </x:c>
      <x:c r="H4" s="165" t="str">
        <x:v>Dauer (s)</x:v>
      </x:c>
      <x:c r="I4" s="165" t="str">
        <x:v>Ausgabe</x:v>
      </x:c>
      <x:c r="J4" s="165" t="str">
        <x:v>Loop</x:v>
      </x:c>
      <x:c r="K4" s="165" t="str">
        <x:v>Content-Status</x:v>
      </x:c>
      <x:c r="L4" s="165" t="str">
        <x:v>Prompt-Referenz</x:v>
      </x:c>
    </x:row>
    <x:row r="5" ht="26.399999618530273" hidden="0" customHeight="1">
      <x:c r="A5" s="168" t="str">
        <x:v>STANCE:npc_konrad_schildwacht:IDLE_READY</x:v>
      </x:c>
      <x:c r="B5" s="168" t="str">
        <x:v>npc_konrad_schildwacht</x:v>
      </x:c>
      <x:c r="C5" s="168" t="str">
        <x:v>Konrad von der letzten Schildwacht</x:v>
      </x:c>
      <x:c r="D5" s="168" t="str">
        <x:v>IDLE_READY</x:v>
      </x:c>
      <x:c r="E5" s="168" t="str">
        <x:v>Ruhige Bereitschaft</x:v>
      </x:c>
      <x:c r="F5" s="168" t="str">
        <x:v>aufrechter Stand, Gewicht leicht verlagert, Blick aufmerksam; junger Gardist in renaissancezeitlicher blau-gelb-roter Uniform, dunkler Brustharnisch, Hellebarde, staubiger Umhang, ruhiger konzentrierter Blick.</x:v>
      </x:c>
      <x:c r="G5" s="168" t="str">
        <x:v>Add a simple looping idle motion; 2–4 s; seamless loop; 1280×720 (720p); subtle breathing, cloth/light motion and preserved silhouette; no camera move, no text, no new objects.</x:v>
      </x:c>
      <x:c r="H5" s="168" t="str">
        <x:v>2–4</x:v>
      </x:c>
      <x:c r="I5" s="168" t="str">
        <x:v>1280×720 (720p)</x:v>
      </x:c>
      <x:c r="J5" s="168" t="str">
        <x:v>SEAMLESS_LOOP</x:v>
      </x:c>
      <x:c r="K5" s="168" t="str">
        <x:v>EDITORIAL_REVIEW</x:v>
      </x:c>
      <x:c r="L5" s="168" t="str">
        <x:v>Asset-Prompts!STANCE:npc_konrad_schildwacht:IDLE_READY</x:v>
      </x:c>
    </x:row>
    <x:row r="6" ht="26.399999618530273" hidden="0" customHeight="1">
      <x:c r="A6" s="168" t="str">
        <x:v>STANCE:npc_capitano_malatesta:IDLE_READY</x:v>
      </x:c>
      <x:c r="B6" s="168" t="str">
        <x:v>npc_capitano_malatesta</x:v>
      </x:c>
      <x:c r="C6" s="168" t="str">
        <x:v>Capitano Malatesta</x:v>
      </x:c>
      <x:c r="D6" s="168" t="str">
        <x:v>IDLE_READY</x:v>
      </x:c>
      <x:c r="E6" s="168" t="str">
        <x:v>Ruhige Bereitschaft</x:v>
      </x:c>
      <x:c r="F6" s="168" t="str">
        <x:v>aufrechter Stand, Gewicht leicht verlagert, Blick aufmerksam; älterer italienischer Söldnerhauptmann, scharlachroter Mantel über dunkler Plattenrüstung, Federbarett, gepflegter Schnurrbart, Kartenrolle und Katzengrinsen.</x:v>
      </x:c>
      <x:c r="G6" s="168" t="str">
        <x:v>Add a simple looping idle motion; 2–4 s; seamless loop; 1280×720 (720p); subtle breathing, cloth/light motion and preserved silhouette; no camera move, no text, no new objects.</x:v>
      </x:c>
      <x:c r="H6" s="168" t="str">
        <x:v>2–4</x:v>
      </x:c>
      <x:c r="I6" s="168" t="str">
        <x:v>1280×720 (720p)</x:v>
      </x:c>
      <x:c r="J6" s="168" t="str">
        <x:v>SEAMLESS_LOOP</x:v>
      </x:c>
      <x:c r="K6" s="168" t="str">
        <x:v>EDITORIAL_REVIEW</x:v>
      </x:c>
      <x:c r="L6" s="168" t="str">
        <x:v>Asset-Prompts!STANCE:npc_capitano_malatesta:IDLE_READY</x:v>
      </x:c>
    </x:row>
    <x:row r="7" ht="26.399999618530273" hidden="0" customHeight="1">
      <x:c r="A7" s="168" t="str">
        <x:v>STANCE:npc_flaminia_trivium:IDLE_READY</x:v>
      </x:c>
      <x:c r="B7" s="168" t="str">
        <x:v>npc_flaminia_trivium</x:v>
      </x:c>
      <x:c r="C7" s="168" t="str">
        <x:v>Flaminia vom Dreizack</x:v>
      </x:c>
      <x:c r="D7" s="168" t="str">
        <x:v>IDLE_READY</x:v>
      </x:c>
      <x:c r="E7" s="168" t="str">
        <x:v>Ruhige Bereitschaft</x:v>
      </x:c>
      <x:c r="F7" s="168" t="str">
        <x:v>aufrechter Stand, Gewicht leicht verlagert, Blick aufmerksam; junge römische Stadtbotin, sandfarbener Reisemantel, drei bronzene Wegnadeln im Haar, kleine Kartenfragmente, wacher Blick, Wind bewegt den Stoff.</x:v>
      </x:c>
      <x:c r="G7" s="168" t="str">
        <x:v>Add a simple looping idle motion; 2–4 s; seamless loop; 1280×720 (720p); subtle breathing, cloth/light motion and preserved silhouette; no camera move, no text, no new objects.</x:v>
      </x:c>
      <x:c r="H7" s="168" t="str">
        <x:v>2–4</x:v>
      </x:c>
      <x:c r="I7" s="168" t="str">
        <x:v>1280×720 (720p)</x:v>
      </x:c>
      <x:c r="J7" s="168" t="str">
        <x:v>SEAMLESS_LOOP</x:v>
      </x:c>
      <x:c r="K7" s="168" t="str">
        <x:v>EDITORIAL_REVIEW</x:v>
      </x:c>
      <x:c r="L7" s="168" t="str">
        <x:v>Asset-Prompts!STANCE:npc_flaminia_trivium:IDLE_READY</x:v>
      </x:c>
    </x:row>
    <x:row r="8" ht="39.599998474121094" hidden="0" customHeight="1">
      <x:c r="A8" s="168" t="str">
        <x:v>STANCE:npc_seshat_pincio:IDLE_READY</x:v>
      </x:c>
      <x:c r="B8" s="168" t="str">
        <x:v>npc_seshat_pincio</x:v>
      </x:c>
      <x:c r="C8" s="168" t="str">
        <x:v>Seshat vom Pincio</x:v>
      </x:c>
      <x:c r="D8" s="168" t="str">
        <x:v>IDLE_READY</x:v>
      </x:c>
      <x:c r="E8" s="168" t="str">
        <x:v>Schreiberhaltung</x:v>
      </x:c>
      <x:c r="F8" s="168" t="str">
        <x:v>Schreibpalette oder Pergament vor dem Körper, Kopf leicht geneigt, konzentrierte Hände; ägyptisch-römische Schreiberin als geisterhafte Steinfigur, Leinengewand, Schreibpalette, Sternsymbol im Haar, blassgoldene Hieroglyphen leuchten auf Armen.</x:v>
      </x:c>
      <x:c r="G8" s="168" t="str">
        <x:v>Add a simple looping idle motion; 2–4 s; seamless loop; 1280×720 (720p); subtle breathing, cloth/light motion and preserved silhouette; no camera move, no text, no new objects.</x:v>
      </x:c>
      <x:c r="H8" s="168" t="str">
        <x:v>2–4</x:v>
      </x:c>
      <x:c r="I8" s="168" t="str">
        <x:v>1280×720 (720p)</x:v>
      </x:c>
      <x:c r="J8" s="168" t="str">
        <x:v>SEAMLESS_LOOP</x:v>
      </x:c>
      <x:c r="K8" s="168" t="str">
        <x:v>EDITORIAL_REVIEW</x:v>
      </x:c>
      <x:c r="L8" s="168" t="str">
        <x:v>Asset-Prompts!STANCE:npc_seshat_pincio:IDLE_READY</x:v>
      </x:c>
    </x:row>
    <x:row r="9" ht="39.599998474121094" hidden="0" customHeight="1">
      <x:c r="A9" s="168" t="str">
        <x:v>STANCE:npc_barcaccia:IDLE_READY</x:v>
      </x:c>
      <x:c r="B9" s="168" t="str">
        <x:v>npc_barcaccia</x:v>
      </x:c>
      <x:c r="C9" s="168" t="str">
        <x:v>La Barcaccia</x:v>
      </x:c>
      <x:c r="D9" s="168" t="str">
        <x:v>IDLE_READY</x:v>
      </x:c>
      <x:c r="E9" s="168" t="str">
        <x:v>Wasserwacht</x:v>
      </x:c>
      <x:c r="F9" s="168" t="str">
        <x:v>ruhige, fliessende Haltung, Wasser- oder Schiffsanker deutlich sichtbar, leichte Wellenbewegung; kleiner Wassergeist in Form eines halb im Becken liegenden steinernen Boots, Gesicht aus Wasserreflexen, winziger Kapitänshut, barocke Ornamente.</x:v>
      </x:c>
      <x:c r="G9" s="168" t="str">
        <x:v>Add a simple looping idle motion; 2–4 s; seamless loop; 1280×720 (720p); subtle breathing, cloth/light motion and preserved silhouette; no camera move, no text, no new objects.</x:v>
      </x:c>
      <x:c r="H9" s="168" t="str">
        <x:v>2–4</x:v>
      </x:c>
      <x:c r="I9" s="168" t="str">
        <x:v>1280×720 (720p)</x:v>
      </x:c>
      <x:c r="J9" s="168" t="str">
        <x:v>SEAMLESS_LOOP</x:v>
      </x:c>
      <x:c r="K9" s="168" t="str">
        <x:v>EDITORIAL_REVIEW</x:v>
      </x:c>
      <x:c r="L9" s="168" t="str">
        <x:v>Asset-Prompts!STANCE:npc_barcaccia:IDLE_READY</x:v>
      </x:c>
    </x:row>
    <x:row r="10" ht="26.399999618530273" hidden="0" customHeight="1">
      <x:c r="A10" s="168" t="str">
        <x:v>STANCE:npc_bernini_echo:IDLE_READY</x:v>
      </x:c>
      <x:c r="B10" s="168" t="str">
        <x:v>npc_bernini_echo</x:v>
      </x:c>
      <x:c r="C10" s="168" t="str">
        <x:v>Gian Lorenzo Bernini – Werkstattecho</x:v>
      </x:c>
      <x:c r="D10" s="168" t="str">
        <x:v>IDLE_READY</x:v>
      </x:c>
      <x:c r="E10" s="168" t="str">
        <x:v>Ruhige Bereitschaft</x:v>
      </x:c>
      <x:c r="F10" s="168" t="str">
        <x:v>aufrechter Stand, Gewicht leicht verlagert, Blick aufmerksam; italienischer Barockbildhauer mittleren Alters, lockiges dunkles Haar, feiner Bart, weißes Hemd mit hochgekrempelten Ärmeln, dunkle Weste, Meißel und Skizzenbuch, lebhafte Hände.</x:v>
      </x:c>
      <x:c r="G10" s="168" t="str">
        <x:v>Add a simple looping idle motion; 2–4 s; seamless loop; 1280×720 (720p); subtle breathing, cloth/light motion and preserved silhouette; no camera move, no text, no new objects.</x:v>
      </x:c>
      <x:c r="H10" s="168" t="str">
        <x:v>2–4</x:v>
      </x:c>
      <x:c r="I10" s="168" t="str">
        <x:v>1280×720 (720p)</x:v>
      </x:c>
      <x:c r="J10" s="168" t="str">
        <x:v>SEAMLESS_LOOP</x:v>
      </x:c>
      <x:c r="K10" s="168" t="str">
        <x:v>EDITORIAL_REVIEW</x:v>
      </x:c>
      <x:c r="L10" s="168" t="str">
        <x:v>Asset-Prompts!STANCE:npc_bernini_echo:IDLE_READY</x:v>
      </x:c>
    </x:row>
    <x:row r="11" ht="26.399999618530273" hidden="0" customHeight="1">
      <x:c r="A11" s="168" t="str">
        <x:v>STANCE:npc_agrippa_echo:IDLE_READY</x:v>
      </x:c>
      <x:c r="B11" s="168" t="str">
        <x:v>npc_agrippa_echo</x:v>
      </x:c>
      <x:c r="C11" s="168" t="str">
        <x:v>Marcus Agrippa – Echo der Inschrift</x:v>
      </x:c>
      <x:c r="D11" s="168" t="str">
        <x:v>IDLE_READY</x:v>
      </x:c>
      <x:c r="E11" s="168" t="str">
        <x:v>Ruhige Bereitschaft</x:v>
      </x:c>
      <x:c r="F11" s="168" t="str">
        <x:v>aufrechter Stand, Gewicht leicht verlagert, Blick aufmerksam; römischer Staatsmann in schlichter Toga, kantiges Gesicht, Wachstafel, bronzene Messschnur, Buchstaben AGRIPPA als schwaches Licht hinter ihm.</x:v>
      </x:c>
      <x:c r="G11" s="168" t="str">
        <x:v>Add a simple looping idle motion; 2–4 s; seamless loop; 1280×720 (720p); subtle breathing, cloth/light motion and preserved silhouette; no camera move, no text, no new objects.</x:v>
      </x:c>
      <x:c r="H11" s="168" t="str">
        <x:v>2–4</x:v>
      </x:c>
      <x:c r="I11" s="168" t="str">
        <x:v>1280×720 (720p)</x:v>
      </x:c>
      <x:c r="J11" s="168" t="str">
        <x:v>SEAMLESS_LOOP</x:v>
      </x:c>
      <x:c r="K11" s="168" t="str">
        <x:v>EDITORIAL_REVIEW</x:v>
      </x:c>
      <x:c r="L11" s="168" t="str">
        <x:v>Asset-Prompts!STANCE:npc_agrippa_echo:IDLE_READY</x:v>
      </x:c>
    </x:row>
    <x:row r="12" ht="39.599998474121094" hidden="0" customHeight="1">
      <x:c r="A12" s="168" t="str">
        <x:v>STANCE:npc_cassius_archivar:IDLE_READY</x:v>
      </x:c>
      <x:c r="B12" s="168" t="str">
        <x:v>npc_cassius_archivar</x:v>
      </x:c>
      <x:c r="C12" s="168" t="str">
        <x:v>Cassius Spiralis</x:v>
      </x:c>
      <x:c r="D12" s="168" t="str">
        <x:v>IDLE_READY</x:v>
      </x:c>
      <x:c r="E12" s="168" t="str">
        <x:v>Schreiberhaltung</x:v>
      </x:c>
      <x:c r="F12" s="168" t="str">
        <x:v>Schreibpalette oder Pergament vor dem Körper, Kopf leicht geneigt, konzentrierte Hände; römischer Archivar mit ockerfarbener Tunika, Lederrollenbehälter, zwei Pergamente – eines mit Hieroglyphen, eines mit Spiralzeichnung –, Tintenflecken an den Fingern.</x:v>
      </x:c>
      <x:c r="G12" s="168" t="str">
        <x:v>Add a simple looping idle motion; 2–4 s; seamless loop; 1280×720 (720p); subtle breathing, cloth/light motion and preserved silhouette; no camera move, no text, no new objects.</x:v>
      </x:c>
      <x:c r="H12" s="168" t="str">
        <x:v>2–4</x:v>
      </x:c>
      <x:c r="I12" s="168" t="str">
        <x:v>1280×720 (720p)</x:v>
      </x:c>
      <x:c r="J12" s="168" t="str">
        <x:v>SEAMLESS_LOOP</x:v>
      </x:c>
      <x:c r="K12" s="168" t="str">
        <x:v>EDITORIAL_REVIEW</x:v>
      </x:c>
      <x:c r="L12" s="168" t="str">
        <x:v>Asset-Prompts!STANCE:npc_cassius_archivar:IDLE_READY</x:v>
      </x:c>
    </x:row>
    <x:row r="13" ht="39.599998474121094" hidden="0" customHeight="1">
      <x:c r="A13" s="168" t="str">
        <x:v>STANCE:npc_aqua_virgo:IDLE_READY</x:v>
      </x:c>
      <x:c r="B13" s="168" t="str">
        <x:v>npc_aqua_virgo</x:v>
      </x:c>
      <x:c r="C13" s="168" t="str">
        <x:v>Aqua Virgo</x:v>
      </x:c>
      <x:c r="D13" s="168" t="str">
        <x:v>IDLE_READY</x:v>
      </x:c>
      <x:c r="E13" s="168" t="str">
        <x:v>Wasserwacht</x:v>
      </x:c>
      <x:c r="F13" s="168" t="str">
        <x:v>ruhige, fliessende Haltung, Wasser- oder Schiffsanker deutlich sichtbar, leichte Wellenbewegung; römische Wasserhüterin aus klarem blaugrünem Wasser, Travertin-Schulterplatten, Muschelschmuck, Amphore, Lichtlinien wie Aquäduktkanäle im Gewand.</x:v>
      </x:c>
      <x:c r="G13" s="168" t="str">
        <x:v>Add a simple looping idle motion; 2–4 s; seamless loop; 1280×720 (720p); subtle breathing, cloth/light motion and preserved silhouette; no camera move, no text, no new objects.</x:v>
      </x:c>
      <x:c r="H13" s="168" t="str">
        <x:v>2–4</x:v>
      </x:c>
      <x:c r="I13" s="168" t="str">
        <x:v>1280×720 (720p)</x:v>
      </x:c>
      <x:c r="J13" s="168" t="str">
        <x:v>SEAMLESS_LOOP</x:v>
      </x:c>
      <x:c r="K13" s="168" t="str">
        <x:v>EDITORIAL_REVIEW</x:v>
      </x:c>
      <x:c r="L13" s="168" t="str">
        <x:v>Asset-Prompts!STANCE:npc_aqua_virgo:IDLE_READY</x:v>
      </x:c>
    </x:row>
    <x:row r="14" ht="39.599998474121094" hidden="0" customHeight="1">
      <x:c r="A14" s="168" t="str">
        <x:v>STANCE:npc_skanderbeg_echo:IDLE_READY</x:v>
      </x:c>
      <x:c r="B14" s="168" t="str">
        <x:v>npc_skanderbeg_echo</x:v>
      </x:c>
      <x:c r="C14" s="168" t="str">
        <x:v>Skanderbeg – steinernes Echo</x:v>
      </x:c>
      <x:c r="D14" s="168" t="str">
        <x:v>IDLE_READY</x:v>
      </x:c>
      <x:c r="E14" s="168" t="str">
        <x:v>Kommandopose</x:v>
      </x:c>
      <x:c r="F14" s="168" t="str">
        <x:v>eine Hand weist die Route, die andere hält das Rollenobjekt, fester sichernder Stand; albanischer Renaissancefeldherr, dunkler Mantel, verzierter Helm mit Ziegenkopf-Silhouette, Schwertgurt, markantes Profil, steinerne Textur an einer Gesichtshälfte.</x:v>
      </x:c>
      <x:c r="G14" s="168" t="str">
        <x:v>Add a simple looping idle motion; 2–4 s; seamless loop; 1280×720 (720p); subtle breathing, cloth/light motion and preserved silhouette; no camera move, no text, no new objects.</x:v>
      </x:c>
      <x:c r="H14" s="168" t="str">
        <x:v>2–4</x:v>
      </x:c>
      <x:c r="I14" s="168" t="str">
        <x:v>1280×720 (720p)</x:v>
      </x:c>
      <x:c r="J14" s="168" t="str">
        <x:v>SEAMLESS_LOOP</x:v>
      </x:c>
      <x:c r="K14" s="168" t="str">
        <x:v>EDITORIAL_REVIEW</x:v>
      </x:c>
      <x:c r="L14" s="168" t="str">
        <x:v>Asset-Prompts!STANCE:npc_skanderbeg_echo:IDLE_READY</x:v>
      </x:c>
    </x:row>
    <x:row r="15" ht="26.399999618530273" hidden="0" customHeight="1">
      <x:c r="A15" s="168" t="str">
        <x:v>STANCE:npc_lucia_laternenhueterin:IDLE_READY</x:v>
      </x:c>
      <x:c r="B15" s="168" t="str">
        <x:v>npc_lucia_laternenhueterin</x:v>
      </x:c>
      <x:c r="C15" s="168" t="str">
        <x:v>Lucia, Laternenhüterin der Säule</x:v>
      </x:c>
      <x:c r="D15" s="168" t="str">
        <x:v>IDLE_READY</x:v>
      </x:c>
      <x:c r="E15" s="168" t="str">
        <x:v>Ruhige Bereitschaft</x:v>
      </x:c>
      <x:c r="F15" s="168" t="str">
        <x:v>aufrechter Stand, Gewicht leicht verlagert, Blick aufmerksam; römische Frau in schlichtem dunkelblauem Mantel, kleine Messinglaterne, vier geschnitzte Figuren am Gürtel, warmes Licht, ruhiges offenes Gesicht.</x:v>
      </x:c>
      <x:c r="G15" s="168" t="str">
        <x:v>Add a simple looping idle motion; 2–4 s; seamless loop; 1280×720 (720p); subtle breathing, cloth/light motion and preserved silhouette; no camera move, no text, no new objects.</x:v>
      </x:c>
      <x:c r="H15" s="168" t="str">
        <x:v>2–4</x:v>
      </x:c>
      <x:c r="I15" s="168" t="str">
        <x:v>1280×720 (720p)</x:v>
      </x:c>
      <x:c r="J15" s="168" t="str">
        <x:v>SEAMLESS_LOOP</x:v>
      </x:c>
      <x:c r="K15" s="168" t="str">
        <x:v>EDITORIAL_REVIEW</x:v>
      </x:c>
      <x:c r="L15" s="168" t="str">
        <x:v>Asset-Prompts!STANCE:npc_lucia_laternenhueterin:IDLE_READY</x:v>
      </x:c>
    </x:row>
    <x:row r="16" ht="39.599998474121094" hidden="0" customHeight="1">
      <x:c r="A16" s="168" t="str">
        <x:v>STANCE:npc_giordano_bruno_echo:IDLE_READY</x:v>
      </x:c>
      <x:c r="B16" s="168" t="str">
        <x:v>npc_giordano_bruno_echo</x:v>
      </x:c>
      <x:c r="C16" s="168" t="str">
        <x:v>Giordano Bruno – dunkles Echo</x:v>
      </x:c>
      <x:c r="D16" s="168" t="str">
        <x:v>IDLE_READY</x:v>
      </x:c>
      <x:c r="E16" s="168" t="str">
        <x:v>Kontemplative Haltung</x:v>
      </x:c>
      <x:c r="F16" s="168" t="str">
        <x:v>geschlossenes Buch an die Brust, Kopf leicht zur Seite, dunkler Mantel bewegt sich minimal; dunkle bronzene Renaissancefigur mit Kapuze, geschlossenes Buch unter gekreuzten Händen, glimmende rote Reflexe, ernster Blick, Mantel im Wind.</x:v>
      </x:c>
      <x:c r="G16" s="168" t="str">
        <x:v>Add a simple looping idle motion; 2–4 s; seamless loop; 1280×720 (720p); subtle breathing, cloth/light motion and preserved silhouette; no camera move, no text, no new objects.</x:v>
      </x:c>
      <x:c r="H16" s="168" t="str">
        <x:v>2–4</x:v>
      </x:c>
      <x:c r="I16" s="168" t="str">
        <x:v>1280×720 (720p)</x:v>
      </x:c>
      <x:c r="J16" s="168" t="str">
        <x:v>SEAMLESS_LOOP</x:v>
      </x:c>
      <x:c r="K16" s="168" t="str">
        <x:v>EDITORIAL_REVIEW</x:v>
      </x:c>
      <x:c r="L16" s="168" t="str">
        <x:v>Asset-Prompts!STANCE:npc_giordano_bruno_echo:IDLE_READY</x:v>
      </x:c>
    </x:row>
    <x:row r="17" ht="39.599998474121094" hidden="0" customHeight="1">
      <x:c r="A17" s="168" t="str">
        <x:v>STANCE:npc_marcella_scaena:IDLE_READY</x:v>
      </x:c>
      <x:c r="B17" s="168" t="str">
        <x:v>npc_marcella_scaena</x:v>
      </x:c>
      <x:c r="C17" s="168" t="str">
        <x:v>Marcella Scaena</x:v>
      </x:c>
      <x:c r="D17" s="168" t="str">
        <x:v>IDLE_READY</x:v>
      </x:c>
      <x:c r="E17" s="168" t="str">
        <x:v>Regiehaltung</x:v>
      </x:c>
      <x:c r="F17" s="168" t="str">
        <x:v>ein Arm gibt eine knappe Regieanweisung, der andere hält den Spielplan, dynamischer Stand; römisch-barocke Bühnenmeisterin, schwarzes Kleid mit goldenen Nähten, Halbmaske am Gürtel, Pergament-Spielplan, Kreidestaub, entschlossener Blick.</x:v>
      </x:c>
      <x:c r="G17" s="168" t="str">
        <x:v>Add a simple looping idle motion; 2–4 s; seamless loop; 1280×720 (720p); subtle breathing, cloth/light motion and preserved silhouette; no camera move, no text, no new objects.</x:v>
      </x:c>
      <x:c r="H17" s="168" t="str">
        <x:v>2–4</x:v>
      </x:c>
      <x:c r="I17" s="168" t="str">
        <x:v>1280×720 (720p)</x:v>
      </x:c>
      <x:c r="J17" s="168" t="str">
        <x:v>SEAMLESS_LOOP</x:v>
      </x:c>
      <x:c r="K17" s="168" t="str">
        <x:v>EDITORIAL_REVIEW</x:v>
      </x:c>
      <x:c r="L17" s="168" t="str">
        <x:v>Asset-Prompts!STANCE:npc_marcella_scaena:IDLE_READY</x:v>
      </x:c>
    </x:row>
    <x:row r="18" ht="26.399999618530273" hidden="0" customHeight="1">
      <x:c r="A18" s="168" t="str">
        <x:v>STANCE:npc_tiberinus_medicus:IDLE_READY</x:v>
      </x:c>
      <x:c r="B18" s="168" t="str">
        <x:v>npc_tiberinus_medicus</x:v>
      </x:c>
      <x:c r="C18" s="168" t="str">
        <x:v>Tiberinus Medicus</x:v>
      </x:c>
      <x:c r="D18" s="168" t="str">
        <x:v>IDLE_READY</x:v>
      </x:c>
      <x:c r="E18" s="168" t="str">
        <x:v>Heilerhaltung</x:v>
      </x:c>
      <x:c r="F18" s="168" t="str">
        <x:v>eine Hand schützend über der Amphore beziehungsweise dem Stab, ruhiger prüfender Blick; antiker römischer Arzt, helles Leinengewand, Ledertasche, Stab mit einzelner Schlange, feuchte Travertinfragmente, freundliche müde Augen.</x:v>
      </x:c>
      <x:c r="G18" s="168" t="str">
        <x:v>Add a simple looping idle motion; 2–4 s; seamless loop; 1280×720 (720p); subtle breathing, cloth/light motion and preserved silhouette; no camera move, no text, no new objects.</x:v>
      </x:c>
      <x:c r="H18" s="168" t="str">
        <x:v>2–4</x:v>
      </x:c>
      <x:c r="I18" s="168" t="str">
        <x:v>1280×720 (720p)</x:v>
      </x:c>
      <x:c r="J18" s="168" t="str">
        <x:v>SEAMLESS_LOOP</x:v>
      </x:c>
      <x:c r="K18" s="168" t="str">
        <x:v>EDITORIAL_REVIEW</x:v>
      </x:c>
      <x:c r="L18" s="168" t="str">
        <x:v>Asset-Prompts!STANCE:npc_tiberinus_medicus:IDLE_READY</x:v>
      </x:c>
    </x:row>
    <x:row r="19" ht="26.399999618530273" hidden="0" customHeight="1">
      <x:c r="A19" s="168" t="str">
        <x:v>STANCE:npc_cecilia_vox:IDLE_READY</x:v>
      </x:c>
      <x:c r="B19" s="168" t="str">
        <x:v>npc_cecilia_vox</x:v>
      </x:c>
      <x:c r="C19" s="168" t="str">
        <x:v>Cecilia – Stimme im Mosaik</x:v>
      </x:c>
      <x:c r="D19" s="168" t="str">
        <x:v>IDLE_READY</x:v>
      </x:c>
      <x:c r="E19" s="168" t="str">
        <x:v>Ruhige Bereitschaft</x:v>
      </x:c>
      <x:c r="F19" s="168" t="str">
        <x:v>aufrechter Stand, Gewicht leicht verlagert, Blick aufmerksam; junge frühchristliche Frau, cremefarbenes Gewand, dunkelroter Mantel, kleine tragbare Leier, goldene Mosaiklichtpunkte, ernster freundlicher Blick.</x:v>
      </x:c>
      <x:c r="G19" s="168" t="str">
        <x:v>Add a simple looping idle motion; 2–4 s; seamless loop; 1280×720 (720p); subtle breathing, cloth/light motion and preserved silhouette; no camera move, no text, no new objects.</x:v>
      </x:c>
      <x:c r="H19" s="168" t="str">
        <x:v>2–4</x:v>
      </x:c>
      <x:c r="I19" s="168" t="str">
        <x:v>1280×720 (720p)</x:v>
      </x:c>
      <x:c r="J19" s="168" t="str">
        <x:v>SEAMLESS_LOOP</x:v>
      </x:c>
      <x:c r="K19" s="168" t="str">
        <x:v>EDITORIAL_REVIEW</x:v>
      </x:c>
      <x:c r="L19" s="168" t="str">
        <x:v>Asset-Prompts!STANCE:npc_cecilia_vox:IDLE_READY</x:v>
      </x:c>
    </x:row>
    <x:row r="20" ht="26.399999618530273" hidden="0" customHeight="1">
      <x:c r="A20" s="168" t="str">
        <x:v>STANCE:npc_anita_garibaldi:IDLE_READY</x:v>
      </x:c>
      <x:c r="B20" s="168" t="str">
        <x:v>npc_anita_garibaldi</x:v>
      </x:c>
      <x:c r="C20" s="168" t="str">
        <x:v>Anita Garibaldi – Reiterecho</x:v>
      </x:c>
      <x:c r="D20" s="168" t="str">
        <x:v>IDLE_READY</x:v>
      </x:c>
      <x:c r="E20" s="168" t="str">
        <x:v>Ruhige Bereitschaft</x:v>
      </x:c>
      <x:c r="F20" s="168" t="str">
        <x:v>aufrechter Stand, Gewicht leicht verlagert, Blick aufmerksam; brasilianisch-italienische Freiheitskämpferin zu Pferd, dunkles Reitkleid, rotes Halstuch, Wind im Haar, Pistole gesenkt, heroisch aber menschlich.</x:v>
      </x:c>
      <x:c r="G20" s="168" t="str">
        <x:v>Add a simple looping idle motion; 2–4 s; seamless loop; 1280×720 (720p); subtle breathing, cloth/light motion and preserved silhouette; no camera move, no text, no new objects.</x:v>
      </x:c>
      <x:c r="H20" s="168" t="str">
        <x:v>2–4</x:v>
      </x:c>
      <x:c r="I20" s="168" t="str">
        <x:v>1280×720 (720p)</x:v>
      </x:c>
      <x:c r="J20" s="168" t="str">
        <x:v>SEAMLESS_LOOP</x:v>
      </x:c>
      <x:c r="K20" s="168" t="str">
        <x:v>EDITORIAL_REVIEW</x:v>
      </x:c>
      <x:c r="L20" s="168" t="str">
        <x:v>Asset-Prompts!STANCE:npc_anita_garibaldi:IDLE_READY</x:v>
      </x:c>
    </x:row>
    <x:row r="21" ht="26.399999618530273" hidden="0" customHeight="1">
      <x:c r="A21" s="168" t="str">
        <x:v>STANCE:npc_michelangelo_campidoglio:IDLE_READY</x:v>
      </x:c>
      <x:c r="B21" s="168" t="str">
        <x:v>npc_michelangelo_campidoglio</x:v>
      </x:c>
      <x:c r="C21" s="168" t="str">
        <x:v>Michelangelo – missmutiger Platzgeist</x:v>
      </x:c>
      <x:c r="D21" s="168" t="str">
        <x:v>IDLE_READY</x:v>
      </x:c>
      <x:c r="E21" s="168" t="str">
        <x:v>Meisterpose</x:v>
      </x:c>
      <x:c r="F21" s="168" t="str">
        <x:v>Werkzeug und Skizzenobjekt werden vor der Brust gehalten, prüfender Blick über die Schulter; älterer Renaissancekünstler mit grauem Bart, dunkler Kappe, staubigem schwarzem Gewand, Zirkel und Platzskizze, strenger Blick.</x:v>
      </x:c>
      <x:c r="G21" s="168" t="str">
        <x:v>Add a simple looping idle motion; 2–4 s; seamless loop; 1280×720 (720p); subtle breathing, cloth/light motion and preserved silhouette; no camera move, no text, no new objects.</x:v>
      </x:c>
      <x:c r="H21" s="168" t="str">
        <x:v>2–4</x:v>
      </x:c>
      <x:c r="I21" s="168" t="str">
        <x:v>1280×720 (720p)</x:v>
      </x:c>
      <x:c r="J21" s="168" t="str">
        <x:v>SEAMLESS_LOOP</x:v>
      </x:c>
      <x:c r="K21" s="168" t="str">
        <x:v>EDITORIAL_REVIEW</x:v>
      </x:c>
      <x:c r="L21" s="168" t="str">
        <x:v>Asset-Prompts!STANCE:npc_michelangelo_campidoglio:IDLE_READY</x:v>
      </x:c>
    </x:row>
    <x:row r="22" ht="26.399999618530273" hidden="0" customHeight="1">
      <x:c r="A22" s="168" t="str">
        <x:v>STANCE:npc_vittoria_alata:IDLE_READY</x:v>
      </x:c>
      <x:c r="B22" s="168" t="str">
        <x:v>npc_vittoria_alata</x:v>
      </x:c>
      <x:c r="C22" s="168" t="str">
        <x:v>Vittoria Alata</x:v>
      </x:c>
      <x:c r="D22" s="168" t="str">
        <x:v>IDLE_READY</x:v>
      </x:c>
      <x:c r="E22" s="168" t="str">
        <x:v>Ruhige Bereitschaft</x:v>
      </x:c>
      <x:c r="F22" s="168" t="str">
        <x:v>aufrechter Stand, Gewicht leicht verlagert, Blick aufmerksam; allegorische geflügelte Frau in weiß-goldenem Gewand, bronzene Flügel, Lorbeerkranz, zwei kleine Quadriga-Silhouetten als Licht hinter ihr.</x:v>
      </x:c>
      <x:c r="G22" s="168" t="str">
        <x:v>Add a simple looping idle motion; 2–4 s; seamless loop; 1280×720 (720p); subtle breathing, cloth/light motion and preserved silhouette; no camera move, no text, no new objects.</x:v>
      </x:c>
      <x:c r="H22" s="168" t="str">
        <x:v>2–4</x:v>
      </x:c>
      <x:c r="I22" s="168" t="str">
        <x:v>1280×720 (720p)</x:v>
      </x:c>
      <x:c r="J22" s="168" t="str">
        <x:v>SEAMLESS_LOOP</x:v>
      </x:c>
      <x:c r="K22" s="168" t="str">
        <x:v>EDITORIAL_REVIEW</x:v>
      </x:c>
      <x:c r="L22" s="168" t="str">
        <x:v>Asset-Prompts!STANCE:npc_vittoria_alata:IDLE_READY</x:v>
      </x:c>
    </x:row>
    <x:row r="23" ht="26.399999618530273" hidden="0" customHeight="1">
      <x:c r="A23" s="168" t="str">
        <x:v>STANCE:npc_lanista_felix:IDLE_READY</x:v>
      </x:c>
      <x:c r="B23" s="168" t="str">
        <x:v>npc_lanista_felix</x:v>
      </x:c>
      <x:c r="C23" s="168" t="str">
        <x:v>Lanista Felix</x:v>
      </x:c>
      <x:c r="D23" s="168" t="str">
        <x:v>IDLE_READY</x:v>
      </x:c>
      <x:c r="E23" s="168" t="str">
        <x:v>Ruhige Bereitschaft</x:v>
      </x:c>
      <x:c r="F23" s="168" t="str">
        <x:v>aufrechter Stand, Gewicht leicht verlagert, Blick aufmerksam; kräftiger römischer Trainer in Lederharnisch, hölzerner Trainingsstab, rote Tunika, Narben, breites Grinsen, Sandstaub.</x:v>
      </x:c>
      <x:c r="G23" s="168" t="str">
        <x:v>Add a simple looping idle motion; 2–4 s; seamless loop; 1280×720 (720p); subtle breathing, cloth/light motion and preserved silhouette; no camera move, no text, no new objects.</x:v>
      </x:c>
      <x:c r="H23" s="168" t="str">
        <x:v>2–4</x:v>
      </x:c>
      <x:c r="I23" s="168" t="str">
        <x:v>1280×720 (720p)</x:v>
      </x:c>
      <x:c r="J23" s="168" t="str">
        <x:v>SEAMLESS_LOOP</x:v>
      </x:c>
      <x:c r="K23" s="168" t="str">
        <x:v>EDITORIAL_REVIEW</x:v>
      </x:c>
      <x:c r="L23" s="168" t="str">
        <x:v>Asset-Prompts!STANCE:npc_lanista_felix:IDLE_READY</x:v>
      </x:c>
    </x:row>
    <x:row r="24" ht="26.399999618530273" hidden="0" customHeight="1">
      <x:c r="A24" s="168" t="str">
        <x:v>STANCE:npc_mercator_gaius:IDLE_READY</x:v>
      </x:c>
      <x:c r="B24" s="168" t="str">
        <x:v>npc_mercator_gaius</x:v>
      </x:c>
      <x:c r="C24" s="168" t="str">
        <x:v>Gaius Quattuorportus</x:v>
      </x:c>
      <x:c r="D24" s="168" t="str">
        <x:v>IDLE_READY</x:v>
      </x:c>
      <x:c r="E24" s="168" t="str">
        <x:v>Offene Händlerhaltung</x:v>
      </x:c>
      <x:c r="F24" s="168" t="str">
        <x:v>offene Hand zum Angebot, die andere nahe am Warenbeutel, geschäftiger aber kontrollierter Blick; antiker römischer Händler in gestreifter Tunika, Lederbeutel, bronzene Waage, vier kleine Tormarken am Gürtel, listiges freundliches Gesicht.</x:v>
      </x:c>
      <x:c r="G24" s="168" t="str">
        <x:v>Add a simple looping idle motion; 2–4 s; seamless loop; 1280×720 (720p); subtle breathing, cloth/light motion and preserved silhouette; no camera move, no text, no new objects.</x:v>
      </x:c>
      <x:c r="H24" s="168" t="str">
        <x:v>2–4</x:v>
      </x:c>
      <x:c r="I24" s="168" t="str">
        <x:v>1280×720 (720p)</x:v>
      </x:c>
      <x:c r="J24" s="168" t="str">
        <x:v>SEAMLESS_LOOP</x:v>
      </x:c>
      <x:c r="K24" s="168" t="str">
        <x:v>EDITORIAL_REVIEW</x:v>
      </x:c>
      <x:c r="L24" s="168" t="str">
        <x:v>Asset-Prompts!STANCE:npc_mercator_gaius:IDLE_READY</x:v>
      </x:c>
    </x:row>
    <x:row r="25" ht="26.399999618530273" hidden="0" customHeight="1">
      <x:c r="A25" s="168" t="str">
        <x:v>STANCE:npc_triton_callidus:IDLE_READY</x:v>
      </x:c>
      <x:c r="B25" s="168" t="str">
        <x:v>npc_triton_callidus</x:v>
      </x:c>
      <x:c r="C25" s="168" t="str">
        <x:v>Triton Callidus</x:v>
      </x:c>
      <x:c r="D25" s="168" t="str">
        <x:v>IDLE_READY</x:v>
      </x:c>
      <x:c r="E25" s="168" t="str">
        <x:v>Wasserwacht</x:v>
      </x:c>
      <x:c r="F25" s="168" t="str">
        <x:v>ruhige, fliessende Haltung, Wasser- oder Schiffsanker deutlich sichtbar, leichte Wellenbewegung; muskulöser Triton mit bronzener Muschelschale, blaugrüne Schuppen, steinerne Patina, breites Lachen, Wasserwirbel um die Schultern.</x:v>
      </x:c>
      <x:c r="G25" s="168" t="str">
        <x:v>Add a simple looping idle motion; 2–4 s; seamless loop; 1280×720 (720p); subtle breathing, cloth/light motion and preserved silhouette; no camera move, no text, no new objects.</x:v>
      </x:c>
      <x:c r="H25" s="168" t="str">
        <x:v>2–4</x:v>
      </x:c>
      <x:c r="I25" s="168" t="str">
        <x:v>1280×720 (720p)</x:v>
      </x:c>
      <x:c r="J25" s="168" t="str">
        <x:v>SEAMLESS_LOOP</x:v>
      </x:c>
      <x:c r="K25" s="168" t="str">
        <x:v>EDITORIAL_REVIEW</x:v>
      </x:c>
      <x:c r="L25" s="168" t="str">
        <x:v>Asset-Prompts!STANCE:npc_triton_callidus:IDLE_READY</x:v>
      </x:c>
    </x:row>
    <x:row r="26" ht="26.399999618530273" hidden="0" customHeight="1">
      <x:c r="A26" s="168" t="str">
        <x:v>STANCE:npc_nauta_celimontanus:IDLE_READY</x:v>
      </x:c>
      <x:c r="B26" s="168" t="str">
        <x:v>npc_nauta_celimontanus</x:v>
      </x:c>
      <x:c r="C26" s="168" t="str">
        <x:v>Nauta Celimontanus</x:v>
      </x:c>
      <x:c r="D26" s="168" t="str">
        <x:v>IDLE_READY</x:v>
      </x:c>
      <x:c r="E26" s="168" t="str">
        <x:v>Ruhige Bereitschaft</x:v>
      </x:c>
      <x:c r="F26" s="168" t="str">
        <x:v>aufrechter Stand, Gewicht leicht verlagert, Blick aufmerksam; kleiner römischer Steuermann in wettergegerbtem Umhang, bronzenes Ruder, steinerne Schiffssilhouette hinter ihm, Salz- und Moosspuren.</x:v>
      </x:c>
      <x:c r="G26" s="168" t="str">
        <x:v>Add a simple looping idle motion; 2–4 s; seamless loop; 1280×720 (720p); subtle breathing, cloth/light motion and preserved silhouette; no camera move, no text, no new objects.</x:v>
      </x:c>
      <x:c r="H26" s="168" t="str">
        <x:v>2–4</x:v>
      </x:c>
      <x:c r="I26" s="168" t="str">
        <x:v>1280×720 (720p)</x:v>
      </x:c>
      <x:c r="J26" s="168" t="str">
        <x:v>SEAMLESS_LOOP</x:v>
      </x:c>
      <x:c r="K26" s="168" t="str">
        <x:v>EDITORIAL_REVIEW</x:v>
      </x:c>
      <x:c r="L26" s="168" t="str">
        <x:v>Asset-Prompts!STANCE:npc_nauta_celimontanus:IDLE_READY</x:v>
      </x:c>
    </x:row>
    <x:row r="27" ht="26.399999618530273" hidden="0" customHeight="1">
      <x:c r="A27" s="168" t="str">
        <x:v>STANCE:npc_sixtus_vermesser:IDLE_READY</x:v>
      </x:c>
      <x:c r="B27" s="168" t="str">
        <x:v>npc_sixtus_vermesser</x:v>
      </x:c>
      <x:c r="C27" s="168" t="str">
        <x:v>Sixtus, Vermesser der Achsen</x:v>
      </x:c>
      <x:c r="D27" s="168" t="str">
        <x:v>IDLE_READY</x:v>
      </x:c>
      <x:c r="E27" s="168" t="str">
        <x:v>Ruhige Bereitschaft</x:v>
      </x:c>
      <x:c r="F27" s="168" t="str">
        <x:v>aufrechter Stand, Gewicht leicht verlagert, Blick aufmerksam; päpstlicher Renaissance-Verwalter in weiß-rotem Gewand, Messstab, Pergamentplan, scharfe Augen, schlichter Ring, keine moderne Insignie.</x:v>
      </x:c>
      <x:c r="G27" s="168" t="str">
        <x:v>Add a simple looping idle motion; 2–4 s; seamless loop; 1280×720 (720p); subtle breathing, cloth/light motion and preserved silhouette; no camera move, no text, no new objects.</x:v>
      </x:c>
      <x:c r="H27" s="168" t="str">
        <x:v>2–4</x:v>
      </x:c>
      <x:c r="I27" s="168" t="str">
        <x:v>1280×720 (720p)</x:v>
      </x:c>
      <x:c r="J27" s="168" t="str">
        <x:v>SEAMLESS_LOOP</x:v>
      </x:c>
      <x:c r="K27" s="168" t="str">
        <x:v>EDITORIAL_REVIEW</x:v>
      </x:c>
      <x:c r="L27" s="168" t="str">
        <x:v>Asset-Prompts!STANCE:npc_sixtus_vermesser:IDLE_READY</x:v>
      </x:c>
    </x:row>
    <x:row r="28" ht="26.399999618530273" hidden="0" customHeight="1">
      <x:c r="A28" s="168" t="str">
        <x:v>STANCE:npc_aurelian_murus:IDLE_READY</x:v>
      </x:c>
      <x:c r="B28" s="168" t="str">
        <x:v>npc_aurelian_murus</x:v>
      </x:c>
      <x:c r="C28" s="168" t="str">
        <x:v>Aurelianus Murus</x:v>
      </x:c>
      <x:c r="D28" s="168" t="str">
        <x:v>IDLE_READY</x:v>
      </x:c>
      <x:c r="E28" s="168" t="str">
        <x:v>Kommandopose</x:v>
      </x:c>
      <x:c r="F28" s="168" t="str">
        <x:v>eine Hand weist die Route, die andere hält das Rollenobjekt, fester sichernder Stand; spätrömischer Offizier in Schuppenpanzer, roter Mantel, rechteckiger Schild, Ziegelstaub, Wachstafel mit Mauerlinie.</x:v>
      </x:c>
      <x:c r="G28" s="168" t="str">
        <x:v>Add a simple looping idle motion; 2–4 s; seamless loop; 1280×720 (720p); subtle breathing, cloth/light motion and preserved silhouette; no camera move, no text, no new objects.</x:v>
      </x:c>
      <x:c r="H28" s="168" t="str">
        <x:v>2–4</x:v>
      </x:c>
      <x:c r="I28" s="168" t="str">
        <x:v>1280×720 (720p)</x:v>
      </x:c>
      <x:c r="J28" s="168" t="str">
        <x:v>SEAMLESS_LOOP</x:v>
      </x:c>
      <x:c r="K28" s="168" t="str">
        <x:v>EDITORIAL_REVIEW</x:v>
      </x:c>
      <x:c r="L28" s="168" t="str">
        <x:v>Asset-Prompts!STANCE:npc_aurelian_murus:IDLE_READY</x:v>
      </x:c>
    </x:row>
    <x:row r="29" ht="26.399999618530273" hidden="0" customHeight="1">
      <x:c r="A29" s="168" t="str">
        <x:v>STANCE:npc_livia_strata:IDLE_READY</x:v>
      </x:c>
      <x:c r="B29" s="168" t="str">
        <x:v>npc_livia_strata</x:v>
      </x:c>
      <x:c r="C29" s="168" t="str">
        <x:v>Livia Strata</x:v>
      </x:c>
      <x:c r="D29" s="168" t="str">
        <x:v>IDLE_READY</x:v>
      </x:c>
      <x:c r="E29" s="168" t="str">
        <x:v>Ruhige Bereitschaft</x:v>
      </x:c>
      <x:c r="F29" s="168" t="str">
        <x:v>aufrechter Stand, Gewicht leicht verlagert, Blick aufmerksam; römische Feldarchäologin im staubigen braunen Mantel, Ledertasche, Pinsel, drei Materialproben – Marmor, Granit, Ziegel –, leuchtende Notizzettel.</x:v>
      </x:c>
      <x:c r="G29" s="168" t="str">
        <x:v>Add a simple looping idle motion; 2–4 s; seamless loop; 1280×720 (720p); subtle breathing, cloth/light motion and preserved silhouette; no camera move, no text, no new objects.</x:v>
      </x:c>
      <x:c r="H29" s="168" t="str">
        <x:v>2–4</x:v>
      </x:c>
      <x:c r="I29" s="168" t="str">
        <x:v>1280×720 (720p)</x:v>
      </x:c>
      <x:c r="J29" s="168" t="str">
        <x:v>SEAMLESS_LOOP</x:v>
      </x:c>
      <x:c r="K29" s="168" t="str">
        <x:v>EDITORIAL_REVIEW</x:v>
      </x:c>
      <x:c r="L29" s="168" t="str">
        <x:v>Asset-Prompts!STANCE:npc_livia_strata:IDLE_READY</x:v>
      </x:c>
    </x:row>
    <x:row r="30" ht="26.399999618530273" hidden="0" customHeight="1">
      <x:c r="A30" s="168" t="str">
        <x:v>STANCE:npc_frontinus_aquarius:IDLE_READY</x:v>
      </x:c>
      <x:c r="B30" s="168" t="str">
        <x:v>npc_frontinus_aquarius</x:v>
      </x:c>
      <x:c r="C30" s="168" t="str">
        <x:v>Frontinus, Curator Aquarum</x:v>
      </x:c>
      <x:c r="D30" s="168" t="str">
        <x:v>IDLE_READY</x:v>
      </x:c>
      <x:c r="E30" s="168" t="str">
        <x:v>Wasserwacht</x:v>
      </x:c>
      <x:c r="F30" s="168" t="str">
        <x:v>ruhige, fliessende Haltung, Wasser- oder Schiffsanker deutlich sichtbar, leichte Wellenbewegung; römischer Ingenieur in kurzer Tunika und Mantel, Messstab, Bleiplombe, Wachstafel mit Aquäduktquerschnitt, graues Haar, prüfender Blick.</x:v>
      </x:c>
      <x:c r="G30" s="168" t="str">
        <x:v>Add a simple looping idle motion; 2–4 s; seamless loop; 1280×720 (720p); subtle breathing, cloth/light motion and preserved silhouette; no camera move, no text, no new objects.</x:v>
      </x:c>
      <x:c r="H30" s="168" t="str">
        <x:v>2–4</x:v>
      </x:c>
      <x:c r="I30" s="168" t="str">
        <x:v>1280×720 (720p)</x:v>
      </x:c>
      <x:c r="J30" s="168" t="str">
        <x:v>SEAMLESS_LOOP</x:v>
      </x:c>
      <x:c r="K30" s="168" t="str">
        <x:v>EDITORIAL_REVIEW</x:v>
      </x:c>
      <x:c r="L30" s="168" t="str">
        <x:v>Asset-Prompts!STANCE:npc_frontinus_aquarius:IDLE_READY</x:v>
      </x:c>
    </x:row>
    <x:row r="31" ht="26.399999618530273" hidden="0" customHeight="1">
      <x:c r="A31" s="168" t="str">
        <x:v>STANCE:npc_livia_lens:IDLE_READY</x:v>
      </x:c>
      <x:c r="B31" s="168" t="str">
        <x:v>npc_livia_lens</x:v>
      </x:c>
      <x:c r="C31" s="168" t="str">
        <x:v>Livia Lens</x:v>
      </x:c>
      <x:c r="D31" s="168" t="str">
        <x:v>IDLE_READY</x:v>
      </x:c>
      <x:c r="E31" s="168" t="str">
        <x:v>Ruhige Bereitschaft</x:v>
      </x:c>
      <x:c r="F31" s="168" t="str">
        <x:v>aufrechter Stand, Gewicht leicht verlagert, Blick aufmerksam; junge römische Chronistin im Renaissance-Reisemantel, kleine Messingkamera als magisches Artefakt, zwölf leere Bildrahmen am Gürtel, lebhafte braune Augen.</x:v>
      </x:c>
      <x:c r="G31" s="168" t="str">
        <x:v>Add a simple looping idle motion; 2–4 s; seamless loop; 1280×720 (720p); subtle breathing, cloth/light motion and preserved silhouette; no camera move, no text, no new objects.</x:v>
      </x:c>
      <x:c r="H31" s="168" t="str">
        <x:v>2–4</x:v>
      </x:c>
      <x:c r="I31" s="168" t="str">
        <x:v>1280×720 (720p)</x:v>
      </x:c>
      <x:c r="J31" s="168" t="str">
        <x:v>SEAMLESS_LOOP</x:v>
      </x:c>
      <x:c r="K31" s="168" t="str">
        <x:v>EDITORIAL_REVIEW</x:v>
      </x:c>
      <x:c r="L31" s="168" t="str">
        <x:v>Asset-Prompts!STANCE:npc_livia_lens:IDLE_READY</x:v>
      </x:c>
    </x:row>
    <x:row r="32" ht="26.399999618530273" hidden="0" customHeight="1">
      <x:c r="A32" s="168" t="str">
        <x:v>STANCE:npc_auriga_quinta:IDLE_READY</x:v>
      </x:c>
      <x:c r="B32" s="168" t="str">
        <x:v>npc_auriga_quinta</x:v>
      </x:c>
      <x:c r="C32" s="168" t="str">
        <x:v>Quinta Fulvia</x:v>
      </x:c>
      <x:c r="D32" s="168" t="str">
        <x:v>IDLE_READY</x:v>
      </x:c>
      <x:c r="E32" s="168" t="str">
        <x:v>Ruhige Bereitschaft</x:v>
      </x:c>
      <x:c r="F32" s="168" t="str">
        <x:v>aufrechter Stand, Gewicht leicht verlagert, Blick aufmerksam; römische Wagenlenkerin in grüner Tunika, Lederhelm, Zügel um die Schulter, Staub, selbstbewusstes Grinsen.</x:v>
      </x:c>
      <x:c r="G32" s="168" t="str">
        <x:v>Add a simple looping idle motion; 2–4 s; seamless loop; 1280×720 (720p); subtle breathing, cloth/light motion and preserved silhouette; no camera move, no text, no new objects.</x:v>
      </x:c>
      <x:c r="H32" s="168" t="str">
        <x:v>2–4</x:v>
      </x:c>
      <x:c r="I32" s="168" t="str">
        <x:v>1280×720 (720p)</x:v>
      </x:c>
      <x:c r="J32" s="168" t="str">
        <x:v>SEAMLESS_LOOP</x:v>
      </x:c>
      <x:c r="K32" s="168" t="str">
        <x:v>EDITORIAL_REVIEW</x:v>
      </x:c>
      <x:c r="L32" s="168" t="str">
        <x:v>Asset-Prompts!STANCE:npc_auriga_quinta:IDLE_READY</x:v>
      </x:c>
    </x:row>
    <x:row r="33" ht="26.399999618530273" hidden="0" customHeight="1">
      <x:c r="A33" s="168" t="str">
        <x:v>STANCE:npc_mercator_minimus:IDLE_READY</x:v>
      </x:c>
      <x:c r="B33" s="168" t="str">
        <x:v>npc_mercator_minimus</x:v>
      </x:c>
      <x:c r="C33" s="168" t="str">
        <x:v>Mercator Minimus</x:v>
      </x:c>
      <x:c r="D33" s="168" t="str">
        <x:v>IDLE_READY</x:v>
      </x:c>
      <x:c r="E33" s="168" t="str">
        <x:v>Ruhige Bereitschaft</x:v>
      </x:c>
      <x:c r="F33" s="168" t="str">
        <x:v>aufrechter Stand, Gewicht leicht verlagert, Blick aufmerksam; kleiner römischer Händler hinter übergroßer Wachstafel, violette Tunika, Münzwaage, winzige Preisschilder, hochgezogene Augenbraue.</x:v>
      </x:c>
      <x:c r="G33" s="168" t="str">
        <x:v>Add a simple looping idle motion; 2–4 s; seamless loop; 1280×720 (720p); subtle breathing, cloth/light motion and preserved silhouette; no camera move, no text, no new objects.</x:v>
      </x:c>
      <x:c r="H33" s="168" t="str">
        <x:v>2–4</x:v>
      </x:c>
      <x:c r="I33" s="168" t="str">
        <x:v>1280×720 (720p)</x:v>
      </x:c>
      <x:c r="J33" s="168" t="str">
        <x:v>SEAMLESS_LOOP</x:v>
      </x:c>
      <x:c r="K33" s="168" t="str">
        <x:v>EDITORIAL_REVIEW</x:v>
      </x:c>
      <x:c r="L33" s="168" t="str">
        <x:v>Asset-Prompts!STANCE:npc_mercator_minimus:IDLE_READY</x:v>
      </x:c>
    </x:row>
    <x:row r="34" ht="26.399999618530273" hidden="0" customHeight="1">
      <x:c r="A34" s="168" t="str">
        <x:v>STANCE:npc_tartaruga_quarta:IDLE_READY</x:v>
      </x:c>
      <x:c r="B34" s="168" t="str">
        <x:v>npc_tartaruga_quarta</x:v>
      </x:c>
      <x:c r="C34" s="168" t="str">
        <x:v>Die vierte Schildkröte</x:v>
      </x:c>
      <x:c r="D34" s="168" t="str">
        <x:v>IDLE_READY</x:v>
      </x:c>
      <x:c r="E34" s="168" t="str">
        <x:v>Wasserwacht</x:v>
      </x:c>
      <x:c r="F34" s="168" t="str">
        <x:v>ruhige, fliessende Haltung, Wasser- oder Schiffsanker deutlich sichtbar, leichte Wellenbewegung; kleine bronzene Schildkröte mit grüner Patina, winziger Wächterhelm, leuchtende Augen, Wassertropfen.</x:v>
      </x:c>
      <x:c r="G34" s="168" t="str">
        <x:v>Add a simple looping idle motion; 2–4 s; seamless loop; 1280×720 (720p); subtle breathing, cloth/light motion and preserved silhouette; no camera move, no text, no new objects.</x:v>
      </x:c>
      <x:c r="H34" s="168" t="str">
        <x:v>2–4</x:v>
      </x:c>
      <x:c r="I34" s="168" t="str">
        <x:v>1280×720 (720p)</x:v>
      </x:c>
      <x:c r="J34" s="168" t="str">
        <x:v>SEAMLESS_LOOP</x:v>
      </x:c>
      <x:c r="K34" s="168" t="str">
        <x:v>EDITORIAL_REVIEW</x:v>
      </x:c>
      <x:c r="L34" s="168" t="str">
        <x:v>Asset-Prompts!STANCE:npc_tartaruga_quarta:IDLE_READY</x:v>
      </x:c>
    </x:row>
    <x:row r="35" ht="26.399999618530273" hidden="0" customHeight="1">
      <x:c r="A35" s="168" t="str">
        <x:v>STANCE:npc_rattus_virgo:IDLE_READY</x:v>
      </x:c>
      <x:c r="B35" s="168" t="str">
        <x:v>npc_rattus_virgo</x:v>
      </x:c>
      <x:c r="C35" s="168" t="str">
        <x:v>Rattus Virgo</x:v>
      </x:c>
      <x:c r="D35" s="168" t="str">
        <x:v>IDLE_READY</x:v>
      </x:c>
      <x:c r="E35" s="168" t="str">
        <x:v>Ruhige Bereitschaft</x:v>
      </x:c>
      <x:c r="F35" s="168" t="str">
        <x:v>aufrechter Stand, Gewicht leicht verlagert, Blick aufmerksam; große nasse Kanalratte mit zerfetzter römischer Schärpe, kleine gestohlene Münzen, Travertinstaub, wacher listiger Blick.</x:v>
      </x:c>
      <x:c r="G35" s="168" t="str">
        <x:v>Add a simple looping idle motion; 2–4 s; seamless loop; 1280×720 (720p); subtle breathing, cloth/light motion and preserved silhouette; no camera move, no text, no new objects.</x:v>
      </x:c>
      <x:c r="H35" s="168" t="str">
        <x:v>2–4</x:v>
      </x:c>
      <x:c r="I35" s="168" t="str">
        <x:v>1280×720 (720p)</x:v>
      </x:c>
      <x:c r="J35" s="168" t="str">
        <x:v>SEAMLESS_LOOP</x:v>
      </x:c>
      <x:c r="K35" s="168" t="str">
        <x:v>EDITORIAL_REVIEW</x:v>
      </x:c>
      <x:c r="L35" s="168" t="str">
        <x:v>Asset-Prompts!STANCE:npc_rattus_virgo:IDLE_READY</x:v>
      </x:c>
    </x:row>
    <x:row r="36" ht="26.399999618530273" hidden="0" customHeight="1">
      <x:c r="A36" s="168" t="str">
        <x:v>STANCE:npc_satirelli_gemelli:IDLE_READY</x:v>
      </x:c>
      <x:c r="B36" s="168" t="str">
        <x:v>npc_satirelli_gemelli</x:v>
      </x:c>
      <x:c r="C36" s="168" t="str">
        <x:v>I Satirelli Gemelli</x:v>
      </x:c>
      <x:c r="D36" s="168" t="str">
        <x:v>IDLE_READY</x:v>
      </x:c>
      <x:c r="E36" s="168" t="str">
        <x:v>Listige Bereitschaft</x:v>
      </x:c>
      <x:c r="F36" s="168" t="str">
        <x:v>leicht versetzter Stand, Hände bereit für die nächste Täuschung, wacher seitlicher Blick; zwei kleine Satyrwesen aus dunklem Stein, lockiges Haar, kleine Hörner, einer mit Panflöte, einer mit Traubenranke, lebendige Augen.</x:v>
      </x:c>
      <x:c r="G36" s="168" t="str">
        <x:v>Add a simple looping idle motion; 2–4 s; seamless loop; 1280×720 (720p); subtle breathing, cloth/light motion and preserved silhouette; no camera move, no text, no new objects.</x:v>
      </x:c>
      <x:c r="H36" s="168" t="str">
        <x:v>2–4</x:v>
      </x:c>
      <x:c r="I36" s="168" t="str">
        <x:v>1280×720 (720p)</x:v>
      </x:c>
      <x:c r="J36" s="168" t="str">
        <x:v>SEAMLESS_LOOP</x:v>
      </x:c>
      <x:c r="K36" s="168" t="str">
        <x:v>EDITORIAL_REVIEW</x:v>
      </x:c>
      <x:c r="L36" s="168" t="str">
        <x:v>Asset-Prompts!STANCE:npc_satirelli_gemelli:IDLE_READY</x:v>
      </x:c>
    </x:row>
    <x:row r="37" ht="26.399999618530273" hidden="0" customHeight="1">
      <x:c r="A37" s="168" t="str">
        <x:v>STANCE:npc_porta_alchemica:IDLE_READY</x:v>
      </x:c>
      <x:c r="B37" s="168" t="str">
        <x:v>npc_porta_alchemica</x:v>
      </x:c>
      <x:c r="C37" s="168" t="str">
        <x:v>Alchemilla der Porta Magica</x:v>
      </x:c>
      <x:c r="D37" s="168" t="str">
        <x:v>IDLE_READY</x:v>
      </x:c>
      <x:c r="E37" s="168" t="str">
        <x:v>Listige Bereitschaft</x:v>
      </x:c>
      <x:c r="F37" s="168" t="str">
        <x:v>leicht versetzter Stand, Hände bereit für die nächste Täuschung, wacher seitlicher Blick; Renaissance-Alchemistin in dunkelgrünem Mantel, Messingzirkel, kleine Glasphiolen, zwei steinerne Wächter hinter ihr, goldene Symbole.</x:v>
      </x:c>
      <x:c r="G37" s="168" t="str">
        <x:v>Add a simple looping idle motion; 2–4 s; seamless loop; 1280×720 (720p); subtle breathing, cloth/light motion and preserved silhouette; no camera move, no text, no new objects.</x:v>
      </x:c>
      <x:c r="H37" s="168" t="str">
        <x:v>2–4</x:v>
      </x:c>
      <x:c r="I37" s="168" t="str">
        <x:v>1280×720 (720p)</x:v>
      </x:c>
      <x:c r="J37" s="168" t="str">
        <x:v>SEAMLESS_LOOP</x:v>
      </x:c>
      <x:c r="K37" s="168" t="str">
        <x:v>EDITORIAL_REVIEW</x:v>
      </x:c>
      <x:c r="L37" s="168" t="str">
        <x:v>Asset-Prompts!STANCE:npc_porta_alchemica:IDLE_READY</x:v>
      </x:c>
    </x:row>
    <x:row r="38" ht="26.399999618530273" hidden="0" customHeight="1">
      <x:c r="A38" s="168" t="str">
        <x:v>STANCE:npc_dante_rosa:IDLE_READY</x:v>
      </x:c>
      <x:c r="B38" s="168" t="str">
        <x:v>npc_dante_rosa</x:v>
      </x:c>
      <x:c r="C38" s="168" t="str">
        <x:v>Dantes Wind</x:v>
      </x:c>
      <x:c r="D38" s="168" t="str">
        <x:v>IDLE_READY</x:v>
      </x:c>
      <x:c r="E38" s="168" t="str">
        <x:v>Ruhige Bereitschaft</x:v>
      </x:c>
      <x:c r="F38" s="168" t="str">
        <x:v>aufrechter Stand, Gewicht leicht verlagert, Blick aufmerksam; schlanke Gestalt aus rotem Mantel und Windlinien, Lorbeerkranz, Pergamentstreifen, Windrose als Licht unter den Füßen.</x:v>
      </x:c>
      <x:c r="G38" s="168" t="str">
        <x:v>Add a simple looping idle motion; 2–4 s; seamless loop; 1280×720 (720p); subtle breathing, cloth/light motion and preserved silhouette; no camera move, no text, no new objects.</x:v>
      </x:c>
      <x:c r="H38" s="168" t="str">
        <x:v>2–4</x:v>
      </x:c>
      <x:c r="I38" s="168" t="str">
        <x:v>1280×720 (720p)</x:v>
      </x:c>
      <x:c r="J38" s="168" t="str">
        <x:v>SEAMLESS_LOOP</x:v>
      </x:c>
      <x:c r="K38" s="168" t="str">
        <x:v>EDITORIAL_REVIEW</x:v>
      </x:c>
      <x:c r="L38" s="168" t="str">
        <x:v>Asset-Prompts!STANCE:npc_dante_rosa:IDLE_READY</x:v>
      </x:c>
    </x:row>
    <x:row r="39" ht="26.399999618530273" hidden="0" customHeight="1">
      <x:c r="A39" s="168" t="str">
        <x:v>STANCE:npc_cannoniere_gianicolo:STAGE_1_TARGETING</x:v>
      </x:c>
      <x:c r="B39" s="168" t="str">
        <x:v>npc_cannoniere_gianicolo</x:v>
      </x:c>
      <x:c r="C39" s="168" t="str">
        <x:v>Il Cannoniere del Gianicolo</x:v>
      </x:c>
      <x:c r="D39" s="168" t="str">
        <x:v>STAGE_1_TARGETING</x:v>
      </x:c>
      <x:c r="E39" s="168" t="str">
        <x:v>Zielmarke</x:v>
      </x:c>
      <x:c r="F39" s="168" t="str">
        <x:v>Breiter Stand hinter der Geisterkanone, eine Hand hebt die Zielmarke, Mantel und Banner bewegen sich ruhig im Wind; die Kanone bleibt klar lesbar.</x:v>
      </x:c>
      <x:c r="G39" s="168" t="str">
        <x:v>Add a simple looping idle motion; 2–4 s; seamless loop; 1280×720 (720p); subtle breathing, cloth/light motion and preserved silhouette; no camera move, no text, no new objects.</x:v>
      </x:c>
      <x:c r="H39" s="168" t="str">
        <x:v>2–4</x:v>
      </x:c>
      <x:c r="I39" s="168" t="str">
        <x:v>1280×720 (720p)</x:v>
      </x:c>
      <x:c r="J39" s="168" t="str">
        <x:v>SEAMLESS_LOOP</x:v>
      </x:c>
      <x:c r="K39" s="168" t="str">
        <x:v>EDITORIAL_REVIEW</x:v>
      </x:c>
      <x:c r="L39" s="168" t="str">
        <x:v>Asset-Prompts!STANCE:npc_cannoniere_gianicolo:STAGE_1_TARGETING</x:v>
      </x:c>
    </x:row>
    <x:row r="40" ht="26.399999618530273" hidden="0" customHeight="1">
      <x:c r="A40" s="168" t="str">
        <x:v>STANCE:npc_cannoniere_gianicolo:STAGE_2_OVERHEATED</x:v>
      </x:c>
      <x:c r="B40" s="168" t="str">
        <x:v>npc_cannoniere_gianicolo</x:v>
      </x:c>
      <x:c r="C40" s="168" t="str">
        <x:v>Il Cannoniere del Gianicolo</x:v>
      </x:c>
      <x:c r="D40" s="168" t="str">
        <x:v>STAGE_2_OVERHEATED</x:v>
      </x:c>
      <x:c r="E40" s="168" t="str">
        <x:v>Überhitztes Rohr</x:v>
      </x:c>
      <x:c r="F40" s="168" t="str">
        <x:v>Leicht nach hinten geneigte Kampfhaltung neben dem glühenden Kanonenrohr, orange Hitze und dünner Rauch, angespannte Schultern, bereit zur nächsten Salve.</x:v>
      </x:c>
      <x:c r="G40" s="168" t="str">
        <x:v>Add a simple looping idle motion; 2–4 s; seamless loop; 1280×720 (720p); subtle breathing, cloth/light motion and preserved silhouette; no camera move, no text, no new objects.</x:v>
      </x:c>
      <x:c r="H40" s="168" t="str">
        <x:v>2–4</x:v>
      </x:c>
      <x:c r="I40" s="168" t="str">
        <x:v>1280×720 (720p)</x:v>
      </x:c>
      <x:c r="J40" s="168" t="str">
        <x:v>SEAMLESS_LOOP</x:v>
      </x:c>
      <x:c r="K40" s="168" t="str">
        <x:v>EDITORIAL_REVIEW</x:v>
      </x:c>
      <x:c r="L40" s="168" t="str">
        <x:v>Asset-Prompts!STANCE:npc_cannoniere_gianicolo:STAGE_2_OVERHEATED</x:v>
      </x:c>
    </x:row>
    <x:row r="41" ht="26.399999618530273" hidden="0" customHeight="1">
      <x:c r="A41" s="168" t="str">
        <x:v>STANCE:npc_cannoniere_gianicolo:STAGE_3_LAST_STANDARD</x:v>
      </x:c>
      <x:c r="B41" s="168" t="str">
        <x:v>npc_cannoniere_gianicolo</x:v>
      </x:c>
      <x:c r="C41" s="168" t="str">
        <x:v>Il Cannoniere del Gianicolo</x:v>
      </x:c>
      <x:c r="D41" s="168" t="str">
        <x:v>STAGE_3_LAST_STANDARD</x:v>
      </x:c>
      <x:c r="E41" s="168" t="str">
        <x:v>Letzte Standarte</x:v>
      </x:c>
      <x:c r="F41" s="168" t="str">
        <x:v>Aufrechter finaler Stand, die letzte Standarte hoch erhoben, Kanone abgesenkt, entschlossener Blick, Glut und Staub als kontrollierte Akzente.</x:v>
      </x:c>
      <x:c r="G41" s="168" t="str">
        <x:v>Add a simple looping idle motion; 2–4 s; seamless loop; 1280×720 (720p); subtle breathing, cloth/light motion and preserved silhouette; no camera move, no text, no new objects.</x:v>
      </x:c>
      <x:c r="H41" s="168" t="str">
        <x:v>2–4</x:v>
      </x:c>
      <x:c r="I41" s="168" t="str">
        <x:v>1280×720 (720p)</x:v>
      </x:c>
      <x:c r="J41" s="168" t="str">
        <x:v>SEAMLESS_LOOP</x:v>
      </x:c>
      <x:c r="K41" s="168" t="str">
        <x:v>EDITORIAL_REVIEW</x:v>
      </x:c>
      <x:c r="L41" s="168" t="str">
        <x:v>Asset-Prompts!STANCE:npc_cannoniere_gianicolo:STAGE_3_LAST_STANDARD</x:v>
      </x:c>
    </x:row>
    <x:row r="42" ht="26.399999618530273" hidden="0" customHeight="1">
      <x:c r="A42" s="168" t="str">
        <x:v>STANCE:npc_custode_neve:STAGE_1_SNOW_SEAL</x:v>
      </x:c>
      <x:c r="B42" s="168" t="str">
        <x:v>npc_custode_neve</x:v>
      </x:c>
      <x:c r="C42" s="168" t="str">
        <x:v>Custode della Neve</x:v>
      </x:c>
      <x:c r="D42" s="168" t="str">
        <x:v>STAGE_1_SNOW_SEAL</x:v>
      </x:c>
      <x:c r="E42" s="168" t="str">
        <x:v>Schneesiegel</x:v>
      </x:c>
      <x:c r="F42" s="168" t="str">
        <x:v>Ruhige Wächterhaltung mit gesenktem Stab, Schneesiegel deutlich auf Brust und Schultern, feine Eiskristalle schweben ohne die Silhouette zu verdecken.</x:v>
      </x:c>
      <x:c r="G42" s="168" t="str">
        <x:v>Add a simple looping idle motion; 2–4 s; seamless loop; 1280×720 (720p); subtle breathing, cloth/light motion and preserved silhouette; no camera move, no text, no new objects.</x:v>
      </x:c>
      <x:c r="H42" s="168" t="str">
        <x:v>2–4</x:v>
      </x:c>
      <x:c r="I42" s="168" t="str">
        <x:v>1280×720 (720p)</x:v>
      </x:c>
      <x:c r="J42" s="168" t="str">
        <x:v>SEAMLESS_LOOP</x:v>
      </x:c>
      <x:c r="K42" s="168" t="str">
        <x:v>EDITORIAL_REVIEW</x:v>
      </x:c>
      <x:c r="L42" s="168" t="str">
        <x:v>Asset-Prompts!STANCE:npc_custode_neve:STAGE_1_SNOW_SEAL</x:v>
      </x:c>
    </x:row>
    <x:row r="43" ht="26.399999618530273" hidden="0" customHeight="1">
      <x:c r="A43" s="168" t="str">
        <x:v>STANCE:npc_custode_neve:STAGE_2_WHITE_NIGHT</x:v>
      </x:c>
      <x:c r="B43" s="168" t="str">
        <x:v>npc_custode_neve</x:v>
      </x:c>
      <x:c r="C43" s="168" t="str">
        <x:v>Custode della Neve</x:v>
      </x:c>
      <x:c r="D43" s="168" t="str">
        <x:v>STAGE_2_WHITE_NIGHT</x:v>
      </x:c>
      <x:c r="E43" s="168" t="str">
        <x:v>Weiße Nacht</x:v>
      </x:c>
      <x:c r="F43" s="168" t="str">
        <x:v>Arme weit geöffnet, ein kontrollierter Wirbel aus Schnee und Mosaiklicht um den Körper, Kopf leicht angehoben, globale Schutzphase sichtbar.</x:v>
      </x:c>
      <x:c r="G43" s="168" t="str">
        <x:v>Add a simple looping idle motion; 2–4 s; seamless loop; 1280×720 (720p); subtle breathing, cloth/light motion and preserved silhouette; no camera move, no text, no new objects.</x:v>
      </x:c>
      <x:c r="H43" s="168" t="str">
        <x:v>2–4</x:v>
      </x:c>
      <x:c r="I43" s="168" t="str">
        <x:v>1280×720 (720p)</x:v>
      </x:c>
      <x:c r="J43" s="168" t="str">
        <x:v>SEAMLESS_LOOP</x:v>
      </x:c>
      <x:c r="K43" s="168" t="str">
        <x:v>EDITORIAL_REVIEW</x:v>
      </x:c>
      <x:c r="L43" s="168" t="str">
        <x:v>Asset-Prompts!STANCE:npc_custode_neve:STAGE_2_WHITE_NIGHT</x:v>
      </x:c>
    </x:row>
    <x:row r="44" ht="26.399999618530273" hidden="0" customHeight="1">
      <x:c r="A44" s="168" t="str">
        <x:v>STANCE:npc_custode_neve:STAGE_3_MOSAIC_CRACKS</x:v>
      </x:c>
      <x:c r="B44" s="168" t="str">
        <x:v>npc_custode_neve</x:v>
      </x:c>
      <x:c r="C44" s="168" t="str">
        <x:v>Custode della Neve</x:v>
      </x:c>
      <x:c r="D44" s="168" t="str">
        <x:v>STAGE_3_MOSAIC_CRACKS</x:v>
      </x:c>
      <x:c r="E44" s="168" t="str">
        <x:v>Mosaikrisse</x:v>
      </x:c>
      <x:c r="F44" s="168" t="str">
        <x:v>Schwerer finaler Stand mit sichtbaren Mosaikrissen und hellem Lichtkern, eine Hand am Boden, die andere schützt die letzte Bruchstelle.</x:v>
      </x:c>
      <x:c r="G44" s="168" t="str">
        <x:v>Add a simple looping idle motion; 2–4 s; seamless loop; 1280×720 (720p); subtle breathing, cloth/light motion and preserved silhouette; no camera move, no text, no new objects.</x:v>
      </x:c>
      <x:c r="H44" s="168" t="str">
        <x:v>2–4</x:v>
      </x:c>
      <x:c r="I44" s="168" t="str">
        <x:v>1280×720 (720p)</x:v>
      </x:c>
      <x:c r="J44" s="168" t="str">
        <x:v>SEAMLESS_LOOP</x:v>
      </x:c>
      <x:c r="K44" s="168" t="str">
        <x:v>EDITORIAL_REVIEW</x:v>
      </x:c>
      <x:c r="L44" s="168" t="str">
        <x:v>Asset-Prompts!STANCE:npc_custode_neve:STAGE_3_MOSAIC_CRACKS</x:v>
      </x:c>
    </x:row>
  </x:sheetData>
  <x:mergeCells>
    <x:mergeCell ref="A1:L1"/>
    <x:mergeCell ref="A2:L2"/>
  </x:mergeCells>
  <x:pageMargins left="0.7" right="0.7" top="0.75" bottom="0.75" header="0.3" footer="0.3"/>
</x:worksheet>
</file>